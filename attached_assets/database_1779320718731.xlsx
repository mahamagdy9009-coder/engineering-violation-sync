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\Al fashn\al_fashn\assets\database\"/>
    </mc:Choice>
  </mc:AlternateContent>
  <xr:revisionPtr revIDLastSave="0" documentId="13_ncr:1_{5A2A66C2-978C-4E31-9E4C-07901502D0C0}" xr6:coauthVersionLast="47" xr6:coauthVersionMax="47" xr10:uidLastSave="{00000000-0000-0000-0000-000000000000}"/>
  <bookViews>
    <workbookView xWindow="-120" yWindow="-120" windowWidth="29040" windowHeight="15720" xr2:uid="{EA39DAF1-35B2-483A-B2B2-F974E20A2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AD12" i="1" s="1"/>
  <c r="Y13" i="1"/>
  <c r="Y14" i="1"/>
  <c r="Y15" i="1"/>
  <c r="Y16" i="1"/>
  <c r="Y17" i="1"/>
  <c r="Y18" i="1"/>
  <c r="Y19" i="1"/>
  <c r="Y20" i="1"/>
  <c r="AD20" i="1" s="1"/>
  <c r="Y21" i="1"/>
  <c r="AD21" i="1" s="1"/>
  <c r="Y22" i="1"/>
  <c r="Y23" i="1"/>
  <c r="Y24" i="1"/>
  <c r="Y25" i="1"/>
  <c r="AD25" i="1" s="1"/>
  <c r="Y26" i="1"/>
  <c r="AD26" i="1"/>
  <c r="Y27" i="1"/>
  <c r="Y28" i="1"/>
  <c r="AD28" i="1"/>
  <c r="Y29" i="1"/>
  <c r="Y30" i="1"/>
  <c r="Y31" i="1"/>
  <c r="Y32" i="1"/>
  <c r="Y33" i="1"/>
  <c r="AD33" i="1"/>
  <c r="Y34" i="1"/>
  <c r="Z34" i="1" a="1"/>
  <c r="Z34" i="1"/>
  <c r="Y35" i="1"/>
  <c r="Y36" i="1"/>
  <c r="AA36" i="1" s="1" a="1"/>
  <c r="AA36" i="1" s="1"/>
  <c r="Y37" i="1"/>
  <c r="Y38" i="1"/>
  <c r="Y39" i="1"/>
  <c r="Y40" i="1"/>
  <c r="Y41" i="1"/>
  <c r="AA41" i="1" s="1" a="1"/>
  <c r="AA41" i="1" s="1"/>
  <c r="AB41" i="1" a="1"/>
  <c r="AB41" i="1" s="1"/>
  <c r="AC41" i="1" a="1"/>
  <c r="AC41" i="1" s="1"/>
  <c r="Y42" i="1"/>
  <c r="Z42" i="1" s="1" a="1"/>
  <c r="Z42" i="1" s="1"/>
  <c r="Y43" i="1"/>
  <c r="AD43" i="1" s="1"/>
  <c r="Y44" i="1"/>
  <c r="AA44" i="1" s="1" a="1"/>
  <c r="AA44" i="1" s="1"/>
  <c r="Z44" i="1" a="1"/>
  <c r="Z44" i="1" s="1"/>
  <c r="AB44" i="1" a="1"/>
  <c r="AB44" i="1" s="1"/>
  <c r="AC44" i="1" a="1"/>
  <c r="AC44" i="1" s="1"/>
  <c r="AD44" i="1"/>
  <c r="Y45" i="1"/>
  <c r="Z45" i="1" s="1" a="1"/>
  <c r="Z45" i="1" s="1"/>
  <c r="Y46" i="1"/>
  <c r="AC46" i="1" s="1" a="1"/>
  <c r="AC46" i="1" s="1"/>
  <c r="AB46" i="1" a="1"/>
  <c r="AB46" i="1" s="1"/>
  <c r="Y47" i="1"/>
  <c r="Z47" i="1" s="1" a="1"/>
  <c r="Z47" i="1" s="1"/>
  <c r="AA47" i="1" a="1"/>
  <c r="AA47" i="1" s="1"/>
  <c r="Y48" i="1"/>
  <c r="AB48" i="1" s="1" a="1"/>
  <c r="AB48" i="1" s="1"/>
  <c r="Y49" i="1"/>
  <c r="Y50" i="1"/>
  <c r="AB50" i="1" s="1" a="1"/>
  <c r="AB50" i="1" s="1"/>
  <c r="AA50" i="1" a="1"/>
  <c r="AA50" i="1" s="1"/>
  <c r="Y51" i="1"/>
  <c r="Z51" i="1" s="1" a="1"/>
  <c r="Z51" i="1" s="1"/>
  <c r="Y52" i="1"/>
  <c r="Z52" i="1" s="1" a="1"/>
  <c r="Z52" i="1" s="1"/>
  <c r="Y53" i="1"/>
  <c r="Z53" i="1" s="1" a="1"/>
  <c r="Z53" i="1" s="1"/>
  <c r="Y54" i="1"/>
  <c r="AB54" i="1" s="1" a="1"/>
  <c r="AB54" i="1" s="1"/>
  <c r="AC54" i="1" a="1"/>
  <c r="AC54" i="1" s="1"/>
  <c r="Y55" i="1"/>
  <c r="AC55" i="1" s="1" a="1"/>
  <c r="AC55" i="1" s="1"/>
  <c r="Y56" i="1"/>
  <c r="Z56" i="1" s="1" a="1"/>
  <c r="Z56" i="1" s="1"/>
  <c r="AD56" i="1"/>
  <c r="Y57" i="1"/>
  <c r="Y58" i="1"/>
  <c r="AA58" i="1" s="1" a="1"/>
  <c r="AA58" i="1" s="1"/>
  <c r="Z58" i="1" a="1"/>
  <c r="Z58" i="1" s="1"/>
  <c r="Y59" i="1"/>
  <c r="Z59" i="1" s="1" a="1"/>
  <c r="Z59" i="1" s="1"/>
  <c r="Y60" i="1"/>
  <c r="AB60" i="1" s="1" a="1"/>
  <c r="AB60" i="1" s="1"/>
  <c r="Y61" i="1"/>
  <c r="Y62" i="1"/>
  <c r="Z62" i="1" s="1" a="1"/>
  <c r="Z62" i="1" s="1"/>
  <c r="Y63" i="1"/>
  <c r="AD63" i="1" s="1"/>
  <c r="Y64" i="1"/>
  <c r="Y65" i="1"/>
  <c r="AC65" i="1" s="1" a="1"/>
  <c r="AC65" i="1" s="1"/>
  <c r="Y66" i="1"/>
  <c r="Y67" i="1"/>
  <c r="AD67" i="1" s="1"/>
  <c r="AB67" i="1" a="1"/>
  <c r="AB67" i="1" s="1"/>
  <c r="Y68" i="1"/>
  <c r="AB68" i="1" s="1" a="1"/>
  <c r="AB68" i="1" s="1"/>
  <c r="AC68" i="1" a="1"/>
  <c r="AC68" i="1" s="1"/>
  <c r="Y69" i="1"/>
  <c r="AC69" i="1" s="1" a="1"/>
  <c r="AC69" i="1" s="1"/>
  <c r="Z69" i="1" a="1"/>
  <c r="Z69" i="1" s="1"/>
  <c r="Y70" i="1"/>
  <c r="AC70" i="1" s="1" a="1"/>
  <c r="AC70" i="1" s="1"/>
  <c r="AD70" i="1"/>
  <c r="Y71" i="1"/>
  <c r="AA71" i="1" a="1"/>
  <c r="AA71" i="1" s="1"/>
  <c r="Y72" i="1"/>
  <c r="AB72" i="1" s="1" a="1"/>
  <c r="AB72" i="1" s="1"/>
  <c r="Y73" i="1"/>
  <c r="AA73" i="1" s="1" a="1"/>
  <c r="AA73" i="1" s="1"/>
  <c r="AB73" i="1" a="1"/>
  <c r="AB73" i="1" s="1"/>
  <c r="Y74" i="1"/>
  <c r="AA74" i="1" s="1" a="1"/>
  <c r="AA74" i="1" s="1"/>
  <c r="Z74" i="1" a="1"/>
  <c r="Z74" i="1" s="1"/>
  <c r="Y75" i="1"/>
  <c r="Y76" i="1"/>
  <c r="AC76" i="1" s="1" a="1"/>
  <c r="AC76" i="1" s="1"/>
  <c r="Z76" i="1" a="1"/>
  <c r="Z76" i="1" s="1"/>
  <c r="AA76" i="1" a="1"/>
  <c r="AA76" i="1" s="1"/>
  <c r="Y77" i="1"/>
  <c r="Y78" i="1"/>
  <c r="AB78" i="1" s="1" a="1"/>
  <c r="AB78" i="1" s="1"/>
  <c r="Y79" i="1"/>
  <c r="AD79" i="1" s="1"/>
  <c r="Z79" i="1" a="1"/>
  <c r="Z79" i="1" s="1"/>
  <c r="AA79" i="1" a="1"/>
  <c r="AA79" i="1" s="1"/>
  <c r="AC79" i="1" a="1"/>
  <c r="AC79" i="1" s="1"/>
  <c r="Y80" i="1"/>
  <c r="Y81" i="1"/>
  <c r="Z81" i="1" s="1" a="1"/>
  <c r="Z81" i="1" s="1"/>
  <c r="AC81" i="1" a="1"/>
  <c r="AC81" i="1" s="1"/>
  <c r="Y82" i="1"/>
  <c r="Z82" i="1" a="1"/>
  <c r="Z82" i="1" s="1"/>
  <c r="AA82" i="1" a="1"/>
  <c r="AA82" i="1" s="1"/>
  <c r="AB82" i="1" a="1"/>
  <c r="AB82" i="1" s="1"/>
  <c r="AC82" i="1" a="1"/>
  <c r="AC82" i="1" s="1"/>
  <c r="AD82" i="1"/>
  <c r="Y83" i="1"/>
  <c r="AD83" i="1" s="1"/>
  <c r="Y84" i="1"/>
  <c r="AB84" i="1" s="1" a="1"/>
  <c r="AB84" i="1" s="1"/>
  <c r="AA84" i="1" a="1"/>
  <c r="AA84" i="1" s="1"/>
  <c r="AC84" i="1" a="1"/>
  <c r="AC84" i="1" s="1"/>
  <c r="Y85" i="1"/>
  <c r="Y86" i="1"/>
  <c r="AA86" i="1" s="1" a="1"/>
  <c r="AA86" i="1" s="1"/>
  <c r="Y87" i="1"/>
  <c r="Y88" i="1"/>
  <c r="Z88" i="1" a="1"/>
  <c r="Z88" i="1" s="1"/>
  <c r="Y89" i="1"/>
  <c r="AB89" i="1" s="1" a="1"/>
  <c r="AB89" i="1" s="1"/>
  <c r="Y90" i="1"/>
  <c r="AB90" i="1" s="1" a="1"/>
  <c r="AB90" i="1" s="1"/>
  <c r="Y91" i="1"/>
  <c r="AB91" i="1" s="1" a="1"/>
  <c r="AB91" i="1" s="1"/>
  <c r="Z91" i="1" a="1"/>
  <c r="Z91" i="1" s="1"/>
  <c r="AA91" i="1" a="1"/>
  <c r="AA91" i="1" s="1"/>
  <c r="AC91" i="1" a="1"/>
  <c r="AC91" i="1" s="1"/>
  <c r="AD91" i="1"/>
  <c r="Y92" i="1"/>
  <c r="Y93" i="1"/>
  <c r="Z93" i="1" s="1" a="1"/>
  <c r="Z93" i="1" s="1"/>
  <c r="Y94" i="1"/>
  <c r="AC94" i="1" s="1" a="1"/>
  <c r="AC94" i="1" s="1"/>
  <c r="AA94" i="1" a="1"/>
  <c r="AA94" i="1" s="1"/>
  <c r="Y95" i="1"/>
  <c r="AC95" i="1" s="1" a="1"/>
  <c r="AC95" i="1" s="1"/>
  <c r="Z95" i="1" a="1"/>
  <c r="Z95" i="1" s="1"/>
  <c r="AB95" i="1" a="1"/>
  <c r="AB95" i="1" s="1"/>
  <c r="Y96" i="1"/>
  <c r="AC96" i="1" s="1" a="1"/>
  <c r="AC96" i="1" s="1"/>
  <c r="AD96" i="1"/>
  <c r="Y97" i="1"/>
  <c r="Z97" i="1" s="1" a="1"/>
  <c r="Z97" i="1" s="1"/>
  <c r="Y98" i="1"/>
  <c r="AB98" i="1" s="1" a="1"/>
  <c r="AB98" i="1" s="1"/>
  <c r="Y99" i="1"/>
  <c r="Z99" i="1" s="1" a="1"/>
  <c r="Z99" i="1" s="1"/>
  <c r="Y100" i="1"/>
  <c r="Y101" i="1"/>
  <c r="AA101" i="1" a="1"/>
  <c r="AA101" i="1" s="1"/>
  <c r="AC101" i="1" a="1"/>
  <c r="AC101" i="1" s="1"/>
  <c r="Y102" i="1"/>
  <c r="Y103" i="1"/>
  <c r="AA103" i="1" a="1"/>
  <c r="AA103" i="1" s="1"/>
  <c r="Y104" i="1"/>
  <c r="Y105" i="1"/>
  <c r="AD105" i="1" s="1"/>
  <c r="Z105" i="1" a="1"/>
  <c r="Z105" i="1" s="1"/>
  <c r="Y106" i="1"/>
  <c r="AB106" i="1" s="1" a="1"/>
  <c r="AB106" i="1" s="1"/>
  <c r="Z106" i="1" a="1"/>
  <c r="Z106" i="1" s="1"/>
  <c r="AD106" i="1"/>
  <c r="Y107" i="1"/>
  <c r="Z107" i="1" a="1"/>
  <c r="Z107" i="1" s="1"/>
  <c r="Y108" i="1"/>
  <c r="AB108" i="1" s="1" a="1"/>
  <c r="AB108" i="1" s="1"/>
  <c r="Z108" i="1" a="1"/>
  <c r="Z108" i="1" s="1"/>
  <c r="AC108" i="1" a="1"/>
  <c r="AC108" i="1" s="1"/>
  <c r="Y109" i="1"/>
  <c r="AB109" i="1" s="1" a="1"/>
  <c r="AB109" i="1" s="1"/>
  <c r="Z109" i="1" a="1"/>
  <c r="Z109" i="1" s="1"/>
  <c r="AA109" i="1" a="1"/>
  <c r="AA109" i="1" s="1"/>
  <c r="AD109" i="1"/>
  <c r="Y110" i="1"/>
  <c r="Z110" i="1" a="1"/>
  <c r="Z110" i="1" s="1"/>
  <c r="Y111" i="1"/>
  <c r="Z111" i="1" a="1"/>
  <c r="Z111" i="1" s="1"/>
  <c r="Y112" i="1"/>
  <c r="Z112" i="1" a="1"/>
  <c r="Z112" i="1" s="1"/>
  <c r="Y113" i="1"/>
  <c r="AC113" i="1" s="1" a="1"/>
  <c r="AC113" i="1" s="1"/>
  <c r="Z113" i="1" a="1"/>
  <c r="Z113" i="1" s="1"/>
  <c r="AA113" i="1" a="1"/>
  <c r="AA113" i="1" s="1"/>
  <c r="AB113" i="1" a="1"/>
  <c r="AB113" i="1" s="1"/>
  <c r="Y114" i="1"/>
  <c r="Z114" i="1" a="1"/>
  <c r="Z114" i="1" s="1"/>
  <c r="Y115" i="1"/>
  <c r="AC115" i="1" s="1" a="1"/>
  <c r="AC115" i="1" s="1"/>
  <c r="Z115" i="1" a="1"/>
  <c r="Z115" i="1" s="1"/>
  <c r="AA115" i="1" a="1"/>
  <c r="AA115" i="1" s="1"/>
  <c r="Y116" i="1"/>
  <c r="AB116" i="1" s="1" a="1"/>
  <c r="AB116" i="1" s="1"/>
  <c r="Z116" i="1" a="1"/>
  <c r="Z116" i="1" s="1"/>
  <c r="AA116" i="1" a="1"/>
  <c r="AA116" i="1" s="1"/>
  <c r="AC116" i="1" a="1"/>
  <c r="AC116" i="1" s="1"/>
  <c r="AD116" i="1"/>
  <c r="Y117" i="1"/>
  <c r="AD117" i="1" s="1"/>
  <c r="Z117" i="1" a="1"/>
  <c r="Z117" i="1" s="1"/>
  <c r="AA117" i="1" a="1"/>
  <c r="AA117" i="1" s="1"/>
  <c r="AB117" i="1" a="1"/>
  <c r="AB117" i="1" s="1"/>
  <c r="AC117" i="1" a="1"/>
  <c r="AC117" i="1" s="1"/>
  <c r="Y118" i="1"/>
  <c r="AC118" i="1" s="1" a="1"/>
  <c r="AC118" i="1" s="1"/>
  <c r="Z118" i="1" a="1"/>
  <c r="Z118" i="1" s="1"/>
  <c r="AD118" i="1"/>
  <c r="Y119" i="1"/>
  <c r="Z119" i="1" a="1"/>
  <c r="Z119" i="1" s="1"/>
  <c r="AD119" i="1"/>
  <c r="Y120" i="1"/>
  <c r="Z120" i="1" a="1"/>
  <c r="Z120" i="1" s="1"/>
  <c r="Y121" i="1"/>
  <c r="Z121" i="1" a="1"/>
  <c r="Z121" i="1" s="1"/>
  <c r="Y122" i="1"/>
  <c r="AC122" i="1" s="1" a="1"/>
  <c r="AC122" i="1" s="1"/>
  <c r="Z122" i="1" a="1"/>
  <c r="Z122" i="1" s="1"/>
  <c r="Y123" i="1"/>
  <c r="Z123" i="1" a="1"/>
  <c r="Z123" i="1" s="1"/>
  <c r="Y124" i="1"/>
  <c r="Z124" i="1" a="1"/>
  <c r="Z124" i="1"/>
  <c r="Y125" i="1"/>
  <c r="AC125" i="1" s="1" a="1"/>
  <c r="AC125" i="1" s="1"/>
  <c r="Z125" i="1" a="1"/>
  <c r="Z125" i="1" s="1"/>
  <c r="Y126" i="1"/>
  <c r="Z126" i="1" a="1"/>
  <c r="Z126" i="1" s="1"/>
  <c r="Y127" i="1"/>
  <c r="AC127" i="1" s="1" a="1"/>
  <c r="AC127" i="1" s="1"/>
  <c r="Z127" i="1" a="1"/>
  <c r="Z127" i="1" s="1"/>
  <c r="Y128" i="1"/>
  <c r="AD128" i="1" s="1"/>
  <c r="Z128" i="1" a="1"/>
  <c r="Z128" i="1" s="1"/>
  <c r="Y129" i="1"/>
  <c r="AA129" i="1" s="1" a="1"/>
  <c r="AA129" i="1" s="1"/>
  <c r="Z129" i="1" a="1"/>
  <c r="Z129" i="1" s="1"/>
  <c r="Y130" i="1"/>
  <c r="AB130" i="1" s="1" a="1"/>
  <c r="AB130" i="1" s="1"/>
  <c r="Z130" i="1" a="1"/>
  <c r="Z130" i="1"/>
  <c r="Y131" i="1"/>
  <c r="AC131" i="1" s="1" a="1"/>
  <c r="AC131" i="1" s="1"/>
  <c r="Z131" i="1" a="1"/>
  <c r="Z131" i="1"/>
  <c r="AA131" i="1" a="1"/>
  <c r="AA131" i="1" s="1"/>
  <c r="Y132" i="1"/>
  <c r="AC132" i="1" s="1" a="1"/>
  <c r="AC132" i="1" s="1"/>
  <c r="Z132" i="1" a="1"/>
  <c r="Z132" i="1" s="1"/>
  <c r="AD132" i="1"/>
  <c r="Y133" i="1"/>
  <c r="Z133" i="1" a="1"/>
  <c r="Z133" i="1" s="1"/>
  <c r="Y134" i="1"/>
  <c r="AB134" i="1" s="1" a="1"/>
  <c r="AB134" i="1" s="1"/>
  <c r="Z134" i="1" a="1"/>
  <c r="Z134" i="1"/>
  <c r="AC134" i="1" a="1"/>
  <c r="AC134" i="1" s="1"/>
  <c r="AD134" i="1"/>
  <c r="Y135" i="1"/>
  <c r="AC135" i="1" s="1" a="1"/>
  <c r="AC135" i="1" s="1"/>
  <c r="Z135" i="1" a="1"/>
  <c r="Z135" i="1" s="1"/>
  <c r="Y136" i="1"/>
  <c r="AA136" i="1" s="1" a="1"/>
  <c r="AA136" i="1" s="1"/>
  <c r="Z136" i="1" a="1"/>
  <c r="Z136" i="1" s="1"/>
  <c r="Y137" i="1"/>
  <c r="AC137" i="1" s="1" a="1"/>
  <c r="AC137" i="1" s="1"/>
  <c r="Z137" i="1" a="1"/>
  <c r="Z137" i="1" s="1"/>
  <c r="Y138" i="1"/>
  <c r="AB138" i="1" s="1" a="1"/>
  <c r="AB138" i="1" s="1"/>
  <c r="Z138" i="1" a="1"/>
  <c r="Z138" i="1" s="1"/>
  <c r="Y139" i="1"/>
  <c r="Z139" i="1" a="1"/>
  <c r="Z139" i="1" s="1"/>
  <c r="Y140" i="1"/>
  <c r="AC140" i="1" s="1" a="1"/>
  <c r="AC140" i="1" s="1"/>
  <c r="Z140" i="1" a="1"/>
  <c r="Z140" i="1" s="1"/>
  <c r="Y141" i="1"/>
  <c r="AB141" i="1" s="1" a="1"/>
  <c r="AB141" i="1" s="1"/>
  <c r="Z141" i="1" a="1"/>
  <c r="Z141" i="1" s="1"/>
  <c r="AA141" i="1" a="1"/>
  <c r="AA141" i="1" s="1"/>
  <c r="Y142" i="1"/>
  <c r="Z142" i="1" a="1"/>
  <c r="Z142" i="1" s="1"/>
  <c r="Y143" i="1"/>
  <c r="AA143" i="1" s="1" a="1"/>
  <c r="AA143" i="1" s="1"/>
  <c r="Z143" i="1" a="1"/>
  <c r="Z143" i="1" s="1"/>
  <c r="Y144" i="1"/>
  <c r="AC144" i="1" s="1" a="1"/>
  <c r="AC144" i="1" s="1"/>
  <c r="Z144" i="1" a="1"/>
  <c r="Z144" i="1"/>
  <c r="Y145" i="1"/>
  <c r="Z145" i="1" a="1"/>
  <c r="Z145" i="1" s="1"/>
  <c r="Y146" i="1"/>
  <c r="AA146" i="1" s="1" a="1"/>
  <c r="AA146" i="1" s="1"/>
  <c r="Z146" i="1" a="1"/>
  <c r="Z146" i="1" s="1"/>
  <c r="Y147" i="1"/>
  <c r="Z147" i="1" a="1"/>
  <c r="Z147" i="1" s="1"/>
  <c r="Y148" i="1"/>
  <c r="AB148" i="1" s="1" a="1"/>
  <c r="AB148" i="1" s="1"/>
  <c r="Z148" i="1" a="1"/>
  <c r="Z148" i="1" s="1"/>
  <c r="Y149" i="1"/>
  <c r="Z149" i="1" a="1"/>
  <c r="Z149" i="1"/>
  <c r="Y150" i="1"/>
  <c r="Z150" i="1" a="1"/>
  <c r="Z150" i="1" s="1"/>
  <c r="Y151" i="1"/>
  <c r="AA151" i="1" s="1" a="1"/>
  <c r="AA151" i="1" s="1"/>
  <c r="Z151" i="1" a="1"/>
  <c r="Z151" i="1" s="1"/>
  <c r="AB151" i="1" a="1"/>
  <c r="AB151" i="1" s="1"/>
  <c r="Y152" i="1"/>
  <c r="AD152" i="1" s="1"/>
  <c r="Z152" i="1" a="1"/>
  <c r="Z152" i="1"/>
  <c r="AA152" i="1" a="1"/>
  <c r="AA152" i="1" s="1"/>
  <c r="Y153" i="1"/>
  <c r="AA153" i="1" s="1" a="1"/>
  <c r="AA153" i="1" s="1"/>
  <c r="Z153" i="1" a="1"/>
  <c r="Z153" i="1"/>
  <c r="Y154" i="1"/>
  <c r="Z154" i="1" a="1"/>
  <c r="Z154" i="1" s="1"/>
  <c r="Y155" i="1"/>
  <c r="Z155" i="1" a="1"/>
  <c r="Z155" i="1" s="1"/>
  <c r="Y156" i="1"/>
  <c r="Z156" i="1" a="1"/>
  <c r="Z156" i="1" s="1"/>
  <c r="Y157" i="1"/>
  <c r="AB157" i="1" s="1" a="1"/>
  <c r="AB157" i="1" s="1"/>
  <c r="Z157" i="1" a="1"/>
  <c r="Z157" i="1"/>
  <c r="Y158" i="1"/>
  <c r="AC158" i="1" s="1" a="1"/>
  <c r="AC158" i="1" s="1"/>
  <c r="Z158" i="1" a="1"/>
  <c r="Z158" i="1" s="1"/>
  <c r="Y159" i="1"/>
  <c r="Z159" i="1" a="1"/>
  <c r="Z159" i="1" s="1"/>
  <c r="Y160" i="1"/>
  <c r="Z160" i="1" a="1"/>
  <c r="Z160" i="1" s="1"/>
  <c r="Y161" i="1"/>
  <c r="Z161" i="1" a="1"/>
  <c r="Z161" i="1" s="1"/>
  <c r="AC161" i="1" a="1"/>
  <c r="AC161" i="1" s="1"/>
  <c r="Y162" i="1"/>
  <c r="Z162" i="1" a="1"/>
  <c r="Z162" i="1"/>
  <c r="Y163" i="1"/>
  <c r="Z163" i="1" a="1"/>
  <c r="Z163" i="1" s="1"/>
  <c r="Y164" i="1"/>
  <c r="AB164" i="1" s="1" a="1"/>
  <c r="AB164" i="1" s="1"/>
  <c r="Z164" i="1" a="1"/>
  <c r="Z164" i="1" s="1"/>
  <c r="AA164" i="1" a="1"/>
  <c r="AA164" i="1" s="1"/>
  <c r="AC164" i="1" a="1"/>
  <c r="AC164" i="1" s="1"/>
  <c r="AD164" i="1"/>
  <c r="Y165" i="1"/>
  <c r="AA165" i="1" s="1" a="1"/>
  <c r="AA165" i="1" s="1"/>
  <c r="Z165" i="1" a="1"/>
  <c r="Z165" i="1" s="1"/>
  <c r="AD165" i="1"/>
  <c r="Y166" i="1"/>
  <c r="AB166" i="1" s="1" a="1"/>
  <c r="AB166" i="1" s="1"/>
  <c r="Z166" i="1" a="1"/>
  <c r="Z166" i="1" s="1"/>
  <c r="AA166" i="1" a="1"/>
  <c r="AA166" i="1" s="1"/>
  <c r="Y167" i="1"/>
  <c r="Z167" i="1" a="1"/>
  <c r="Z167" i="1" s="1"/>
  <c r="Y168" i="1"/>
  <c r="AC168" i="1" s="1" a="1"/>
  <c r="AC168" i="1" s="1"/>
  <c r="Z168" i="1" a="1"/>
  <c r="Z168" i="1" s="1"/>
  <c r="Y169" i="1"/>
  <c r="AC169" i="1" s="1" a="1"/>
  <c r="AC169" i="1" s="1"/>
  <c r="Z169" i="1" a="1"/>
  <c r="Z169" i="1" s="1"/>
  <c r="Y170" i="1"/>
  <c r="AC170" i="1" s="1" a="1"/>
  <c r="AC170" i="1" s="1"/>
  <c r="Z170" i="1" a="1"/>
  <c r="Z170" i="1" s="1"/>
  <c r="Y171" i="1"/>
  <c r="Z171" i="1" a="1"/>
  <c r="Z171" i="1" s="1"/>
  <c r="Y172" i="1"/>
  <c r="AA172" i="1" s="1" a="1"/>
  <c r="AA172" i="1" s="1"/>
  <c r="Z172" i="1" a="1"/>
  <c r="Z172" i="1" s="1"/>
  <c r="Y173" i="1"/>
  <c r="AD173" i="1" s="1"/>
  <c r="Z173" i="1" a="1"/>
  <c r="Z173" i="1" s="1"/>
  <c r="Y174" i="1"/>
  <c r="Z174" i="1" a="1"/>
  <c r="Z174" i="1" s="1"/>
  <c r="Y175" i="1"/>
  <c r="Z175" i="1" a="1"/>
  <c r="Z175" i="1" s="1"/>
  <c r="Y176" i="1"/>
  <c r="AC176" i="1" s="1" a="1"/>
  <c r="AC176" i="1" s="1"/>
  <c r="Z176" i="1" a="1"/>
  <c r="Z176" i="1" s="1"/>
  <c r="AD176" i="1"/>
  <c r="Y177" i="1"/>
  <c r="Z177" i="1" a="1"/>
  <c r="Z177" i="1" s="1"/>
  <c r="Y178" i="1"/>
  <c r="AB178" i="1" s="1" a="1"/>
  <c r="AB178" i="1" s="1"/>
  <c r="Z178" i="1" a="1"/>
  <c r="Z178" i="1" s="1"/>
  <c r="Y179" i="1"/>
  <c r="AD179" i="1" s="1"/>
  <c r="Z179" i="1" a="1"/>
  <c r="Z179" i="1" s="1"/>
  <c r="Y180" i="1"/>
  <c r="Z180" i="1" a="1"/>
  <c r="Z180" i="1" s="1"/>
  <c r="Y181" i="1"/>
  <c r="Z181" i="1" a="1"/>
  <c r="Z181" i="1"/>
  <c r="Y182" i="1"/>
  <c r="AA182" i="1" s="1" a="1"/>
  <c r="AA182" i="1" s="1"/>
  <c r="Z182" i="1" a="1"/>
  <c r="Z182" i="1"/>
  <c r="AB182" i="1" a="1"/>
  <c r="AB182" i="1" s="1"/>
  <c r="AC182" i="1" a="1"/>
  <c r="AC182" i="1" s="1"/>
  <c r="Y183" i="1"/>
  <c r="Z183" i="1" a="1"/>
  <c r="Z183" i="1" s="1"/>
  <c r="Y184" i="1"/>
  <c r="AA184" i="1" s="1" a="1"/>
  <c r="AA184" i="1" s="1"/>
  <c r="Z184" i="1" a="1"/>
  <c r="Z184" i="1" s="1"/>
  <c r="Y185" i="1"/>
  <c r="Z185" i="1" a="1"/>
  <c r="Z185" i="1"/>
  <c r="Y186" i="1"/>
  <c r="AD186" i="1" s="1"/>
  <c r="Z186" i="1" a="1"/>
  <c r="Z186" i="1"/>
  <c r="AA186" i="1" a="1"/>
  <c r="AA186" i="1" s="1"/>
  <c r="Y187" i="1"/>
  <c r="AB187" i="1" s="1" a="1"/>
  <c r="AB187" i="1" s="1"/>
  <c r="Z187" i="1" a="1"/>
  <c r="Z187" i="1" s="1"/>
  <c r="Y188" i="1"/>
  <c r="AA188" i="1" s="1" a="1"/>
  <c r="AA188" i="1" s="1"/>
  <c r="Z188" i="1" a="1"/>
  <c r="Z188" i="1" s="1"/>
  <c r="Y189" i="1"/>
  <c r="AB189" i="1" s="1" a="1"/>
  <c r="AB189" i="1" s="1"/>
  <c r="Z189" i="1" a="1"/>
  <c r="Z189" i="1" s="1"/>
  <c r="AC189" i="1" a="1"/>
  <c r="AC189" i="1" s="1"/>
  <c r="Y190" i="1"/>
  <c r="AA190" i="1" s="1" a="1"/>
  <c r="AA190" i="1" s="1"/>
  <c r="Z190" i="1" a="1"/>
  <c r="Z190" i="1" s="1"/>
  <c r="Y191" i="1"/>
  <c r="AC191" i="1" s="1" a="1"/>
  <c r="AC191" i="1" s="1"/>
  <c r="Z191" i="1" a="1"/>
  <c r="Z191" i="1" s="1"/>
  <c r="Y192" i="1"/>
  <c r="Z192" i="1" a="1"/>
  <c r="Z192" i="1" s="1"/>
  <c r="Y193" i="1"/>
  <c r="AB193" i="1" s="1" a="1"/>
  <c r="AB193" i="1" s="1"/>
  <c r="Z193" i="1" a="1"/>
  <c r="Z193" i="1" s="1"/>
  <c r="AD193" i="1"/>
  <c r="Y194" i="1"/>
  <c r="Z194" i="1" a="1"/>
  <c r="Z194" i="1" s="1"/>
  <c r="Y195" i="1"/>
  <c r="AC195" i="1" s="1" a="1"/>
  <c r="AC195" i="1" s="1"/>
  <c r="Z195" i="1" a="1"/>
  <c r="Z195" i="1" s="1"/>
  <c r="Y196" i="1"/>
  <c r="AA196" i="1" s="1" a="1"/>
  <c r="AA196" i="1" s="1"/>
  <c r="Z196" i="1" a="1"/>
  <c r="Z196" i="1" s="1"/>
  <c r="Y197" i="1"/>
  <c r="AA197" i="1" s="1" a="1"/>
  <c r="AA197" i="1" s="1"/>
  <c r="Z197" i="1" a="1"/>
  <c r="Z197" i="1" s="1"/>
  <c r="Y198" i="1"/>
  <c r="Z198" i="1" a="1"/>
  <c r="Z198" i="1"/>
  <c r="Y199" i="1"/>
  <c r="Z199" i="1" a="1"/>
  <c r="Z199" i="1" s="1"/>
  <c r="Y200" i="1"/>
  <c r="Z200" i="1" a="1"/>
  <c r="Z200" i="1" s="1"/>
  <c r="Y201" i="1"/>
  <c r="AA201" i="1" s="1" a="1"/>
  <c r="AA201" i="1" s="1"/>
  <c r="Z201" i="1" a="1"/>
  <c r="Z201" i="1" s="1"/>
  <c r="Y202" i="1"/>
  <c r="AC202" i="1" s="1" a="1"/>
  <c r="AC202" i="1" s="1"/>
  <c r="Z202" i="1" a="1"/>
  <c r="Z202" i="1" s="1"/>
  <c r="Y203" i="1"/>
  <c r="AC203" i="1" s="1" a="1"/>
  <c r="AC203" i="1" s="1"/>
  <c r="Z203" i="1" a="1"/>
  <c r="Z203" i="1" s="1"/>
  <c r="Y204" i="1"/>
  <c r="Z204" i="1" a="1"/>
  <c r="Z204" i="1" s="1"/>
  <c r="Y205" i="1"/>
  <c r="Z205" i="1" a="1"/>
  <c r="Z205" i="1" s="1"/>
  <c r="Y206" i="1"/>
  <c r="Z206" i="1" a="1"/>
  <c r="Z206" i="1" s="1"/>
  <c r="Y207" i="1"/>
  <c r="AA207" i="1" s="1" a="1"/>
  <c r="AA207" i="1" s="1"/>
  <c r="Z207" i="1" a="1"/>
  <c r="Z207" i="1" s="1"/>
  <c r="Y208" i="1"/>
  <c r="Z208" i="1" a="1"/>
  <c r="Z208" i="1" s="1"/>
  <c r="Y209" i="1"/>
  <c r="Z209" i="1" a="1"/>
  <c r="Z209" i="1"/>
  <c r="Y210" i="1"/>
  <c r="AC210" i="1" s="1" a="1"/>
  <c r="AC210" i="1" s="1"/>
  <c r="Z210" i="1" a="1"/>
  <c r="Z210" i="1"/>
  <c r="AB210" i="1" a="1"/>
  <c r="AB210" i="1" s="1"/>
  <c r="AD210" i="1"/>
  <c r="Y211" i="1"/>
  <c r="Z211" i="1" a="1"/>
  <c r="Z211" i="1" s="1"/>
  <c r="Y212" i="1"/>
  <c r="Z212" i="1" a="1"/>
  <c r="Z212" i="1" s="1"/>
  <c r="Y213" i="1"/>
  <c r="Z213" i="1" a="1"/>
  <c r="Z213" i="1" s="1"/>
  <c r="Y214" i="1"/>
  <c r="Z214" i="1" a="1"/>
  <c r="Z214" i="1"/>
  <c r="Y215" i="1"/>
  <c r="Z215" i="1" a="1"/>
  <c r="Z215" i="1"/>
  <c r="Y216" i="1"/>
  <c r="Z216" i="1" a="1"/>
  <c r="Z216" i="1" s="1"/>
  <c r="Y217" i="1"/>
  <c r="Z217" i="1" a="1"/>
  <c r="Z217" i="1"/>
  <c r="Y218" i="1"/>
  <c r="AB218" i="1" s="1" a="1"/>
  <c r="AB218" i="1" s="1"/>
  <c r="Z218" i="1" a="1"/>
  <c r="Z218" i="1"/>
  <c r="Y219" i="1"/>
  <c r="AB219" i="1" s="1" a="1"/>
  <c r="AB219" i="1" s="1"/>
  <c r="Z219" i="1" a="1"/>
  <c r="Z219" i="1" s="1"/>
  <c r="Y220" i="1"/>
  <c r="AD220" i="1" s="1"/>
  <c r="Z220" i="1" a="1"/>
  <c r="Z220" i="1" s="1"/>
  <c r="Y221" i="1"/>
  <c r="Z221" i="1" a="1"/>
  <c r="Z221" i="1" s="1"/>
  <c r="Y222" i="1"/>
  <c r="Z222" i="1" a="1"/>
  <c r="Z222" i="1"/>
  <c r="Y223" i="1"/>
  <c r="AB223" i="1" s="1" a="1"/>
  <c r="AB223" i="1" s="1"/>
  <c r="Z223" i="1" a="1"/>
  <c r="Z223" i="1"/>
  <c r="Y224" i="1"/>
  <c r="AC224" i="1" s="1" a="1"/>
  <c r="AC224" i="1" s="1"/>
  <c r="Z224" i="1" a="1"/>
  <c r="Z224" i="1" s="1"/>
  <c r="AD224" i="1"/>
  <c r="Y225" i="1"/>
  <c r="Z225" i="1" a="1"/>
  <c r="Z225" i="1"/>
  <c r="AD225" i="1"/>
  <c r="Y226" i="1"/>
  <c r="AD226" i="1" s="1"/>
  <c r="Z226" i="1" a="1"/>
  <c r="Z226" i="1" s="1"/>
  <c r="Y227" i="1"/>
  <c r="AB227" i="1" s="1" a="1"/>
  <c r="AB227" i="1" s="1"/>
  <c r="Z227" i="1" a="1"/>
  <c r="Z227" i="1"/>
  <c r="Y228" i="1"/>
  <c r="AA228" i="1" s="1" a="1"/>
  <c r="AA228" i="1" s="1"/>
  <c r="Z228" i="1" a="1"/>
  <c r="Z228" i="1" s="1"/>
  <c r="Y229" i="1"/>
  <c r="AD229" i="1" s="1"/>
  <c r="Z229" i="1" a="1"/>
  <c r="Z229" i="1" s="1"/>
  <c r="AA229" i="1" a="1"/>
  <c r="AA229" i="1" s="1"/>
  <c r="Y230" i="1"/>
  <c r="AC230" i="1" s="1" a="1"/>
  <c r="AC230" i="1" s="1"/>
  <c r="Z230" i="1" a="1"/>
  <c r="Z230" i="1" s="1"/>
  <c r="Y231" i="1"/>
  <c r="AA231" i="1" s="1" a="1"/>
  <c r="AA231" i="1" s="1"/>
  <c r="Z231" i="1" a="1"/>
  <c r="Z231" i="1" s="1"/>
  <c r="Y232" i="1"/>
  <c r="AA232" i="1" s="1" a="1"/>
  <c r="AA232" i="1" s="1"/>
  <c r="Z232" i="1" a="1"/>
  <c r="Z232" i="1"/>
  <c r="Y233" i="1"/>
  <c r="Z233" i="1" a="1"/>
  <c r="Z233" i="1"/>
  <c r="Y234" i="1"/>
  <c r="Z234" i="1" a="1"/>
  <c r="Z234" i="1"/>
  <c r="Y235" i="1"/>
  <c r="Z235" i="1" a="1"/>
  <c r="Z235" i="1" s="1"/>
  <c r="Y236" i="1"/>
  <c r="Z236" i="1" a="1"/>
  <c r="Z236" i="1" s="1"/>
  <c r="Y237" i="1"/>
  <c r="AA237" i="1" s="1" a="1"/>
  <c r="AA237" i="1" s="1"/>
  <c r="Z237" i="1" a="1"/>
  <c r="Z237" i="1" s="1"/>
  <c r="Y238" i="1"/>
  <c r="Z238" i="1" a="1"/>
  <c r="Z238" i="1" s="1"/>
  <c r="Y239" i="1"/>
  <c r="Z239" i="1" a="1"/>
  <c r="Z239" i="1" s="1"/>
  <c r="Y240" i="1"/>
  <c r="Z240" i="1" a="1"/>
  <c r="Z240" i="1" s="1"/>
  <c r="Y241" i="1"/>
  <c r="AC241" i="1" s="1" a="1"/>
  <c r="AC241" i="1" s="1"/>
  <c r="Z241" i="1" a="1"/>
  <c r="Z241" i="1"/>
  <c r="Y242" i="1"/>
  <c r="AD242" i="1" s="1"/>
  <c r="Z242" i="1" a="1"/>
  <c r="Z242" i="1" s="1"/>
  <c r="Y243" i="1"/>
  <c r="Z243" i="1" a="1"/>
  <c r="Z243" i="1" s="1"/>
  <c r="AA243" i="1" a="1"/>
  <c r="AA243" i="1" s="1"/>
  <c r="Y244" i="1"/>
  <c r="Z244" i="1" a="1"/>
  <c r="Z244" i="1" s="1"/>
  <c r="Y245" i="1"/>
  <c r="AA245" i="1" s="1" a="1"/>
  <c r="AA245" i="1" s="1"/>
  <c r="Z245" i="1" a="1"/>
  <c r="Z245" i="1"/>
  <c r="Y246" i="1"/>
  <c r="Z246" i="1" a="1"/>
  <c r="Z246" i="1" s="1"/>
  <c r="Y247" i="1"/>
  <c r="AC247" i="1" s="1" a="1"/>
  <c r="AC247" i="1" s="1"/>
  <c r="Z247" i="1" a="1"/>
  <c r="Z247" i="1" s="1"/>
  <c r="Y248" i="1"/>
  <c r="Z248" i="1" a="1"/>
  <c r="Z248" i="1"/>
  <c r="Y249" i="1"/>
  <c r="AA249" i="1" s="1" a="1"/>
  <c r="AA249" i="1" s="1"/>
  <c r="Z249" i="1" a="1"/>
  <c r="Z249" i="1"/>
  <c r="Y250" i="1"/>
  <c r="AB250" i="1" s="1" a="1"/>
  <c r="AB250" i="1" s="1"/>
  <c r="Z250" i="1" a="1"/>
  <c r="Z250" i="1" s="1"/>
  <c r="Y251" i="1"/>
  <c r="Z251" i="1" a="1"/>
  <c r="Z251" i="1"/>
  <c r="AC251" i="1" a="1"/>
  <c r="AC251" i="1" s="1"/>
  <c r="Y252" i="1"/>
  <c r="AC252" i="1" s="1" a="1"/>
  <c r="AC252" i="1" s="1"/>
  <c r="Z252" i="1" a="1"/>
  <c r="Z252" i="1" s="1"/>
  <c r="Y253" i="1"/>
  <c r="Z253" i="1" a="1"/>
  <c r="Z253" i="1"/>
  <c r="Y254" i="1"/>
  <c r="AA254" i="1" s="1" a="1"/>
  <c r="AA254" i="1" s="1"/>
  <c r="Z254" i="1" a="1"/>
  <c r="Z254" i="1"/>
  <c r="AD254" i="1"/>
  <c r="Y255" i="1"/>
  <c r="AA255" i="1" s="1" a="1"/>
  <c r="AA255" i="1" s="1"/>
  <c r="Z255" i="1" a="1"/>
  <c r="Z255" i="1" s="1"/>
  <c r="Y256" i="1"/>
  <c r="Z256" i="1" a="1"/>
  <c r="Z256" i="1" s="1"/>
  <c r="Y257" i="1"/>
  <c r="AC257" i="1" s="1" a="1"/>
  <c r="AC257" i="1" s="1"/>
  <c r="Z257" i="1" a="1"/>
  <c r="Z257" i="1" s="1"/>
  <c r="AB257" i="1" a="1"/>
  <c r="AB257" i="1"/>
  <c r="Y258" i="1"/>
  <c r="Z258" i="1" a="1"/>
  <c r="Z258" i="1" s="1"/>
  <c r="Y259" i="1"/>
  <c r="Z259" i="1" a="1"/>
  <c r="Z259" i="1" s="1"/>
  <c r="Y260" i="1"/>
  <c r="AB260" i="1" s="1" a="1"/>
  <c r="AB260" i="1" s="1"/>
  <c r="Z260" i="1" a="1"/>
  <c r="Z260" i="1" s="1"/>
  <c r="AA260" i="1" a="1"/>
  <c r="AA260" i="1" s="1"/>
  <c r="Y261" i="1"/>
  <c r="Z261" i="1" a="1"/>
  <c r="Z261" i="1" s="1"/>
  <c r="Y262" i="1"/>
  <c r="Z262" i="1" a="1"/>
  <c r="Z262" i="1" s="1"/>
  <c r="AA262" i="1" a="1"/>
  <c r="AA262" i="1" s="1"/>
  <c r="AC262" i="1" a="1"/>
  <c r="AC262" i="1" s="1"/>
  <c r="Y263" i="1"/>
  <c r="AA263" i="1" s="1" a="1"/>
  <c r="AA263" i="1" s="1"/>
  <c r="Z263" i="1" a="1"/>
  <c r="Z263" i="1" s="1"/>
  <c r="Y264" i="1"/>
  <c r="AB264" i="1" s="1" a="1"/>
  <c r="AB264" i="1" s="1"/>
  <c r="Z264" i="1" a="1"/>
  <c r="Z264" i="1" s="1"/>
  <c r="Y265" i="1"/>
  <c r="Z265" i="1" a="1"/>
  <c r="Z265" i="1" s="1"/>
  <c r="Y266" i="1"/>
  <c r="AD266" i="1" s="1"/>
  <c r="Z266" i="1" a="1"/>
  <c r="Z266" i="1"/>
  <c r="Y267" i="1"/>
  <c r="Z267" i="1" a="1"/>
  <c r="Z267" i="1" s="1"/>
  <c r="Y268" i="1"/>
  <c r="AC268" i="1" s="1" a="1"/>
  <c r="AC268" i="1" s="1"/>
  <c r="Z268" i="1" a="1"/>
  <c r="Z268" i="1" s="1"/>
  <c r="Y269" i="1"/>
  <c r="Z269" i="1" a="1"/>
  <c r="Z269" i="1" s="1"/>
  <c r="Y270" i="1"/>
  <c r="AD270" i="1" s="1"/>
  <c r="Z270" i="1" a="1"/>
  <c r="Z270" i="1" s="1"/>
  <c r="Y271" i="1"/>
  <c r="Z271" i="1" a="1"/>
  <c r="Z271" i="1"/>
  <c r="Y272" i="1"/>
  <c r="AD272" i="1" s="1"/>
  <c r="Z272" i="1" a="1"/>
  <c r="Z272" i="1"/>
  <c r="Y273" i="1"/>
  <c r="AB273" i="1" s="1" a="1"/>
  <c r="AB273" i="1" s="1"/>
  <c r="Z273" i="1" a="1"/>
  <c r="Z273" i="1"/>
  <c r="Y274" i="1"/>
  <c r="Z274" i="1" a="1"/>
  <c r="Z274" i="1" s="1"/>
  <c r="Y275" i="1"/>
  <c r="AA275" i="1" s="1" a="1"/>
  <c r="AA275" i="1" s="1"/>
  <c r="Z275" i="1" a="1"/>
  <c r="Z275" i="1"/>
  <c r="AD275" i="1"/>
  <c r="Y276" i="1"/>
  <c r="AA276" i="1" s="1" a="1"/>
  <c r="AA276" i="1" s="1"/>
  <c r="Z276" i="1" a="1"/>
  <c r="Z276" i="1" s="1"/>
  <c r="Y277" i="1"/>
  <c r="AC277" i="1" s="1" a="1"/>
  <c r="AC277" i="1" s="1"/>
  <c r="Z277" i="1" a="1"/>
  <c r="Z277" i="1" s="1"/>
  <c r="AB277" i="1" a="1"/>
  <c r="AB277" i="1" s="1"/>
  <c r="Y278" i="1"/>
  <c r="Z278" i="1" a="1"/>
  <c r="Z278" i="1" s="1"/>
  <c r="Y279" i="1"/>
  <c r="AC279" i="1" s="1" a="1"/>
  <c r="AC279" i="1" s="1"/>
  <c r="Z279" i="1" a="1"/>
  <c r="Z279" i="1" s="1"/>
  <c r="Y280" i="1"/>
  <c r="Z280" i="1" a="1"/>
  <c r="Z280" i="1" s="1"/>
  <c r="Y281" i="1"/>
  <c r="AB281" i="1" s="1" a="1"/>
  <c r="AB281" i="1" s="1"/>
  <c r="Z281" i="1" a="1"/>
  <c r="Z281" i="1"/>
  <c r="Y282" i="1"/>
  <c r="Z282" i="1" a="1"/>
  <c r="Z282" i="1" s="1"/>
  <c r="Y283" i="1"/>
  <c r="Z283" i="1" a="1"/>
  <c r="Z283" i="1"/>
  <c r="Y284" i="1"/>
  <c r="AA284" i="1" s="1" a="1"/>
  <c r="AA284" i="1" s="1"/>
  <c r="Z284" i="1" a="1"/>
  <c r="Z284" i="1" s="1"/>
  <c r="AC284" i="1" a="1"/>
  <c r="AC284" i="1" s="1"/>
  <c r="Y285" i="1"/>
  <c r="Z285" i="1" a="1"/>
  <c r="Z285" i="1" s="1"/>
  <c r="Y286" i="1"/>
  <c r="Z286" i="1" a="1"/>
  <c r="Z286" i="1" s="1"/>
  <c r="Y287" i="1"/>
  <c r="AB287" i="1" s="1" a="1"/>
  <c r="AB287" i="1" s="1"/>
  <c r="Z287" i="1" a="1"/>
  <c r="Z287" i="1" s="1"/>
  <c r="AA287" i="1" a="1"/>
  <c r="AA287" i="1" s="1"/>
  <c r="AC287" i="1" a="1"/>
  <c r="AC287" i="1" s="1"/>
  <c r="AD287" i="1"/>
  <c r="Y288" i="1"/>
  <c r="Z288" i="1" a="1"/>
  <c r="Z288" i="1" s="1"/>
  <c r="Y289" i="1"/>
  <c r="AA289" i="1" s="1" a="1"/>
  <c r="AA289" i="1" s="1"/>
  <c r="Z289" i="1" a="1"/>
  <c r="Z289" i="1"/>
  <c r="AD289" i="1"/>
  <c r="Y290" i="1"/>
  <c r="Z290" i="1" a="1"/>
  <c r="Z290" i="1" s="1"/>
  <c r="Y291" i="1"/>
  <c r="Z291" i="1" a="1"/>
  <c r="Z291" i="1" s="1"/>
  <c r="Y292" i="1"/>
  <c r="AA292" i="1" s="1" a="1"/>
  <c r="AA292" i="1" s="1"/>
  <c r="Z292" i="1" a="1"/>
  <c r="Z292" i="1" s="1"/>
  <c r="Y293" i="1"/>
  <c r="Z293" i="1" a="1"/>
  <c r="Z293" i="1"/>
  <c r="Y294" i="1"/>
  <c r="Z294" i="1" a="1"/>
  <c r="Z294" i="1"/>
  <c r="Y295" i="1"/>
  <c r="Z295" i="1" a="1"/>
  <c r="Z295" i="1" s="1"/>
  <c r="Y296" i="1"/>
  <c r="AA296" i="1" s="1" a="1"/>
  <c r="AA296" i="1" s="1"/>
  <c r="Z296" i="1" a="1"/>
  <c r="Z296" i="1"/>
  <c r="AB296" i="1" a="1"/>
  <c r="AB296" i="1" s="1"/>
  <c r="Y297" i="1"/>
  <c r="Z297" i="1" a="1"/>
  <c r="Z297" i="1" s="1"/>
  <c r="Y298" i="1"/>
  <c r="AD298" i="1" s="1"/>
  <c r="Z298" i="1" a="1"/>
  <c r="Z298" i="1" s="1"/>
  <c r="Y299" i="1"/>
  <c r="AC299" i="1" s="1" a="1"/>
  <c r="AC299" i="1" s="1"/>
  <c r="Z299" i="1" a="1"/>
  <c r="Z299" i="1" s="1"/>
  <c r="Y300" i="1"/>
  <c r="Z300" i="1" a="1"/>
  <c r="Z300" i="1"/>
  <c r="Y301" i="1"/>
  <c r="AB301" i="1" s="1" a="1"/>
  <c r="AB301" i="1" s="1"/>
  <c r="Z301" i="1" a="1"/>
  <c r="Z301" i="1" s="1"/>
  <c r="Y302" i="1"/>
  <c r="AC302" i="1" s="1" a="1"/>
  <c r="AC302" i="1" s="1"/>
  <c r="Z302" i="1" a="1"/>
  <c r="Z302" i="1" s="1"/>
  <c r="Y303" i="1"/>
  <c r="AB303" i="1" s="1" a="1"/>
  <c r="AB303" i="1" s="1"/>
  <c r="Z303" i="1" a="1"/>
  <c r="Z303" i="1" s="1"/>
  <c r="Y304" i="1"/>
  <c r="Z304" i="1" a="1"/>
  <c r="Z304" i="1" s="1"/>
  <c r="AA304" i="1" a="1"/>
  <c r="AA304" i="1" s="1"/>
  <c r="AB304" i="1" a="1"/>
  <c r="AB304" i="1" s="1"/>
  <c r="Y305" i="1"/>
  <c r="Z305" i="1" a="1"/>
  <c r="Z305" i="1" s="1"/>
  <c r="Y306" i="1"/>
  <c r="AA306" i="1" s="1" a="1"/>
  <c r="AA306" i="1" s="1"/>
  <c r="Z306" i="1" a="1"/>
  <c r="Z306" i="1"/>
  <c r="Y307" i="1"/>
  <c r="AD307" i="1" s="1"/>
  <c r="Z307" i="1" a="1"/>
  <c r="Z307" i="1"/>
  <c r="AC307" i="1" a="1"/>
  <c r="AC307" i="1" s="1"/>
  <c r="Y308" i="1"/>
  <c r="Z308" i="1" a="1"/>
  <c r="Z308" i="1" s="1"/>
  <c r="Y309" i="1"/>
  <c r="Z309" i="1" a="1"/>
  <c r="Z309" i="1" s="1"/>
  <c r="Y310" i="1"/>
  <c r="AC310" i="1" s="1" a="1"/>
  <c r="AC310" i="1" s="1"/>
  <c r="Z310" i="1" a="1"/>
  <c r="Z310" i="1" s="1"/>
  <c r="Y311" i="1"/>
  <c r="AA311" i="1" s="1" a="1"/>
  <c r="AA311" i="1" s="1"/>
  <c r="Z311" i="1" a="1"/>
  <c r="Z311" i="1" s="1"/>
  <c r="Y312" i="1"/>
  <c r="AA312" i="1" s="1" a="1"/>
  <c r="AA312" i="1" s="1"/>
  <c r="Z312" i="1" a="1"/>
  <c r="Z312" i="1" s="1"/>
  <c r="Y313" i="1"/>
  <c r="AB313" i="1" s="1" a="1"/>
  <c r="AB313" i="1" s="1"/>
  <c r="Z313" i="1" a="1"/>
  <c r="Z313" i="1"/>
  <c r="Y314" i="1"/>
  <c r="AA314" i="1" s="1" a="1"/>
  <c r="AA314" i="1" s="1"/>
  <c r="Z314" i="1" a="1"/>
  <c r="Z314" i="1"/>
  <c r="Y315" i="1"/>
  <c r="AA315" i="1" s="1" a="1"/>
  <c r="AA315" i="1" s="1"/>
  <c r="Z315" i="1" a="1"/>
  <c r="Z315" i="1" s="1"/>
  <c r="Y316" i="1"/>
  <c r="AD316" i="1" s="1"/>
  <c r="Z316" i="1" a="1"/>
  <c r="Z316" i="1" s="1"/>
  <c r="Y317" i="1"/>
  <c r="Z317" i="1" a="1"/>
  <c r="Z317" i="1" s="1"/>
  <c r="Y318" i="1"/>
  <c r="Z318" i="1" a="1"/>
  <c r="Z318" i="1" s="1"/>
  <c r="Y319" i="1"/>
  <c r="Z319" i="1" a="1"/>
  <c r="Z319" i="1"/>
  <c r="Y320" i="1"/>
  <c r="Z320" i="1" a="1"/>
  <c r="Z320" i="1" s="1"/>
  <c r="Y321" i="1"/>
  <c r="Z321" i="1" a="1"/>
  <c r="Z321" i="1" s="1"/>
  <c r="Y322" i="1"/>
  <c r="Z322" i="1" a="1"/>
  <c r="Z322" i="1" s="1"/>
  <c r="Y323" i="1"/>
  <c r="Z323" i="1" a="1"/>
  <c r="Z323" i="1" s="1"/>
  <c r="Y324" i="1"/>
  <c r="AC324" i="1" s="1" a="1"/>
  <c r="AC324" i="1" s="1"/>
  <c r="Z324" i="1" a="1"/>
  <c r="Z324" i="1" s="1"/>
  <c r="AA324" i="1" a="1"/>
  <c r="AA324" i="1" s="1"/>
  <c r="AD324" i="1"/>
  <c r="Y325" i="1"/>
  <c r="Z325" i="1" a="1"/>
  <c r="Z325" i="1" s="1"/>
  <c r="Y326" i="1"/>
  <c r="AC326" i="1" s="1" a="1"/>
  <c r="AC326" i="1" s="1"/>
  <c r="Z326" i="1" a="1"/>
  <c r="Z326" i="1" s="1"/>
  <c r="Y327" i="1"/>
  <c r="AB327" i="1" s="1" a="1"/>
  <c r="AB327" i="1" s="1"/>
  <c r="Z327" i="1" a="1"/>
  <c r="Z327" i="1"/>
  <c r="Y328" i="1"/>
  <c r="Z328" i="1" a="1"/>
  <c r="Z328" i="1" s="1"/>
  <c r="Y329" i="1"/>
  <c r="Z329" i="1" a="1"/>
  <c r="Z329" i="1"/>
  <c r="Y330" i="1"/>
  <c r="AA330" i="1" s="1" a="1"/>
  <c r="AA330" i="1" s="1"/>
  <c r="Z330" i="1" a="1"/>
  <c r="Z330" i="1" s="1"/>
  <c r="Y331" i="1"/>
  <c r="AA331" i="1" s="1" a="1"/>
  <c r="AA331" i="1" s="1"/>
  <c r="Z331" i="1" a="1"/>
  <c r="Z331" i="1" s="1"/>
  <c r="Y332" i="1"/>
  <c r="Z332" i="1" a="1"/>
  <c r="Z332" i="1" s="1"/>
  <c r="Y333" i="1"/>
  <c r="AB333" i="1" s="1" a="1"/>
  <c r="AB333" i="1" s="1"/>
  <c r="Z333" i="1" a="1"/>
  <c r="Z333" i="1" s="1"/>
  <c r="Y334" i="1"/>
  <c r="Z334" i="1" a="1"/>
  <c r="Z334" i="1" s="1"/>
  <c r="Y335" i="1"/>
  <c r="Z335" i="1" a="1"/>
  <c r="Z335" i="1" s="1"/>
  <c r="Y336" i="1"/>
  <c r="AA336" i="1" s="1" a="1"/>
  <c r="AA336" i="1" s="1"/>
  <c r="Z336" i="1" a="1"/>
  <c r="Z336" i="1" s="1"/>
  <c r="Y337" i="1"/>
  <c r="AD337" i="1" s="1"/>
  <c r="Z337" i="1" a="1"/>
  <c r="Z337" i="1" s="1"/>
  <c r="Y338" i="1"/>
  <c r="AD338" i="1" s="1"/>
  <c r="Z338" i="1" a="1"/>
  <c r="Z338" i="1" s="1"/>
  <c r="Y339" i="1"/>
  <c r="Z339" i="1" a="1"/>
  <c r="Z339" i="1" s="1"/>
  <c r="Y340" i="1"/>
  <c r="AA340" i="1" s="1" a="1"/>
  <c r="AA340" i="1" s="1"/>
  <c r="Z340" i="1" a="1"/>
  <c r="Z340" i="1" s="1"/>
  <c r="Y341" i="1"/>
  <c r="Z341" i="1" a="1"/>
  <c r="Z341" i="1" s="1"/>
  <c r="Y342" i="1"/>
  <c r="AB342" i="1" s="1" a="1"/>
  <c r="AB342" i="1" s="1"/>
  <c r="Z342" i="1" a="1"/>
  <c r="Z342" i="1" s="1"/>
  <c r="Y343" i="1"/>
  <c r="AC343" i="1" s="1" a="1"/>
  <c r="AC343" i="1" s="1"/>
  <c r="Z343" i="1" a="1"/>
  <c r="Z343" i="1" s="1"/>
  <c r="Y344" i="1"/>
  <c r="AB344" i="1" s="1" a="1"/>
  <c r="AB344" i="1" s="1"/>
  <c r="Z344" i="1" a="1"/>
  <c r="Z344" i="1"/>
  <c r="Y345" i="1"/>
  <c r="Z345" i="1" a="1"/>
  <c r="Z345" i="1" s="1"/>
  <c r="Y346" i="1"/>
  <c r="Z346" i="1" a="1"/>
  <c r="Z346" i="1" s="1"/>
  <c r="Y347" i="1"/>
  <c r="AA347" i="1" s="1" a="1"/>
  <c r="AA347" i="1" s="1"/>
  <c r="Z347" i="1" a="1"/>
  <c r="Z347" i="1"/>
  <c r="Y348" i="1"/>
  <c r="Z348" i="1" a="1"/>
  <c r="Z348" i="1" s="1"/>
  <c r="AA348" i="1" a="1"/>
  <c r="AA348" i="1" s="1"/>
  <c r="Y349" i="1"/>
  <c r="Z349" i="1" a="1"/>
  <c r="Z349" i="1" s="1"/>
  <c r="Y350" i="1"/>
  <c r="AC350" i="1" s="1" a="1"/>
  <c r="AC350" i="1" s="1"/>
  <c r="Z350" i="1" a="1"/>
  <c r="Z350" i="1" s="1"/>
  <c r="AB350" i="1" a="1"/>
  <c r="AB350" i="1" s="1"/>
  <c r="AD350" i="1"/>
  <c r="Y351" i="1"/>
  <c r="Z351" i="1" a="1"/>
  <c r="Z351" i="1" s="1"/>
  <c r="Y352" i="1"/>
  <c r="AC352" i="1" s="1" a="1"/>
  <c r="AC352" i="1" s="1"/>
  <c r="Z352" i="1" a="1"/>
  <c r="Z352" i="1" s="1"/>
  <c r="Y353" i="1"/>
  <c r="AA353" i="1" s="1" a="1"/>
  <c r="AA353" i="1" s="1"/>
  <c r="Z353" i="1" a="1"/>
  <c r="Z353" i="1" s="1"/>
  <c r="Y354" i="1"/>
  <c r="AA354" i="1" s="1" a="1"/>
  <c r="AA354" i="1" s="1"/>
  <c r="Z354" i="1" a="1"/>
  <c r="Z354" i="1" s="1"/>
  <c r="AB354" i="1" a="1"/>
  <c r="AB354" i="1" s="1"/>
  <c r="Y355" i="1"/>
  <c r="Z355" i="1" a="1"/>
  <c r="Z355" i="1"/>
  <c r="Y356" i="1"/>
  <c r="Z356" i="1" a="1"/>
  <c r="Z356" i="1" s="1"/>
  <c r="Y357" i="1"/>
  <c r="AC357" i="1" s="1" a="1"/>
  <c r="AC357" i="1" s="1"/>
  <c r="Z357" i="1" a="1"/>
  <c r="Z357" i="1" s="1"/>
  <c r="Y358" i="1"/>
  <c r="AA358" i="1" s="1" a="1"/>
  <c r="AA358" i="1" s="1"/>
  <c r="Z358" i="1" a="1"/>
  <c r="Z358" i="1" s="1"/>
  <c r="Y359" i="1"/>
  <c r="Z359" i="1" a="1"/>
  <c r="Z359" i="1" s="1"/>
  <c r="AC359" i="1" a="1"/>
  <c r="AC359" i="1" s="1"/>
  <c r="Y360" i="1"/>
  <c r="Z360" i="1" a="1"/>
  <c r="Z360" i="1" s="1"/>
  <c r="Y361" i="1"/>
  <c r="AD361" i="1" s="1"/>
  <c r="Z361" i="1" a="1"/>
  <c r="Z361" i="1" s="1"/>
  <c r="Y362" i="1"/>
  <c r="AA362" i="1" s="1" a="1"/>
  <c r="AA362" i="1" s="1"/>
  <c r="Z362" i="1" a="1"/>
  <c r="Z362" i="1" s="1"/>
  <c r="Y363" i="1"/>
  <c r="Z363" i="1" a="1"/>
  <c r="Z363" i="1" s="1"/>
  <c r="AB363" i="1" a="1"/>
  <c r="AB363" i="1" s="1"/>
  <c r="Y364" i="1"/>
  <c r="Z364" i="1" a="1"/>
  <c r="Z364" i="1" s="1"/>
  <c r="AA364" i="1" a="1"/>
  <c r="AA364" i="1" s="1"/>
  <c r="Y365" i="1"/>
  <c r="Z365" i="1" a="1"/>
  <c r="Z365" i="1" s="1"/>
  <c r="Y366" i="1"/>
  <c r="Z366" i="1" a="1"/>
  <c r="Z366" i="1" s="1"/>
  <c r="Y367" i="1"/>
  <c r="Z367" i="1" a="1"/>
  <c r="Z367" i="1" s="1"/>
  <c r="Y368" i="1"/>
  <c r="Z368" i="1" a="1"/>
  <c r="Z368" i="1"/>
  <c r="Y369" i="1"/>
  <c r="Z369" i="1" a="1"/>
  <c r="Z369" i="1" s="1"/>
  <c r="Y370" i="1"/>
  <c r="AC370" i="1" s="1" a="1"/>
  <c r="AC370" i="1" s="1"/>
  <c r="Z370" i="1" a="1"/>
  <c r="Z370" i="1" s="1"/>
  <c r="Y371" i="1"/>
  <c r="Z371" i="1" a="1"/>
  <c r="Z371" i="1" s="1"/>
  <c r="Y372" i="1"/>
  <c r="AD372" i="1" s="1"/>
  <c r="Z372" i="1" a="1"/>
  <c r="Z372" i="1" s="1"/>
  <c r="AA372" i="1" a="1"/>
  <c r="AA372" i="1" s="1"/>
  <c r="AB372" i="1" a="1"/>
  <c r="AB372" i="1" s="1"/>
  <c r="AC372" i="1" a="1"/>
  <c r="AC372" i="1" s="1"/>
  <c r="Y373" i="1"/>
  <c r="Z373" i="1" a="1"/>
  <c r="Z373" i="1"/>
  <c r="Y374" i="1"/>
  <c r="Z374" i="1" a="1"/>
  <c r="Z374" i="1" s="1"/>
  <c r="Y375" i="1"/>
  <c r="AA375" i="1" s="1" a="1"/>
  <c r="AA375" i="1" s="1"/>
  <c r="Z375" i="1" a="1"/>
  <c r="Z375" i="1" s="1"/>
  <c r="Y376" i="1"/>
  <c r="AA376" i="1" s="1" a="1"/>
  <c r="AA376" i="1" s="1"/>
  <c r="Z376" i="1" a="1"/>
  <c r="Z376" i="1" s="1"/>
  <c r="Y377" i="1"/>
  <c r="AB377" i="1" s="1" a="1"/>
  <c r="Z377" i="1" a="1"/>
  <c r="Z377" i="1"/>
  <c r="AB377" i="1"/>
  <c r="Y378" i="1"/>
  <c r="Z378" i="1" a="1"/>
  <c r="Z378" i="1" s="1"/>
  <c r="Y379" i="1"/>
  <c r="AD379" i="1" s="1"/>
  <c r="Z379" i="1" a="1"/>
  <c r="Z379" i="1" s="1"/>
  <c r="Y380" i="1"/>
  <c r="Z380" i="1" a="1"/>
  <c r="Z380" i="1"/>
  <c r="Y381" i="1"/>
  <c r="Z381" i="1" a="1"/>
  <c r="Z381" i="1" s="1"/>
  <c r="AD381" i="1"/>
  <c r="Y382" i="1"/>
  <c r="AA382" i="1" s="1" a="1"/>
  <c r="AA382" i="1" s="1"/>
  <c r="Z382" i="1" a="1"/>
  <c r="Z382" i="1" s="1"/>
  <c r="Y383" i="1"/>
  <c r="Z383" i="1" a="1"/>
  <c r="Z383" i="1"/>
  <c r="Y384" i="1"/>
  <c r="AB384" i="1" s="1" a="1"/>
  <c r="AB384" i="1" s="1"/>
  <c r="Z384" i="1" a="1"/>
  <c r="Z384" i="1" s="1"/>
  <c r="Y385" i="1"/>
  <c r="Z385" i="1" a="1"/>
  <c r="Z385" i="1" s="1"/>
  <c r="Y386" i="1"/>
  <c r="Z386" i="1" a="1"/>
  <c r="Z386" i="1" s="1"/>
  <c r="AA386" i="1" a="1"/>
  <c r="AA386" i="1" s="1"/>
  <c r="Y387" i="1"/>
  <c r="AA387" i="1" s="1" a="1"/>
  <c r="AA387" i="1" s="1"/>
  <c r="Z387" i="1" a="1"/>
  <c r="Z387" i="1" s="1"/>
  <c r="Y388" i="1"/>
  <c r="AD388" i="1" s="1"/>
  <c r="Z388" i="1" a="1"/>
  <c r="Z388" i="1" s="1"/>
  <c r="Y389" i="1"/>
  <c r="Z389" i="1" a="1"/>
  <c r="Z389" i="1" s="1"/>
  <c r="Y390" i="1"/>
  <c r="Z390" i="1" a="1"/>
  <c r="Z390" i="1" s="1"/>
  <c r="Y391" i="1"/>
  <c r="AB391" i="1" s="1" a="1"/>
  <c r="AB391" i="1" s="1"/>
  <c r="Z391" i="1" a="1"/>
  <c r="Z391" i="1" s="1"/>
  <c r="Y392" i="1"/>
  <c r="AA392" i="1" s="1" a="1"/>
  <c r="AA392" i="1" s="1"/>
  <c r="Z392" i="1" a="1"/>
  <c r="Z392" i="1" s="1"/>
  <c r="Y393" i="1"/>
  <c r="AB393" i="1" s="1" a="1"/>
  <c r="AB393" i="1" s="1"/>
  <c r="Z393" i="1" a="1"/>
  <c r="Z393" i="1"/>
  <c r="Y394" i="1"/>
  <c r="Z394" i="1" a="1"/>
  <c r="Z394" i="1" s="1"/>
  <c r="Y395" i="1"/>
  <c r="AA395" i="1" s="1" a="1"/>
  <c r="AA395" i="1" s="1"/>
  <c r="Z395" i="1" a="1"/>
  <c r="Z395" i="1" s="1"/>
  <c r="Y396" i="1"/>
  <c r="Z396" i="1" a="1"/>
  <c r="Z396" i="1" s="1"/>
  <c r="AD396" i="1"/>
  <c r="Y397" i="1"/>
  <c r="AD397" i="1" s="1"/>
  <c r="Z397" i="1" a="1"/>
  <c r="Z397" i="1" s="1"/>
  <c r="Y398" i="1"/>
  <c r="AC398" i="1" s="1" a="1"/>
  <c r="AC398" i="1" s="1"/>
  <c r="Z398" i="1" a="1"/>
  <c r="Z398" i="1" s="1"/>
  <c r="AA398" i="1" a="1"/>
  <c r="AA398" i="1" s="1"/>
  <c r="Y399" i="1"/>
  <c r="AD399" i="1" s="1"/>
  <c r="Z399" i="1" a="1"/>
  <c r="Z399" i="1" s="1"/>
  <c r="Y400" i="1"/>
  <c r="AC400" i="1" s="1" a="1"/>
  <c r="AC400" i="1" s="1"/>
  <c r="Z400" i="1" a="1"/>
  <c r="Z400" i="1" s="1"/>
  <c r="Y401" i="1"/>
  <c r="Z401" i="1" a="1"/>
  <c r="Z401" i="1" s="1"/>
  <c r="Y402" i="1"/>
  <c r="AB402" i="1" s="1" a="1"/>
  <c r="AB402" i="1" s="1"/>
  <c r="Z402" i="1" a="1"/>
  <c r="Z402" i="1" s="1"/>
  <c r="Y403" i="1"/>
  <c r="Z403" i="1" a="1"/>
  <c r="Z403" i="1" s="1"/>
  <c r="Y404" i="1"/>
  <c r="Z404" i="1" a="1"/>
  <c r="Z404" i="1" s="1"/>
  <c r="Y405" i="1"/>
  <c r="AB405" i="1" s="1" a="1"/>
  <c r="AB405" i="1" s="1"/>
  <c r="Z405" i="1" a="1"/>
  <c r="Z405" i="1" s="1"/>
  <c r="AA405" i="1" a="1"/>
  <c r="AA405" i="1" s="1"/>
  <c r="AC405" i="1" a="1"/>
  <c r="AC405" i="1" s="1"/>
  <c r="Y406" i="1"/>
  <c r="Z406" i="1" a="1"/>
  <c r="Z406" i="1" s="1"/>
  <c r="AC406" i="1" a="1"/>
  <c r="AC406" i="1" s="1"/>
  <c r="AD406" i="1"/>
  <c r="Y407" i="1"/>
  <c r="AB407" i="1" s="1" a="1"/>
  <c r="AB407" i="1" s="1"/>
  <c r="Z407" i="1" a="1"/>
  <c r="Z407" i="1"/>
  <c r="AD407" i="1"/>
  <c r="Y408" i="1"/>
  <c r="Z408" i="1" a="1"/>
  <c r="Z408" i="1" s="1"/>
  <c r="Y409" i="1"/>
  <c r="AD409" i="1" s="1"/>
  <c r="Z409" i="1" a="1"/>
  <c r="Z409" i="1" s="1"/>
  <c r="Y410" i="1"/>
  <c r="AA410" i="1" s="1" a="1"/>
  <c r="AA410" i="1" s="1"/>
  <c r="Z410" i="1" a="1"/>
  <c r="Z410" i="1" s="1"/>
  <c r="Y411" i="1"/>
  <c r="AC411" i="1" s="1" a="1"/>
  <c r="AC411" i="1" s="1"/>
  <c r="Z411" i="1" a="1"/>
  <c r="Z411" i="1" s="1"/>
  <c r="Y412" i="1"/>
  <c r="AA412" i="1" s="1" a="1"/>
  <c r="AA412" i="1" s="1"/>
  <c r="Z412" i="1" a="1"/>
  <c r="Z412" i="1" s="1"/>
  <c r="Y413" i="1"/>
  <c r="AA413" i="1" s="1" a="1"/>
  <c r="AA413" i="1" s="1"/>
  <c r="Z413" i="1" a="1"/>
  <c r="Z413" i="1" s="1"/>
  <c r="Y414" i="1"/>
  <c r="Z414" i="1" a="1"/>
  <c r="Z414" i="1" s="1"/>
  <c r="Y415" i="1"/>
  <c r="AA415" i="1" s="1" a="1"/>
  <c r="AA415" i="1" s="1"/>
  <c r="Z415" i="1" a="1"/>
  <c r="Z415" i="1" s="1"/>
  <c r="AD415" i="1"/>
  <c r="Y416" i="1"/>
  <c r="AA416" i="1" s="1" a="1"/>
  <c r="AA416" i="1" s="1"/>
  <c r="Z416" i="1" a="1"/>
  <c r="Z416" i="1" s="1"/>
  <c r="Y417" i="1"/>
  <c r="Z417" i="1" a="1"/>
  <c r="Z417" i="1"/>
  <c r="Y418" i="1"/>
  <c r="Z418" i="1" a="1"/>
  <c r="Z418" i="1" s="1"/>
  <c r="Y419" i="1"/>
  <c r="Z419" i="1" a="1"/>
  <c r="Z419" i="1"/>
  <c r="Y420" i="1"/>
  <c r="AC420" i="1" s="1" a="1"/>
  <c r="AC420" i="1" s="1"/>
  <c r="Z420" i="1" a="1"/>
  <c r="Z420" i="1" s="1"/>
  <c r="Y421" i="1"/>
  <c r="AD421" i="1" s="1"/>
  <c r="Z421" i="1" a="1"/>
  <c r="Z421" i="1" s="1"/>
  <c r="Y422" i="1"/>
  <c r="AB422" i="1" s="1" a="1"/>
  <c r="AB422" i="1" s="1"/>
  <c r="Z422" i="1" a="1"/>
  <c r="Z422" i="1" s="1"/>
  <c r="Y423" i="1"/>
  <c r="Z423" i="1" a="1"/>
  <c r="Z423" i="1" s="1"/>
  <c r="Y424" i="1"/>
  <c r="AC424" i="1" s="1" a="1"/>
  <c r="AC424" i="1" s="1"/>
  <c r="Z424" i="1" a="1"/>
  <c r="Z424" i="1" s="1"/>
  <c r="Y425" i="1"/>
  <c r="AB425" i="1" s="1" a="1"/>
  <c r="AB425" i="1" s="1"/>
  <c r="Z425" i="1" a="1"/>
  <c r="Z425" i="1" s="1"/>
  <c r="Y426" i="1"/>
  <c r="AB426" i="1" s="1" a="1"/>
  <c r="AB426" i="1" s="1"/>
  <c r="Z426" i="1" a="1"/>
  <c r="Z426" i="1" s="1"/>
  <c r="AC426" i="1" a="1"/>
  <c r="AC426" i="1" s="1"/>
  <c r="Y427" i="1"/>
  <c r="Z427" i="1" a="1"/>
  <c r="Z427" i="1"/>
  <c r="Y428" i="1"/>
  <c r="AA428" i="1" s="1" a="1"/>
  <c r="AA428" i="1" s="1"/>
  <c r="Z428" i="1" a="1"/>
  <c r="Z428" i="1" s="1"/>
  <c r="Y429" i="1"/>
  <c r="AA429" i="1" s="1" a="1"/>
  <c r="AA429" i="1" s="1"/>
  <c r="Z429" i="1" a="1"/>
  <c r="Z429" i="1" s="1"/>
  <c r="AB429" i="1" a="1"/>
  <c r="AB429" i="1" s="1"/>
  <c r="AC429" i="1" a="1"/>
  <c r="AC429" i="1" s="1"/>
  <c r="Y430" i="1"/>
  <c r="AC430" i="1" s="1" a="1"/>
  <c r="AC430" i="1" s="1"/>
  <c r="Z430" i="1" a="1"/>
  <c r="Z430" i="1" s="1"/>
  <c r="Y431" i="1"/>
  <c r="AA431" i="1" s="1" a="1"/>
  <c r="AA431" i="1" s="1"/>
  <c r="Z431" i="1" a="1"/>
  <c r="Z431" i="1"/>
  <c r="AD431" i="1"/>
  <c r="Y432" i="1"/>
  <c r="AC432" i="1" s="1" a="1"/>
  <c r="AC432" i="1" s="1"/>
  <c r="Z432" i="1" a="1"/>
  <c r="Z432" i="1" s="1"/>
  <c r="AB432" i="1" a="1"/>
  <c r="AB432" i="1" s="1"/>
  <c r="Y433" i="1"/>
  <c r="AC433" i="1" s="1" a="1"/>
  <c r="AC433" i="1" s="1"/>
  <c r="Z433" i="1" a="1"/>
  <c r="Z433" i="1" s="1"/>
  <c r="AB433" i="1" a="1"/>
  <c r="AB433" i="1" s="1"/>
  <c r="Y434" i="1"/>
  <c r="AC434" i="1" s="1" a="1"/>
  <c r="AC434" i="1" s="1"/>
  <c r="Z434" i="1" a="1"/>
  <c r="Z434" i="1"/>
  <c r="Y435" i="1"/>
  <c r="AA435" i="1" s="1" a="1"/>
  <c r="AA435" i="1" s="1"/>
  <c r="Z435" i="1" a="1"/>
  <c r="Z435" i="1" s="1"/>
  <c r="Y436" i="1"/>
  <c r="Z436" i="1" a="1"/>
  <c r="Z436" i="1" s="1"/>
  <c r="Y437" i="1"/>
  <c r="AA437" i="1" s="1" a="1"/>
  <c r="AA437" i="1" s="1"/>
  <c r="Z437" i="1" a="1"/>
  <c r="Z437" i="1" s="1"/>
  <c r="Y438" i="1"/>
  <c r="AB438" i="1" s="1" a="1"/>
  <c r="AB438" i="1" s="1"/>
  <c r="Z438" i="1" a="1"/>
  <c r="Z438" i="1" s="1"/>
  <c r="Y439" i="1"/>
  <c r="AB439" i="1" s="1" a="1"/>
  <c r="AB439" i="1" s="1"/>
  <c r="Z439" i="1" a="1"/>
  <c r="Z439" i="1" s="1"/>
  <c r="Y440" i="1"/>
  <c r="AC440" i="1" s="1" a="1"/>
  <c r="Z440" i="1" a="1"/>
  <c r="Z440" i="1"/>
  <c r="AC440" i="1"/>
  <c r="Y441" i="1"/>
  <c r="AB441" i="1" s="1" a="1"/>
  <c r="AB441" i="1" s="1"/>
  <c r="Z441" i="1" a="1"/>
  <c r="Z441" i="1"/>
  <c r="Y442" i="1"/>
  <c r="AD442" i="1" s="1"/>
  <c r="Z442" i="1" a="1"/>
  <c r="Z442" i="1" s="1"/>
  <c r="AC442" i="1" a="1"/>
  <c r="AC442" i="1" s="1"/>
  <c r="Y443" i="1"/>
  <c r="AC443" i="1" s="1" a="1"/>
  <c r="AC443" i="1" s="1"/>
  <c r="Z443" i="1" a="1"/>
  <c r="Z443" i="1"/>
  <c r="Y444" i="1"/>
  <c r="Z444" i="1" a="1"/>
  <c r="Z444" i="1" s="1"/>
  <c r="Y445" i="1"/>
  <c r="AA445" i="1" s="1" a="1"/>
  <c r="AA445" i="1" s="1"/>
  <c r="Z445" i="1" a="1"/>
  <c r="Z445" i="1" s="1"/>
  <c r="Y446" i="1"/>
  <c r="AB446" i="1" s="1" a="1"/>
  <c r="AB446" i="1" s="1"/>
  <c r="Z446" i="1" a="1"/>
  <c r="Z446" i="1" s="1"/>
  <c r="Y447" i="1"/>
  <c r="Z447" i="1" a="1"/>
  <c r="Z447" i="1" s="1"/>
  <c r="AD447" i="1"/>
  <c r="Y448" i="1"/>
  <c r="AA448" i="1" s="1" a="1"/>
  <c r="AA448" i="1" s="1"/>
  <c r="Z448" i="1" a="1"/>
  <c r="Z448" i="1" s="1"/>
  <c r="Y449" i="1"/>
  <c r="AC449" i="1" s="1" a="1"/>
  <c r="AC449" i="1" s="1"/>
  <c r="Z449" i="1" a="1"/>
  <c r="Z449" i="1" s="1"/>
  <c r="AD449" i="1"/>
  <c r="Y450" i="1"/>
  <c r="AA450" i="1" s="1" a="1"/>
  <c r="AA450" i="1" s="1"/>
  <c r="Z450" i="1" a="1"/>
  <c r="Z450" i="1" s="1"/>
  <c r="Y451" i="1"/>
  <c r="AB451" i="1" s="1" a="1"/>
  <c r="AB451" i="1" s="1"/>
  <c r="Z451" i="1" a="1"/>
  <c r="Z451" i="1"/>
  <c r="Y452" i="1"/>
  <c r="AD452" i="1" s="1"/>
  <c r="Z452" i="1" a="1"/>
  <c r="Z452" i="1" s="1"/>
  <c r="Y453" i="1"/>
  <c r="Z453" i="1" a="1"/>
  <c r="Z453" i="1"/>
  <c r="Y454" i="1"/>
  <c r="AD454" i="1" s="1"/>
  <c r="Z454" i="1" a="1"/>
  <c r="Z454" i="1" s="1"/>
  <c r="Y455" i="1"/>
  <c r="Z455" i="1" a="1"/>
  <c r="Z455" i="1" s="1"/>
  <c r="Y456" i="1"/>
  <c r="Z456" i="1" a="1"/>
  <c r="Z456" i="1" s="1"/>
  <c r="Y457" i="1"/>
  <c r="Z457" i="1" a="1"/>
  <c r="Z457" i="1"/>
  <c r="Y458" i="1"/>
  <c r="AC458" i="1" s="1" a="1"/>
  <c r="AC458" i="1" s="1"/>
  <c r="Z458" i="1" a="1"/>
  <c r="Z458" i="1"/>
  <c r="Y459" i="1"/>
  <c r="Z459" i="1" a="1"/>
  <c r="Z459" i="1"/>
  <c r="Y460" i="1"/>
  <c r="AB460" i="1" s="1" a="1"/>
  <c r="AB460" i="1" s="1"/>
  <c r="Z460" i="1" a="1"/>
  <c r="Z460" i="1" s="1"/>
  <c r="Y461" i="1"/>
  <c r="AB461" i="1" s="1" a="1"/>
  <c r="AB461" i="1" s="1"/>
  <c r="Z461" i="1" a="1"/>
  <c r="Z461" i="1" s="1"/>
  <c r="Y462" i="1"/>
  <c r="AD462" i="1" s="1"/>
  <c r="Z462" i="1" a="1"/>
  <c r="Z462" i="1" s="1"/>
  <c r="Y463" i="1"/>
  <c r="Z463" i="1" a="1"/>
  <c r="Z463" i="1" s="1"/>
  <c r="AB463" i="1" a="1"/>
  <c r="AB463" i="1" s="1"/>
  <c r="Y464" i="1"/>
  <c r="AA464" i="1" s="1" a="1"/>
  <c r="AA464" i="1" s="1"/>
  <c r="Z464" i="1" a="1"/>
  <c r="Z464" i="1" s="1"/>
  <c r="Y465" i="1"/>
  <c r="AB465" i="1" s="1" a="1"/>
  <c r="AB465" i="1" s="1"/>
  <c r="Z465" i="1" a="1"/>
  <c r="Z465" i="1" s="1"/>
  <c r="Y466" i="1"/>
  <c r="AD466" i="1" s="1"/>
  <c r="Z466" i="1" a="1"/>
  <c r="Z466" i="1" s="1"/>
  <c r="Y467" i="1"/>
  <c r="Z467" i="1" a="1"/>
  <c r="Z467" i="1" s="1"/>
  <c r="Y468" i="1"/>
  <c r="Z468" i="1" a="1"/>
  <c r="Z468" i="1" s="1"/>
  <c r="AB468" i="1" a="1"/>
  <c r="AB468" i="1" s="1"/>
  <c r="AD468" i="1"/>
  <c r="Y469" i="1"/>
  <c r="AA469" i="1" s="1" a="1"/>
  <c r="AA469" i="1" s="1"/>
  <c r="Z469" i="1" a="1"/>
  <c r="Z469" i="1" s="1"/>
  <c r="Y470" i="1"/>
  <c r="AC470" i="1" s="1" a="1"/>
  <c r="AC470" i="1" s="1"/>
  <c r="Z470" i="1" a="1"/>
  <c r="Z470" i="1" s="1"/>
  <c r="Y471" i="1"/>
  <c r="AB471" i="1" s="1" a="1"/>
  <c r="AB471" i="1" s="1"/>
  <c r="Z471" i="1" a="1"/>
  <c r="Z471" i="1" s="1"/>
  <c r="Y472" i="1"/>
  <c r="Z472" i="1" a="1"/>
  <c r="Z472" i="1"/>
  <c r="AC472" i="1" a="1"/>
  <c r="AC472" i="1" s="1"/>
  <c r="Y473" i="1"/>
  <c r="Z473" i="1" a="1"/>
  <c r="Z473" i="1" s="1"/>
  <c r="Y474" i="1"/>
  <c r="AB474" i="1" s="1" a="1"/>
  <c r="AB474" i="1" s="1"/>
  <c r="Z474" i="1" a="1"/>
  <c r="Z474" i="1"/>
  <c r="Y475" i="1"/>
  <c r="Z475" i="1" a="1"/>
  <c r="Z475" i="1" s="1"/>
  <c r="Y476" i="1"/>
  <c r="AD476" i="1" s="1"/>
  <c r="Z476" i="1" a="1"/>
  <c r="Z476" i="1"/>
  <c r="Y477" i="1"/>
  <c r="AB477" i="1" s="1" a="1"/>
  <c r="AB477" i="1" s="1"/>
  <c r="Z477" i="1" a="1"/>
  <c r="Z477" i="1" s="1"/>
  <c r="Y478" i="1"/>
  <c r="AC478" i="1" s="1" a="1"/>
  <c r="AC478" i="1" s="1"/>
  <c r="Z478" i="1" a="1"/>
  <c r="Z478" i="1"/>
  <c r="Y479" i="1"/>
  <c r="AC479" i="1" s="1" a="1"/>
  <c r="AC479" i="1" s="1"/>
  <c r="Z479" i="1" a="1"/>
  <c r="Z479" i="1" s="1"/>
  <c r="Y480" i="1"/>
  <c r="Z480" i="1" a="1"/>
  <c r="Z480" i="1" s="1"/>
  <c r="AC480" i="1" a="1"/>
  <c r="AC480" i="1" s="1"/>
  <c r="AD480" i="1"/>
  <c r="Y481" i="1"/>
  <c r="Z481" i="1" a="1"/>
  <c r="Z481" i="1" s="1"/>
  <c r="Y482" i="1"/>
  <c r="AC482" i="1" s="1" a="1"/>
  <c r="AC482" i="1" s="1"/>
  <c r="Z482" i="1" a="1"/>
  <c r="Z482" i="1"/>
  <c r="AB482" i="1" a="1"/>
  <c r="AB482" i="1" s="1"/>
  <c r="Y483" i="1"/>
  <c r="AA483" i="1" s="1" a="1"/>
  <c r="AA483" i="1" s="1"/>
  <c r="Z483" i="1" a="1"/>
  <c r="Z483" i="1" s="1"/>
  <c r="Y484" i="1"/>
  <c r="AC484" i="1" s="1" a="1"/>
  <c r="AC484" i="1" s="1"/>
  <c r="Z484" i="1" a="1"/>
  <c r="Z484" i="1" s="1"/>
  <c r="Y485" i="1"/>
  <c r="AA485" i="1" s="1" a="1"/>
  <c r="AA485" i="1" s="1"/>
  <c r="Z485" i="1" a="1"/>
  <c r="Z485" i="1" s="1"/>
  <c r="AD485" i="1"/>
  <c r="Y486" i="1"/>
  <c r="AA486" i="1" s="1" a="1"/>
  <c r="AA486" i="1" s="1"/>
  <c r="Z486" i="1" a="1"/>
  <c r="Z486" i="1" s="1"/>
  <c r="Y487" i="1"/>
  <c r="Z487" i="1" a="1"/>
  <c r="Z487" i="1" s="1"/>
  <c r="Y488" i="1"/>
  <c r="AD488" i="1" s="1"/>
  <c r="Z488" i="1" a="1"/>
  <c r="Z488" i="1" s="1"/>
  <c r="Y489" i="1"/>
  <c r="Z489" i="1" a="1"/>
  <c r="Z489" i="1" s="1"/>
  <c r="Y490" i="1"/>
  <c r="AC490" i="1" s="1" a="1"/>
  <c r="AC490" i="1" s="1"/>
  <c r="Z490" i="1" a="1"/>
  <c r="Z490" i="1"/>
  <c r="Y491" i="1"/>
  <c r="AB491" i="1" s="1" a="1"/>
  <c r="AB491" i="1" s="1"/>
  <c r="Z491" i="1" a="1"/>
  <c r="Z491" i="1" s="1"/>
  <c r="Y492" i="1"/>
  <c r="AD492" i="1" s="1"/>
  <c r="Z492" i="1" a="1"/>
  <c r="Z492" i="1"/>
  <c r="Y493" i="1"/>
  <c r="AB493" i="1" s="1" a="1"/>
  <c r="AB493" i="1" s="1"/>
  <c r="Z493" i="1" a="1"/>
  <c r="Z493" i="1" s="1"/>
  <c r="Y494" i="1"/>
  <c r="AA494" i="1" s="1" a="1"/>
  <c r="AA494" i="1" s="1"/>
  <c r="Z494" i="1" a="1"/>
  <c r="Z494" i="1"/>
  <c r="Y495" i="1"/>
  <c r="Z495" i="1" a="1"/>
  <c r="Z495" i="1" s="1"/>
  <c r="Y496" i="1"/>
  <c r="AC496" i="1" s="1" a="1"/>
  <c r="AC496" i="1" s="1"/>
  <c r="Z496" i="1" a="1"/>
  <c r="Z496" i="1"/>
  <c r="AA496" i="1" a="1"/>
  <c r="AA496" i="1" s="1"/>
  <c r="AB496" i="1" a="1"/>
  <c r="AB496" i="1" s="1"/>
  <c r="AD496" i="1"/>
  <c r="Y497" i="1"/>
  <c r="Z497" i="1" a="1"/>
  <c r="Z497" i="1"/>
  <c r="Y498" i="1"/>
  <c r="AD498" i="1" s="1"/>
  <c r="Z498" i="1" a="1"/>
  <c r="Z498" i="1"/>
  <c r="Y499" i="1"/>
  <c r="AD499" i="1" s="1"/>
  <c r="Z499" i="1" a="1"/>
  <c r="Z499" i="1" s="1"/>
  <c r="Y500" i="1"/>
  <c r="Z500" i="1" a="1"/>
  <c r="Z500" i="1"/>
  <c r="Y501" i="1"/>
  <c r="Z501" i="1" a="1"/>
  <c r="Z501" i="1"/>
  <c r="Y502" i="1"/>
  <c r="AA502" i="1" s="1" a="1"/>
  <c r="AA502" i="1" s="1"/>
  <c r="Z502" i="1" a="1"/>
  <c r="Z502" i="1" s="1"/>
  <c r="Y503" i="1"/>
  <c r="Z503" i="1" a="1"/>
  <c r="Z503" i="1" s="1"/>
  <c r="Y504" i="1"/>
  <c r="AA504" i="1" s="1" a="1"/>
  <c r="AA504" i="1" s="1"/>
  <c r="Z504" i="1" a="1"/>
  <c r="Z504" i="1" s="1"/>
  <c r="Y505" i="1"/>
  <c r="AC505" i="1" s="1" a="1"/>
  <c r="AC505" i="1" s="1"/>
  <c r="Z505" i="1" a="1"/>
  <c r="Z505" i="1" s="1"/>
  <c r="Y506" i="1"/>
  <c r="Z506" i="1" a="1"/>
  <c r="Z506" i="1" s="1"/>
  <c r="Y507" i="1"/>
  <c r="Z507" i="1" a="1"/>
  <c r="Z507" i="1" s="1"/>
  <c r="Y508" i="1"/>
  <c r="Z508" i="1" a="1"/>
  <c r="Z508" i="1" s="1"/>
  <c r="Y509" i="1"/>
  <c r="AA509" i="1" s="1" a="1"/>
  <c r="AA509" i="1" s="1"/>
  <c r="Z509" i="1" a="1"/>
  <c r="Z509" i="1" s="1"/>
  <c r="AD509" i="1"/>
  <c r="Y510" i="1"/>
  <c r="Z510" i="1" a="1"/>
  <c r="Z510" i="1"/>
  <c r="Y511" i="1"/>
  <c r="Z511" i="1" a="1"/>
  <c r="Z511" i="1" s="1"/>
  <c r="Y512" i="1"/>
  <c r="AB512" i="1" s="1" a="1"/>
  <c r="AB512" i="1" s="1"/>
  <c r="Z512" i="1" a="1"/>
  <c r="Z512" i="1" s="1"/>
  <c r="Y513" i="1"/>
  <c r="Z513" i="1" a="1"/>
  <c r="Z513" i="1" s="1"/>
  <c r="Y514" i="1"/>
  <c r="AA514" i="1" s="1" a="1"/>
  <c r="AA514" i="1" s="1"/>
  <c r="Z514" i="1" a="1"/>
  <c r="Z514" i="1" s="1"/>
  <c r="AC514" i="1" a="1"/>
  <c r="AC514" i="1" s="1"/>
  <c r="AD514" i="1"/>
  <c r="Y515" i="1"/>
  <c r="AB515" i="1" s="1" a="1"/>
  <c r="AB515" i="1" s="1"/>
  <c r="Z515" i="1" a="1"/>
  <c r="Z515" i="1" s="1"/>
  <c r="AD515" i="1"/>
  <c r="Y516" i="1"/>
  <c r="AA516" i="1" s="1" a="1"/>
  <c r="AA516" i="1" s="1"/>
  <c r="Z516" i="1" a="1"/>
  <c r="Z516" i="1" s="1"/>
  <c r="Y517" i="1"/>
  <c r="Z517" i="1" a="1"/>
  <c r="Z517" i="1" s="1"/>
  <c r="AD517" i="1"/>
  <c r="Y518" i="1"/>
  <c r="Z518" i="1" a="1"/>
  <c r="Z518" i="1"/>
  <c r="Y519" i="1"/>
  <c r="AC519" i="1" s="1" a="1"/>
  <c r="AC519" i="1" s="1"/>
  <c r="Z519" i="1" a="1"/>
  <c r="Z519" i="1"/>
  <c r="Y520" i="1"/>
  <c r="Z520" i="1" a="1"/>
  <c r="Z520" i="1"/>
  <c r="Y521" i="1"/>
  <c r="Z521" i="1" a="1"/>
  <c r="Z521" i="1"/>
  <c r="Y522" i="1"/>
  <c r="Z522" i="1" a="1"/>
  <c r="Z522" i="1"/>
  <c r="Y523" i="1"/>
  <c r="AA523" i="1" s="1" a="1"/>
  <c r="AA523" i="1" s="1"/>
  <c r="Z523" i="1" a="1"/>
  <c r="Z523" i="1"/>
  <c r="Y524" i="1"/>
  <c r="Z524" i="1" a="1"/>
  <c r="Z524" i="1" s="1"/>
  <c r="Y525" i="1"/>
  <c r="AA525" i="1" s="1" a="1"/>
  <c r="AA525" i="1" s="1"/>
  <c r="Z525" i="1" a="1"/>
  <c r="Z525" i="1" s="1"/>
  <c r="Y526" i="1"/>
  <c r="Z526" i="1" a="1"/>
  <c r="Z526" i="1"/>
  <c r="Y527" i="1"/>
  <c r="AA527" i="1" s="1" a="1"/>
  <c r="AA527" i="1" s="1"/>
  <c r="Z527" i="1" a="1"/>
  <c r="Z527" i="1" s="1"/>
  <c r="Y528" i="1"/>
  <c r="AC528" i="1" s="1" a="1"/>
  <c r="AC528" i="1" s="1"/>
  <c r="Z528" i="1" a="1"/>
  <c r="Z528" i="1"/>
  <c r="Y529" i="1"/>
  <c r="AC529" i="1" s="1" a="1"/>
  <c r="AC529" i="1" s="1"/>
  <c r="Z529" i="1" a="1"/>
  <c r="Z529" i="1" s="1"/>
  <c r="Y530" i="1"/>
  <c r="AD530" i="1" s="1"/>
  <c r="Z530" i="1" a="1"/>
  <c r="Z530" i="1" s="1"/>
  <c r="Y531" i="1"/>
  <c r="Z531" i="1" a="1"/>
  <c r="Z531" i="1" s="1"/>
  <c r="AA531" i="1" a="1"/>
  <c r="AA531" i="1" s="1"/>
  <c r="AD531" i="1"/>
  <c r="Y532" i="1"/>
  <c r="Z532" i="1" a="1"/>
  <c r="Z532" i="1"/>
  <c r="AA532" i="1" a="1"/>
  <c r="AA532" i="1" s="1"/>
  <c r="AB532" i="1" a="1"/>
  <c r="AB532" i="1" s="1"/>
  <c r="Y533" i="1"/>
  <c r="Z533" i="1" a="1"/>
  <c r="Z533" i="1"/>
  <c r="Y534" i="1"/>
  <c r="AC534" i="1" s="1" a="1"/>
  <c r="AC534" i="1" s="1"/>
  <c r="Z534" i="1" a="1"/>
  <c r="Z534" i="1" s="1"/>
  <c r="Y535" i="1"/>
  <c r="AA535" i="1" s="1" a="1"/>
  <c r="AA535" i="1" s="1"/>
  <c r="Z535" i="1" a="1"/>
  <c r="Z535" i="1"/>
  <c r="AC535" i="1" a="1"/>
  <c r="AC535" i="1" s="1"/>
  <c r="Y536" i="1"/>
  <c r="AA536" i="1" s="1" a="1"/>
  <c r="AA536" i="1" s="1"/>
  <c r="Z536" i="1" a="1"/>
  <c r="Z536" i="1" s="1"/>
  <c r="Y537" i="1"/>
  <c r="AA537" i="1" s="1" a="1"/>
  <c r="AA537" i="1" s="1"/>
  <c r="Z537" i="1" a="1"/>
  <c r="Z537" i="1" s="1"/>
  <c r="Y538" i="1"/>
  <c r="AA538" i="1" s="1" a="1"/>
  <c r="AA538" i="1" s="1"/>
  <c r="Z538" i="1" a="1"/>
  <c r="Z538" i="1"/>
  <c r="Y539" i="1"/>
  <c r="Z539" i="1" a="1"/>
  <c r="Z539" i="1" s="1"/>
  <c r="Y540" i="1"/>
  <c r="AA540" i="1" s="1" a="1"/>
  <c r="AA540" i="1" s="1"/>
  <c r="Z540" i="1" a="1"/>
  <c r="Z540" i="1" s="1"/>
  <c r="Y541" i="1"/>
  <c r="AB541" i="1" s="1" a="1"/>
  <c r="AB541" i="1" s="1"/>
  <c r="Z541" i="1" a="1"/>
  <c r="Z541" i="1" s="1"/>
  <c r="Y542" i="1"/>
  <c r="Z542" i="1" a="1"/>
  <c r="Z542" i="1" s="1"/>
  <c r="Y543" i="1"/>
  <c r="AD543" i="1" s="1"/>
  <c r="Z543" i="1" a="1"/>
  <c r="Z543" i="1" s="1"/>
  <c r="AA543" i="1" a="1"/>
  <c r="AA543" i="1" s="1"/>
  <c r="Y544" i="1"/>
  <c r="AA544" i="1" s="1" a="1"/>
  <c r="AA544" i="1" s="1"/>
  <c r="Z544" i="1" a="1"/>
  <c r="Z544" i="1" s="1"/>
  <c r="Y545" i="1"/>
  <c r="Z545" i="1" a="1"/>
  <c r="Z545" i="1" s="1"/>
  <c r="Y546" i="1"/>
  <c r="Z546" i="1" a="1"/>
  <c r="Z546" i="1" s="1"/>
  <c r="Y547" i="1"/>
  <c r="AC547" i="1" s="1" a="1"/>
  <c r="AC547" i="1" s="1"/>
  <c r="Z547" i="1" a="1"/>
  <c r="Z547" i="1"/>
  <c r="Y548" i="1"/>
  <c r="AC548" i="1" s="1" a="1"/>
  <c r="AC548" i="1" s="1"/>
  <c r="Z548" i="1" a="1"/>
  <c r="Z548" i="1" s="1"/>
  <c r="Y549" i="1"/>
  <c r="Z549" i="1" a="1"/>
  <c r="Z549" i="1" s="1"/>
  <c r="Y550" i="1"/>
  <c r="AA550" i="1" s="1" a="1"/>
  <c r="AA550" i="1" s="1"/>
  <c r="Z550" i="1" a="1"/>
  <c r="Z550" i="1" s="1"/>
  <c r="Y551" i="1"/>
  <c r="AD551" i="1" s="1"/>
  <c r="Z551" i="1" a="1"/>
  <c r="Z551" i="1" s="1"/>
  <c r="AA551" i="1" a="1"/>
  <c r="AA551" i="1" s="1"/>
  <c r="AB551" i="1" a="1"/>
  <c r="AB551" i="1" s="1"/>
  <c r="Y552" i="1"/>
  <c r="Z552" i="1" a="1"/>
  <c r="Z552" i="1"/>
  <c r="Y553" i="1"/>
  <c r="Z553" i="1" a="1"/>
  <c r="Z553" i="1" s="1"/>
  <c r="Y554" i="1"/>
  <c r="AD554" i="1" s="1"/>
  <c r="Z554" i="1" a="1"/>
  <c r="Z554" i="1" s="1"/>
  <c r="Y555" i="1"/>
  <c r="Z555" i="1" a="1"/>
  <c r="Z555" i="1" s="1"/>
  <c r="Y556" i="1"/>
  <c r="Z556" i="1" a="1"/>
  <c r="Z556" i="1"/>
  <c r="Y557" i="1"/>
  <c r="AA557" i="1" s="1" a="1"/>
  <c r="AA557" i="1" s="1"/>
  <c r="Z557" i="1" a="1"/>
  <c r="Z557" i="1" s="1"/>
  <c r="Y558" i="1"/>
  <c r="Z558" i="1" a="1"/>
  <c r="Z558" i="1" s="1"/>
  <c r="Y559" i="1"/>
  <c r="Z559" i="1" a="1"/>
  <c r="Z559" i="1" s="1"/>
  <c r="Y560" i="1"/>
  <c r="AC560" i="1" s="1" a="1"/>
  <c r="AC560" i="1" s="1"/>
  <c r="Z560" i="1" a="1"/>
  <c r="Z560" i="1"/>
  <c r="Y561" i="1"/>
  <c r="Z561" i="1" a="1"/>
  <c r="Z561" i="1" s="1"/>
  <c r="Y562" i="1"/>
  <c r="Z562" i="1" a="1"/>
  <c r="Z562" i="1" s="1"/>
  <c r="Y563" i="1"/>
  <c r="AA563" i="1" s="1" a="1"/>
  <c r="AA563" i="1" s="1"/>
  <c r="Z563" i="1" a="1"/>
  <c r="Z563" i="1" s="1"/>
  <c r="Y564" i="1"/>
  <c r="AB564" i="1" s="1" a="1"/>
  <c r="AB564" i="1" s="1"/>
  <c r="Z564" i="1" a="1"/>
  <c r="Z564" i="1" s="1"/>
  <c r="Y565" i="1"/>
  <c r="Z565" i="1" a="1"/>
  <c r="Z565" i="1"/>
  <c r="Y566" i="1"/>
  <c r="AA566" i="1" s="1" a="1"/>
  <c r="AA566" i="1" s="1"/>
  <c r="Z566" i="1" a="1"/>
  <c r="Z566" i="1" s="1"/>
  <c r="Y567" i="1"/>
  <c r="AB567" i="1" s="1" a="1"/>
  <c r="AB567" i="1" s="1"/>
  <c r="Z567" i="1" a="1"/>
  <c r="Z567" i="1" s="1"/>
  <c r="AA567" i="1" a="1"/>
  <c r="AA567" i="1" s="1"/>
  <c r="Y568" i="1"/>
  <c r="AA568" i="1" s="1" a="1"/>
  <c r="AA568" i="1" s="1"/>
  <c r="Z568" i="1" a="1"/>
  <c r="Z568" i="1" s="1"/>
  <c r="Y569" i="1"/>
  <c r="AA569" i="1" s="1" a="1"/>
  <c r="AA569" i="1" s="1"/>
  <c r="Z569" i="1" a="1"/>
  <c r="Z569" i="1" s="1"/>
  <c r="Y570" i="1"/>
  <c r="Z570" i="1" a="1"/>
  <c r="Z570" i="1"/>
  <c r="AC570" i="1" a="1"/>
  <c r="AC570" i="1" s="1"/>
  <c r="Y571" i="1"/>
  <c r="AC571" i="1" s="1" a="1"/>
  <c r="AC571" i="1" s="1"/>
  <c r="Z571" i="1" a="1"/>
  <c r="Z571" i="1" s="1"/>
  <c r="Y572" i="1"/>
  <c r="Z572" i="1" a="1"/>
  <c r="Z572" i="1" s="1"/>
  <c r="Y573" i="1"/>
  <c r="AC573" i="1" s="1" a="1"/>
  <c r="AC573" i="1" s="1"/>
  <c r="Z573" i="1" a="1"/>
  <c r="Z573" i="1"/>
  <c r="Y574" i="1"/>
  <c r="Z574" i="1" a="1"/>
  <c r="Z574" i="1" s="1"/>
  <c r="Y575" i="1"/>
  <c r="Z575" i="1" a="1"/>
  <c r="Z575" i="1"/>
  <c r="Y576" i="1"/>
  <c r="AB576" i="1" s="1" a="1"/>
  <c r="AB576" i="1" s="1"/>
  <c r="Z576" i="1" a="1"/>
  <c r="Z576" i="1"/>
  <c r="Y577" i="1"/>
  <c r="AB577" i="1" s="1" a="1"/>
  <c r="AB577" i="1" s="1"/>
  <c r="Z577" i="1" a="1"/>
  <c r="Z577" i="1" s="1"/>
  <c r="Y578" i="1"/>
  <c r="Z578" i="1" a="1"/>
  <c r="Z578" i="1"/>
  <c r="Y579" i="1"/>
  <c r="Z579" i="1" a="1"/>
  <c r="Z579" i="1" s="1"/>
  <c r="Y580" i="1"/>
  <c r="Z580" i="1" a="1"/>
  <c r="Z580" i="1" s="1"/>
  <c r="Y581" i="1"/>
  <c r="AC581" i="1" s="1" a="1"/>
  <c r="AC581" i="1" s="1"/>
  <c r="Z581" i="1" a="1"/>
  <c r="Z581" i="1"/>
  <c r="AD581" i="1"/>
  <c r="Y582" i="1"/>
  <c r="Z582" i="1" a="1"/>
  <c r="Z582" i="1" s="1"/>
  <c r="Y583" i="1"/>
  <c r="Z583" i="1" a="1"/>
  <c r="Z583" i="1" s="1"/>
  <c r="Y584" i="1"/>
  <c r="AD584" i="1" s="1"/>
  <c r="Z584" i="1" a="1"/>
  <c r="Z584" i="1" s="1"/>
  <c r="AC584" i="1" a="1"/>
  <c r="AC584" i="1" s="1"/>
  <c r="Y585" i="1"/>
  <c r="AB585" i="1" s="1" a="1"/>
  <c r="AB585" i="1" s="1"/>
  <c r="Z585" i="1" a="1"/>
  <c r="Z585" i="1" s="1"/>
  <c r="Y586" i="1"/>
  <c r="AD586" i="1" s="1"/>
  <c r="Z586" i="1" a="1"/>
  <c r="Z586" i="1" s="1"/>
  <c r="Y587" i="1"/>
  <c r="AB587" i="1" s="1" a="1"/>
  <c r="AB587" i="1" s="1"/>
  <c r="Z587" i="1" a="1"/>
  <c r="Z587" i="1" s="1"/>
  <c r="Y588" i="1"/>
  <c r="Z588" i="1" a="1"/>
  <c r="Z588" i="1" s="1"/>
  <c r="Y589" i="1"/>
  <c r="AA589" i="1" s="1" a="1"/>
  <c r="AA589" i="1" s="1"/>
  <c r="Z589" i="1" a="1"/>
  <c r="Z589" i="1"/>
  <c r="Y590" i="1"/>
  <c r="AC590" i="1" s="1" a="1"/>
  <c r="AC590" i="1" s="1"/>
  <c r="Z590" i="1" a="1"/>
  <c r="Z590" i="1" s="1"/>
  <c r="Y591" i="1"/>
  <c r="AA591" i="1" s="1" a="1"/>
  <c r="AA591" i="1" s="1"/>
  <c r="Z591" i="1" a="1"/>
  <c r="Z591" i="1" s="1"/>
  <c r="AD591" i="1"/>
  <c r="Y592" i="1"/>
  <c r="Z592" i="1" a="1"/>
  <c r="Z592" i="1" s="1"/>
  <c r="Y593" i="1"/>
  <c r="Z593" i="1" a="1"/>
  <c r="Z593" i="1"/>
  <c r="Y594" i="1"/>
  <c r="Z594" i="1" a="1"/>
  <c r="Z594" i="1" s="1"/>
  <c r="Y595" i="1"/>
  <c r="Z595" i="1" a="1"/>
  <c r="Z595" i="1" s="1"/>
  <c r="Y596" i="1"/>
  <c r="Z596" i="1" a="1"/>
  <c r="Z596" i="1" s="1"/>
  <c r="Y597" i="1"/>
  <c r="Z597" i="1" a="1"/>
  <c r="Z597" i="1" s="1"/>
  <c r="Y598" i="1"/>
  <c r="Z598" i="1" a="1"/>
  <c r="Z598" i="1" s="1"/>
  <c r="Y599" i="1"/>
  <c r="Z599" i="1" a="1"/>
  <c r="Z599" i="1" s="1"/>
  <c r="Y600" i="1"/>
  <c r="AC600" i="1" s="1" a="1"/>
  <c r="AC600" i="1" s="1"/>
  <c r="Z600" i="1" a="1"/>
  <c r="Z600" i="1" s="1"/>
  <c r="Y601" i="1"/>
  <c r="AB601" i="1" s="1" a="1"/>
  <c r="AB601" i="1" s="1"/>
  <c r="Z601" i="1" a="1"/>
  <c r="Z601" i="1" s="1"/>
  <c r="Y602" i="1"/>
  <c r="AB602" i="1" s="1" a="1"/>
  <c r="AB602" i="1" s="1"/>
  <c r="Z602" i="1" a="1"/>
  <c r="Z602" i="1"/>
  <c r="AA602" i="1" a="1"/>
  <c r="AA602" i="1" s="1"/>
  <c r="Y603" i="1"/>
  <c r="AC603" i="1" s="1" a="1"/>
  <c r="AC603" i="1" s="1"/>
  <c r="Z603" i="1" a="1"/>
  <c r="Z603" i="1" s="1"/>
  <c r="Y604" i="1"/>
  <c r="Z604" i="1" a="1"/>
  <c r="Z604" i="1" s="1"/>
  <c r="Y605" i="1"/>
  <c r="Z605" i="1" a="1"/>
  <c r="Z605" i="1" s="1"/>
  <c r="Y606" i="1"/>
  <c r="Z606" i="1" a="1"/>
  <c r="Z606" i="1" s="1"/>
  <c r="Y607" i="1"/>
  <c r="AC607" i="1" s="1" a="1"/>
  <c r="AC607" i="1" s="1"/>
  <c r="Z607" i="1" a="1"/>
  <c r="Z607" i="1" s="1"/>
  <c r="Y608" i="1"/>
  <c r="AD608" i="1" s="1"/>
  <c r="Z608" i="1" a="1"/>
  <c r="Z608" i="1" s="1"/>
  <c r="Y609" i="1"/>
  <c r="AA609" i="1" s="1" a="1"/>
  <c r="AA609" i="1" s="1"/>
  <c r="Z609" i="1" a="1"/>
  <c r="Z609" i="1"/>
  <c r="Y610" i="1"/>
  <c r="AD610" i="1" s="1"/>
  <c r="Z610" i="1" a="1"/>
  <c r="Z610" i="1" s="1"/>
  <c r="Y611" i="1"/>
  <c r="AA611" i="1" s="1" a="1"/>
  <c r="AA611" i="1" s="1"/>
  <c r="Z611" i="1" a="1"/>
  <c r="Z611" i="1" s="1"/>
  <c r="Y612" i="1"/>
  <c r="AB612" i="1" s="1" a="1"/>
  <c r="AB612" i="1" s="1"/>
  <c r="Z612" i="1" a="1"/>
  <c r="Z612" i="1"/>
  <c r="Y613" i="1"/>
  <c r="Z613" i="1" a="1"/>
  <c r="Z613" i="1"/>
  <c r="Y614" i="1"/>
  <c r="Z614" i="1" a="1"/>
  <c r="Z614" i="1" s="1"/>
  <c r="Y615" i="1"/>
  <c r="AD615" i="1" s="1"/>
  <c r="Z615" i="1" a="1"/>
  <c r="Z615" i="1" s="1"/>
  <c r="Y616" i="1"/>
  <c r="AD616" i="1" s="1"/>
  <c r="Z616" i="1" a="1"/>
  <c r="Z616" i="1" s="1"/>
  <c r="AA616" i="1" a="1"/>
  <c r="AA616" i="1" s="1"/>
  <c r="AC616" i="1" a="1"/>
  <c r="AC616" i="1" s="1"/>
  <c r="Y617" i="1"/>
  <c r="Z617" i="1" a="1"/>
  <c r="Z617" i="1"/>
  <c r="Y618" i="1"/>
  <c r="Z618" i="1" a="1"/>
  <c r="Z618" i="1" s="1"/>
  <c r="Y619" i="1"/>
  <c r="AC619" i="1" s="1" a="1"/>
  <c r="AC619" i="1" s="1"/>
  <c r="Z619" i="1" a="1"/>
  <c r="Z619" i="1" s="1"/>
  <c r="Y620" i="1"/>
  <c r="AA620" i="1" s="1" a="1"/>
  <c r="AA620" i="1" s="1"/>
  <c r="Z620" i="1" a="1"/>
  <c r="Z620" i="1" s="1"/>
  <c r="Y621" i="1"/>
  <c r="AC621" i="1" s="1" a="1"/>
  <c r="AC621" i="1" s="1"/>
  <c r="Z621" i="1" a="1"/>
  <c r="Z621" i="1" s="1"/>
  <c r="AB621" i="1" a="1"/>
  <c r="AB621" i="1" s="1"/>
  <c r="AD621" i="1"/>
  <c r="Y622" i="1"/>
  <c r="AC622" i="1" s="1" a="1"/>
  <c r="AC622" i="1" s="1"/>
  <c r="Z622" i="1" a="1"/>
  <c r="Z622" i="1"/>
  <c r="Y623" i="1"/>
  <c r="Y624" i="1"/>
  <c r="Z624" i="1" a="1"/>
  <c r="Z624" i="1" s="1"/>
  <c r="Y625" i="1"/>
  <c r="Z625" i="1" a="1"/>
  <c r="Z625" i="1" s="1"/>
  <c r="Y626" i="1"/>
  <c r="Z626" i="1" a="1"/>
  <c r="Z626" i="1" s="1"/>
  <c r="Y627" i="1"/>
  <c r="AC627" i="1" s="1" a="1"/>
  <c r="AC627" i="1" s="1"/>
  <c r="Z627" i="1" a="1"/>
  <c r="Z627" i="1" s="1"/>
  <c r="Y628" i="1"/>
  <c r="AD628" i="1" s="1"/>
  <c r="Z628" i="1" a="1"/>
  <c r="Z628" i="1" s="1"/>
  <c r="Y629" i="1"/>
  <c r="AA629" i="1" s="1" a="1"/>
  <c r="AA629" i="1" s="1"/>
  <c r="Z629" i="1" a="1"/>
  <c r="Z629" i="1" s="1"/>
  <c r="Y630" i="1"/>
  <c r="AB630" i="1" s="1" a="1"/>
  <c r="AB630" i="1" s="1"/>
  <c r="Z630" i="1" a="1"/>
  <c r="Z630" i="1" s="1"/>
  <c r="Y631" i="1"/>
  <c r="AA631" i="1" s="1" a="1"/>
  <c r="AA631" i="1" s="1"/>
  <c r="Z631" i="1" a="1"/>
  <c r="Z631" i="1" s="1"/>
  <c r="Y632" i="1"/>
  <c r="AC632" i="1" s="1" a="1"/>
  <c r="AC632" i="1" s="1"/>
  <c r="Z632" i="1" a="1"/>
  <c r="Z632" i="1" s="1"/>
  <c r="Y633" i="1"/>
  <c r="Z633" i="1" a="1"/>
  <c r="Z633" i="1" s="1"/>
  <c r="Y634" i="1"/>
  <c r="AD634" i="1" s="1"/>
  <c r="Z634" i="1" a="1"/>
  <c r="Z634" i="1" s="1"/>
  <c r="Y635" i="1"/>
  <c r="AD635" i="1" s="1"/>
  <c r="Z635" i="1" a="1"/>
  <c r="Z635" i="1" s="1"/>
  <c r="Y636" i="1"/>
  <c r="Z636" i="1" a="1"/>
  <c r="Z636" i="1" s="1"/>
  <c r="Y637" i="1"/>
  <c r="AB637" i="1" s="1" a="1"/>
  <c r="AB637" i="1" s="1"/>
  <c r="Z637" i="1" a="1"/>
  <c r="Z637" i="1"/>
  <c r="Y638" i="1"/>
  <c r="AD638" i="1" s="1"/>
  <c r="Z638" i="1" a="1"/>
  <c r="Z638" i="1"/>
  <c r="Y639" i="1"/>
  <c r="Z639" i="1" a="1"/>
  <c r="Z639" i="1" s="1"/>
  <c r="Y640" i="1"/>
  <c r="Z640" i="1" a="1"/>
  <c r="Z640" i="1" s="1"/>
  <c r="AA640" i="1" a="1"/>
  <c r="AA640" i="1" s="1"/>
  <c r="Y641" i="1"/>
  <c r="AA641" i="1" s="1" a="1"/>
  <c r="AA641" i="1" s="1"/>
  <c r="Z641" i="1" a="1"/>
  <c r="Z641" i="1" s="1"/>
  <c r="Y642" i="1"/>
  <c r="Z642" i="1" a="1"/>
  <c r="Z642" i="1"/>
  <c r="Y643" i="1"/>
  <c r="AA643" i="1" s="1" a="1"/>
  <c r="AA643" i="1" s="1"/>
  <c r="Z643" i="1" a="1"/>
  <c r="Z643" i="1" s="1"/>
  <c r="Y644" i="1"/>
  <c r="AC644" i="1" s="1" a="1"/>
  <c r="AC644" i="1" s="1"/>
  <c r="Z644" i="1" a="1"/>
  <c r="Z644" i="1"/>
  <c r="Y645" i="1"/>
  <c r="AC645" i="1" s="1" a="1"/>
  <c r="AC645" i="1" s="1"/>
  <c r="Z645" i="1" a="1"/>
  <c r="Z645" i="1" s="1"/>
  <c r="Y646" i="1"/>
  <c r="AD646" i="1" s="1"/>
  <c r="Z646" i="1" a="1"/>
  <c r="Z646" i="1" s="1"/>
  <c r="AA646" i="1" a="1"/>
  <c r="AA646" i="1" s="1"/>
  <c r="AB646" i="1" a="1"/>
  <c r="AB646" i="1" s="1"/>
  <c r="AC646" i="1" a="1"/>
  <c r="AC646" i="1" s="1"/>
  <c r="Y647" i="1"/>
  <c r="Z647" i="1" a="1"/>
  <c r="Z647" i="1" s="1"/>
  <c r="Y648" i="1"/>
  <c r="AD648" i="1" s="1"/>
  <c r="Z648" i="1" a="1"/>
  <c r="Z648" i="1"/>
  <c r="AC648" i="1" a="1"/>
  <c r="AC648" i="1" s="1"/>
  <c r="Y649" i="1"/>
  <c r="AB649" i="1" s="1" a="1"/>
  <c r="AB649" i="1" s="1"/>
  <c r="Z649" i="1" a="1"/>
  <c r="Z649" i="1" s="1"/>
  <c r="Y650" i="1"/>
  <c r="AD650" i="1" s="1"/>
  <c r="Z650" i="1" a="1"/>
  <c r="Z650" i="1" s="1"/>
  <c r="AC650" i="1" a="1"/>
  <c r="AC650" i="1" s="1"/>
  <c r="Y651" i="1"/>
  <c r="Z651" i="1" a="1"/>
  <c r="Z651" i="1" s="1"/>
  <c r="AA651" i="1" a="1"/>
  <c r="AA651" i="1" s="1"/>
  <c r="AB651" i="1" a="1"/>
  <c r="AB651" i="1" s="1"/>
  <c r="AC651" i="1" a="1"/>
  <c r="AC651" i="1" s="1"/>
  <c r="AD651" i="1"/>
  <c r="Y652" i="1"/>
  <c r="AD652" i="1" s="1"/>
  <c r="Z652" i="1" a="1"/>
  <c r="Z652" i="1" s="1"/>
  <c r="Y653" i="1"/>
  <c r="AD653" i="1" s="1"/>
  <c r="Z653" i="1" a="1"/>
  <c r="Z653" i="1" s="1"/>
  <c r="AB653" i="1" a="1"/>
  <c r="AB653" i="1" s="1"/>
  <c r="Y654" i="1"/>
  <c r="AA654" i="1" s="1" a="1"/>
  <c r="AA654" i="1" s="1"/>
  <c r="Z654" i="1" a="1"/>
  <c r="Z654" i="1" s="1"/>
  <c r="Y655" i="1"/>
  <c r="AC655" i="1" s="1" a="1"/>
  <c r="AC655" i="1" s="1"/>
  <c r="Z655" i="1" a="1"/>
  <c r="Z655" i="1" s="1"/>
  <c r="AA655" i="1" a="1"/>
  <c r="AA655" i="1" s="1"/>
  <c r="AB655" i="1" a="1"/>
  <c r="AB655" i="1" s="1"/>
  <c r="Y656" i="1"/>
  <c r="AC656" i="1" s="1" a="1"/>
  <c r="AC656" i="1" s="1"/>
  <c r="Z656" i="1" a="1"/>
  <c r="Z656" i="1" s="1"/>
  <c r="AA656" i="1" a="1"/>
  <c r="AA656" i="1" s="1"/>
  <c r="Y657" i="1"/>
  <c r="AB657" i="1" s="1" a="1"/>
  <c r="AB657" i="1" s="1"/>
  <c r="Z657" i="1" a="1"/>
  <c r="Z657" i="1" s="1"/>
  <c r="Y658" i="1"/>
  <c r="AC658" i="1" s="1" a="1"/>
  <c r="AC658" i="1" s="1"/>
  <c r="Z658" i="1" a="1"/>
  <c r="Z658" i="1" s="1"/>
  <c r="Y659" i="1"/>
  <c r="AB659" i="1" s="1" a="1"/>
  <c r="AB659" i="1" s="1"/>
  <c r="Z659" i="1" a="1"/>
  <c r="Z659" i="1" s="1"/>
  <c r="AA659" i="1" a="1"/>
  <c r="AA659" i="1" s="1"/>
  <c r="AD659" i="1"/>
  <c r="Y660" i="1"/>
  <c r="AB660" i="1" s="1" a="1"/>
  <c r="AB660" i="1" s="1"/>
  <c r="Z660" i="1" a="1"/>
  <c r="Z660" i="1" s="1"/>
  <c r="Y661" i="1"/>
  <c r="Z661" i="1" a="1"/>
  <c r="Z661" i="1" s="1"/>
  <c r="Y662" i="1"/>
  <c r="AC662" i="1" s="1" a="1"/>
  <c r="AC662" i="1" s="1"/>
  <c r="Z662" i="1" a="1"/>
  <c r="Z662" i="1" s="1"/>
  <c r="Y663" i="1"/>
  <c r="AD663" i="1" s="1"/>
  <c r="Z663" i="1" a="1"/>
  <c r="Z663" i="1" s="1"/>
  <c r="Y664" i="1"/>
  <c r="AB664" i="1" s="1" a="1"/>
  <c r="AB664" i="1" s="1"/>
  <c r="Z664" i="1" a="1"/>
  <c r="Z664" i="1" s="1"/>
  <c r="AC664" i="1" a="1"/>
  <c r="AC664" i="1" s="1"/>
  <c r="AD664" i="1"/>
  <c r="Y665" i="1"/>
  <c r="AB665" i="1" s="1" a="1"/>
  <c r="AB665" i="1" s="1"/>
  <c r="Z665" i="1" a="1"/>
  <c r="Z665" i="1" s="1"/>
  <c r="Y666" i="1"/>
  <c r="Z666" i="1" a="1"/>
  <c r="Z666" i="1"/>
  <c r="AA666" i="1" a="1"/>
  <c r="AA666" i="1" s="1"/>
  <c r="Y667" i="1"/>
  <c r="AC667" i="1" s="1" a="1"/>
  <c r="AC667" i="1" s="1"/>
  <c r="Z667" i="1" a="1"/>
  <c r="Z667" i="1" s="1"/>
  <c r="AA667" i="1" a="1"/>
  <c r="AA667" i="1" s="1"/>
  <c r="Y668" i="1"/>
  <c r="AD668" i="1" s="1"/>
  <c r="Z668" i="1" a="1"/>
  <c r="Z668" i="1" s="1"/>
  <c r="Y669" i="1"/>
  <c r="AD669" i="1" s="1"/>
  <c r="Z669" i="1" a="1"/>
  <c r="Z669" i="1" s="1"/>
  <c r="Y670" i="1"/>
  <c r="AB670" i="1" s="1" a="1"/>
  <c r="AB670" i="1" s="1"/>
  <c r="Z670" i="1" a="1"/>
  <c r="Z670" i="1" s="1"/>
  <c r="Y671" i="1"/>
  <c r="AA671" i="1" s="1" a="1"/>
  <c r="AA671" i="1" s="1"/>
  <c r="Z671" i="1" a="1"/>
  <c r="Z671" i="1" s="1"/>
  <c r="Y672" i="1"/>
  <c r="AB672" i="1" s="1" a="1"/>
  <c r="AB672" i="1" s="1"/>
  <c r="Z672" i="1" a="1"/>
  <c r="Z672" i="1" s="1"/>
  <c r="Y673" i="1"/>
  <c r="AC673" i="1" s="1" a="1"/>
  <c r="AC673" i="1" s="1"/>
  <c r="Z673" i="1" a="1"/>
  <c r="Z673" i="1"/>
  <c r="Y674" i="1"/>
  <c r="AB674" i="1" s="1" a="1"/>
  <c r="AB674" i="1" s="1"/>
  <c r="Z674" i="1" a="1"/>
  <c r="Z674" i="1" s="1"/>
  <c r="Y675" i="1"/>
  <c r="AA675" i="1" s="1" a="1"/>
  <c r="AA675" i="1" s="1"/>
  <c r="Z675" i="1" a="1"/>
  <c r="Z675" i="1"/>
  <c r="AB675" i="1" a="1"/>
  <c r="AB675" i="1" s="1"/>
  <c r="Y676" i="1"/>
  <c r="AD676" i="1" s="1"/>
  <c r="Z676" i="1" a="1"/>
  <c r="Z676" i="1" s="1"/>
  <c r="Y677" i="1"/>
  <c r="AD677" i="1" s="1"/>
  <c r="Z677" i="1" a="1"/>
  <c r="Z677" i="1" s="1"/>
  <c r="Y678" i="1"/>
  <c r="AB678" i="1" s="1" a="1"/>
  <c r="AB678" i="1" s="1"/>
  <c r="Z678" i="1" a="1"/>
  <c r="Z678" i="1" s="1"/>
  <c r="Y679" i="1"/>
  <c r="Z679" i="1" a="1"/>
  <c r="Z679" i="1" s="1"/>
  <c r="Y680" i="1"/>
  <c r="Z680" i="1" a="1"/>
  <c r="Z680" i="1"/>
  <c r="Y681" i="1"/>
  <c r="AD681" i="1" s="1"/>
  <c r="Z681" i="1" a="1"/>
  <c r="Z681" i="1" s="1"/>
  <c r="AA681" i="1" a="1"/>
  <c r="AA681" i="1" s="1"/>
  <c r="Y682" i="1"/>
  <c r="Z682" i="1" a="1"/>
  <c r="Z682" i="1" s="1"/>
  <c r="AA682" i="1" a="1"/>
  <c r="AA682" i="1" s="1"/>
  <c r="AB682" i="1" a="1"/>
  <c r="AB682" i="1" s="1"/>
  <c r="AC682" i="1" a="1"/>
  <c r="AC682" i="1" s="1"/>
  <c r="AD682" i="1"/>
  <c r="Y683" i="1"/>
  <c r="AA683" i="1" s="1" a="1"/>
  <c r="AA683" i="1" s="1"/>
  <c r="Z683" i="1" a="1"/>
  <c r="Z683" i="1" s="1"/>
  <c r="AC683" i="1" a="1"/>
  <c r="AC683" i="1" s="1"/>
  <c r="Y684" i="1"/>
  <c r="Z684" i="1" a="1"/>
  <c r="Z684" i="1"/>
  <c r="AC684" i="1" a="1"/>
  <c r="AC684" i="1" s="1"/>
  <c r="Y685" i="1"/>
  <c r="Z685" i="1" a="1"/>
  <c r="Z685" i="1" s="1"/>
  <c r="Y686" i="1"/>
  <c r="AD686" i="1" s="1"/>
  <c r="Z686" i="1" a="1"/>
  <c r="Z686" i="1" s="1"/>
  <c r="Y687" i="1"/>
  <c r="Z687" i="1" a="1"/>
  <c r="Z687" i="1" s="1"/>
  <c r="Y688" i="1"/>
  <c r="AA688" i="1" s="1" a="1"/>
  <c r="AA688" i="1" s="1"/>
  <c r="Z688" i="1" a="1"/>
  <c r="Z688" i="1" s="1"/>
  <c r="Y689" i="1"/>
  <c r="Z689" i="1" a="1"/>
  <c r="Z689" i="1" s="1"/>
  <c r="Y690" i="1"/>
  <c r="Z690" i="1" a="1"/>
  <c r="Z690" i="1" s="1"/>
  <c r="Y691" i="1"/>
  <c r="AB691" i="1" s="1" a="1"/>
  <c r="AB691" i="1" s="1"/>
  <c r="Z691" i="1" a="1"/>
  <c r="Z691" i="1" s="1"/>
  <c r="Y692" i="1"/>
  <c r="AB692" i="1" s="1" a="1"/>
  <c r="AB692" i="1" s="1"/>
  <c r="Z692" i="1" a="1"/>
  <c r="Z692" i="1" s="1"/>
  <c r="Y693" i="1"/>
  <c r="AA693" i="1" s="1" a="1"/>
  <c r="AA693" i="1" s="1"/>
  <c r="Z693" i="1" a="1"/>
  <c r="Z693" i="1" s="1"/>
  <c r="Y694" i="1"/>
  <c r="AA694" i="1" s="1" a="1"/>
  <c r="AA694" i="1" s="1"/>
  <c r="Z694" i="1" a="1"/>
  <c r="Z694" i="1" s="1"/>
  <c r="Y695" i="1"/>
  <c r="AC695" i="1" s="1" a="1"/>
  <c r="AC695" i="1" s="1"/>
  <c r="Z695" i="1" a="1"/>
  <c r="Z695" i="1" s="1"/>
  <c r="Y696" i="1"/>
  <c r="AC696" i="1" s="1" a="1"/>
  <c r="AC696" i="1" s="1"/>
  <c r="Z696" i="1" a="1"/>
  <c r="Z696" i="1" s="1"/>
  <c r="AA696" i="1" a="1"/>
  <c r="AA696" i="1" s="1"/>
  <c r="Y697" i="1"/>
  <c r="Z697" i="1" a="1"/>
  <c r="Z697" i="1"/>
  <c r="Y698" i="1"/>
  <c r="AC698" i="1" s="1" a="1"/>
  <c r="AC698" i="1" s="1"/>
  <c r="Z698" i="1" a="1"/>
  <c r="Z698" i="1" s="1"/>
  <c r="Y699" i="1"/>
  <c r="AB699" i="1" s="1" a="1"/>
  <c r="AB699" i="1" s="1"/>
  <c r="Z699" i="1" a="1"/>
  <c r="Z699" i="1" s="1"/>
  <c r="Y700" i="1"/>
  <c r="Z700" i="1" a="1"/>
  <c r="Z700" i="1"/>
  <c r="AD700" i="1"/>
  <c r="Y701" i="1"/>
  <c r="AA701" i="1" s="1" a="1"/>
  <c r="AA701" i="1" s="1"/>
  <c r="Z701" i="1" a="1"/>
  <c r="Z701" i="1" s="1"/>
  <c r="AB701" i="1" a="1"/>
  <c r="AB701" i="1" s="1"/>
  <c r="Y702" i="1"/>
  <c r="Z702" i="1" a="1"/>
  <c r="Z702" i="1" s="1"/>
  <c r="Y703" i="1"/>
  <c r="Z703" i="1" a="1"/>
  <c r="Z703" i="1"/>
  <c r="Y704" i="1"/>
  <c r="Z704" i="1" a="1"/>
  <c r="Z704" i="1" s="1"/>
  <c r="Y705" i="1"/>
  <c r="AD705" i="1" s="1"/>
  <c r="Z705" i="1" a="1"/>
  <c r="Z705" i="1" s="1"/>
  <c r="Y706" i="1"/>
  <c r="Z706" i="1" a="1"/>
  <c r="Z706" i="1" s="1"/>
  <c r="AB706" i="1" a="1"/>
  <c r="AB706" i="1" s="1"/>
  <c r="Y707" i="1"/>
  <c r="AC707" i="1" s="1" a="1"/>
  <c r="AC707" i="1" s="1"/>
  <c r="Z707" i="1" a="1"/>
  <c r="Z707" i="1" s="1"/>
  <c r="Y708" i="1"/>
  <c r="Z708" i="1" a="1"/>
  <c r="Z708" i="1" s="1"/>
  <c r="Y709" i="1"/>
  <c r="AB709" i="1" s="1" a="1"/>
  <c r="AB709" i="1" s="1"/>
  <c r="Z709" i="1" a="1"/>
  <c r="Z709" i="1" s="1"/>
  <c r="Y710" i="1"/>
  <c r="AA710" i="1" s="1" a="1"/>
  <c r="AA710" i="1" s="1"/>
  <c r="Z710" i="1" a="1"/>
  <c r="Z710" i="1" s="1"/>
  <c r="Y711" i="1"/>
  <c r="Z711" i="1" a="1"/>
  <c r="Z711" i="1"/>
  <c r="Y712" i="1"/>
  <c r="Z712" i="1" a="1"/>
  <c r="Z712" i="1" s="1"/>
  <c r="Y713" i="1"/>
  <c r="Z713" i="1" a="1"/>
  <c r="Z713" i="1" s="1"/>
  <c r="Y714" i="1"/>
  <c r="AB714" i="1" s="1" a="1"/>
  <c r="AB714" i="1" s="1"/>
  <c r="Z714" i="1" a="1"/>
  <c r="Z714" i="1"/>
  <c r="Y715" i="1"/>
  <c r="AA715" i="1" s="1" a="1"/>
  <c r="AA715" i="1" s="1"/>
  <c r="Z715" i="1" a="1"/>
  <c r="Z715" i="1" s="1"/>
  <c r="AB715" i="1" a="1"/>
  <c r="AB715" i="1" s="1"/>
  <c r="Y716" i="1"/>
  <c r="AA716" i="1" s="1" a="1"/>
  <c r="AA716" i="1" s="1"/>
  <c r="Z716" i="1" a="1"/>
  <c r="Z716" i="1" s="1"/>
  <c r="AB716" i="1" a="1"/>
  <c r="AB716" i="1" s="1"/>
  <c r="AC716" i="1" a="1"/>
  <c r="AC716" i="1" s="1"/>
  <c r="AD716" i="1"/>
  <c r="Y717" i="1"/>
  <c r="Z717" i="1" a="1"/>
  <c r="Z717" i="1" s="1"/>
  <c r="Y718" i="1"/>
  <c r="AC718" i="1" s="1" a="1"/>
  <c r="AC718" i="1" s="1"/>
  <c r="Z718" i="1" a="1"/>
  <c r="Z718" i="1" s="1"/>
  <c r="Y719" i="1"/>
  <c r="AA719" i="1" s="1" a="1"/>
  <c r="AA719" i="1" s="1"/>
  <c r="Z719" i="1" a="1"/>
  <c r="Z719" i="1" s="1"/>
  <c r="AD719" i="1"/>
  <c r="Y720" i="1"/>
  <c r="Z720" i="1" a="1"/>
  <c r="Z720" i="1" s="1"/>
  <c r="AD720" i="1"/>
  <c r="Y721" i="1"/>
  <c r="Z721" i="1" a="1"/>
  <c r="Z721" i="1" s="1"/>
  <c r="AA721" i="1" a="1"/>
  <c r="AA721" i="1" s="1"/>
  <c r="Y722" i="1"/>
  <c r="AA722" i="1" s="1" a="1"/>
  <c r="AA722" i="1" s="1"/>
  <c r="Z722" i="1" a="1"/>
  <c r="Z722" i="1" s="1"/>
  <c r="Y723" i="1"/>
  <c r="AC723" i="1" s="1" a="1"/>
  <c r="AC723" i="1" s="1"/>
  <c r="Z723" i="1" a="1"/>
  <c r="Z723" i="1" s="1"/>
  <c r="AB723" i="1" a="1"/>
  <c r="AB723" i="1" s="1"/>
  <c r="Y724" i="1"/>
  <c r="AD724" i="1" s="1"/>
  <c r="Z724" i="1" a="1"/>
  <c r="Z724" i="1" s="1"/>
  <c r="Y725" i="1"/>
  <c r="AA725" i="1" s="1" a="1"/>
  <c r="AA725" i="1" s="1"/>
  <c r="Z725" i="1" a="1"/>
  <c r="Z725" i="1" s="1"/>
  <c r="Y726" i="1"/>
  <c r="Z726" i="1" a="1"/>
  <c r="Z726" i="1" s="1"/>
  <c r="Y727" i="1"/>
  <c r="AD727" i="1" s="1"/>
  <c r="Z727" i="1" a="1"/>
  <c r="Z727" i="1" s="1"/>
  <c r="Y728" i="1"/>
  <c r="AD728" i="1" s="1"/>
  <c r="Z728" i="1" a="1"/>
  <c r="Z728" i="1" s="1"/>
  <c r="Y729" i="1"/>
  <c r="Z729" i="1" a="1"/>
  <c r="Z729" i="1" s="1"/>
  <c r="Y730" i="1"/>
  <c r="AA730" i="1" s="1" a="1"/>
  <c r="AA730" i="1" s="1"/>
  <c r="Z730" i="1" a="1"/>
  <c r="Z730" i="1"/>
  <c r="Y731" i="1"/>
  <c r="Z731" i="1" a="1"/>
  <c r="Z731" i="1" s="1"/>
  <c r="Y732" i="1"/>
  <c r="AC732" i="1" s="1" a="1"/>
  <c r="Z732" i="1" a="1"/>
  <c r="Z732" i="1"/>
  <c r="AA732" i="1" a="1"/>
  <c r="AA732" i="1" s="1"/>
  <c r="AB732" i="1" a="1"/>
  <c r="AB732" i="1" s="1"/>
  <c r="AC732" i="1"/>
  <c r="Y733" i="1"/>
  <c r="AA733" i="1" s="1" a="1"/>
  <c r="AA733" i="1" s="1"/>
  <c r="Z733" i="1" a="1"/>
  <c r="Z733" i="1"/>
  <c r="Y734" i="1"/>
  <c r="AA734" i="1" s="1" a="1"/>
  <c r="AA734" i="1" s="1"/>
  <c r="Z734" i="1" a="1"/>
  <c r="Z734" i="1" s="1"/>
  <c r="Y735" i="1"/>
  <c r="Z735" i="1" a="1"/>
  <c r="Z735" i="1"/>
  <c r="Y736" i="1"/>
  <c r="AA736" i="1" s="1" a="1"/>
  <c r="AA736" i="1" s="1"/>
  <c r="Z736" i="1" a="1"/>
  <c r="Z736" i="1" s="1"/>
  <c r="Y737" i="1"/>
  <c r="AB737" i="1" s="1" a="1"/>
  <c r="AB737" i="1" s="1"/>
  <c r="Z737" i="1" a="1"/>
  <c r="Z737" i="1" s="1"/>
  <c r="Y738" i="1"/>
  <c r="AB738" i="1" s="1" a="1"/>
  <c r="AB738" i="1" s="1"/>
  <c r="Z738" i="1" a="1"/>
  <c r="Z738" i="1" s="1"/>
  <c r="AA738" i="1" a="1"/>
  <c r="AA738" i="1" s="1"/>
  <c r="AC738" i="1" a="1"/>
  <c r="AC738" i="1" s="1"/>
  <c r="Y739" i="1"/>
  <c r="AD739" i="1" s="1"/>
  <c r="Z739" i="1" a="1"/>
  <c r="Z739" i="1" s="1"/>
  <c r="Y740" i="1"/>
  <c r="Z740" i="1" a="1"/>
  <c r="Z740" i="1"/>
  <c r="Y741" i="1"/>
  <c r="AD741" i="1" s="1"/>
  <c r="Z741" i="1" a="1"/>
  <c r="Z741" i="1"/>
  <c r="AB741" i="1" a="1"/>
  <c r="AB741" i="1" s="1"/>
  <c r="Y742" i="1"/>
  <c r="AA742" i="1" s="1" a="1"/>
  <c r="AA742" i="1" s="1"/>
  <c r="Z742" i="1" a="1"/>
  <c r="Z742" i="1" s="1"/>
  <c r="Y743" i="1"/>
  <c r="AB743" i="1" s="1" a="1"/>
  <c r="AB743" i="1" s="1"/>
  <c r="Z743" i="1" a="1"/>
  <c r="Z743" i="1" s="1"/>
  <c r="Y744" i="1"/>
  <c r="AC744" i="1" s="1" a="1"/>
  <c r="AC744" i="1" s="1"/>
  <c r="Z744" i="1" a="1"/>
  <c r="Z744" i="1" s="1"/>
  <c r="Y745" i="1"/>
  <c r="AB745" i="1" s="1" a="1"/>
  <c r="AB745" i="1" s="1"/>
  <c r="Z745" i="1" a="1"/>
  <c r="Z745" i="1"/>
  <c r="AD745" i="1"/>
  <c r="Y746" i="1"/>
  <c r="Z746" i="1" a="1"/>
  <c r="Z746" i="1" s="1"/>
  <c r="Y747" i="1"/>
  <c r="AC747" i="1" s="1" a="1"/>
  <c r="AC747" i="1" s="1"/>
  <c r="Z747" i="1" a="1"/>
  <c r="Z747" i="1" s="1"/>
  <c r="Y748" i="1"/>
  <c r="Z748" i="1" a="1"/>
  <c r="Z748" i="1" s="1"/>
  <c r="AA748" i="1" a="1"/>
  <c r="AA748" i="1" s="1"/>
  <c r="AB748" i="1" a="1"/>
  <c r="AB748" i="1" s="1"/>
  <c r="Y749" i="1"/>
  <c r="Z749" i="1" a="1"/>
  <c r="Z749" i="1" s="1"/>
  <c r="AA749" i="1" a="1"/>
  <c r="AA749" i="1" s="1"/>
  <c r="AB749" i="1" a="1"/>
  <c r="AB749" i="1" s="1"/>
  <c r="AC749" i="1" a="1"/>
  <c r="AC749" i="1" s="1"/>
  <c r="AD749" i="1"/>
  <c r="Y750" i="1"/>
  <c r="Z750" i="1" a="1"/>
  <c r="Z750" i="1" s="1"/>
  <c r="Y751" i="1"/>
  <c r="AA751" i="1" s="1" a="1"/>
  <c r="AA751" i="1" s="1"/>
  <c r="Z751" i="1" a="1"/>
  <c r="Z751" i="1"/>
  <c r="Y752" i="1"/>
  <c r="AC752" i="1" s="1" a="1"/>
  <c r="AC752" i="1" s="1"/>
  <c r="Z752" i="1" a="1"/>
  <c r="Z752" i="1" s="1"/>
  <c r="Y753" i="1"/>
  <c r="AA753" i="1" s="1" a="1"/>
  <c r="AA753" i="1" s="1"/>
  <c r="Z753" i="1" a="1"/>
  <c r="Z753" i="1" s="1"/>
  <c r="Y754" i="1"/>
  <c r="AA754" i="1" s="1" a="1"/>
  <c r="AA754" i="1" s="1"/>
  <c r="Z754" i="1" a="1"/>
  <c r="Z754" i="1" s="1"/>
  <c r="Y755" i="1"/>
  <c r="Z755" i="1" a="1"/>
  <c r="Z755" i="1" s="1"/>
  <c r="Y756" i="1"/>
  <c r="AD756" i="1" s="1"/>
  <c r="Z756" i="1" a="1"/>
  <c r="Z756" i="1"/>
  <c r="AC756" i="1" a="1"/>
  <c r="AC756" i="1" s="1"/>
  <c r="Y757" i="1"/>
  <c r="AD757" i="1" s="1"/>
  <c r="Z757" i="1" a="1"/>
  <c r="Z757" i="1"/>
  <c r="Y758" i="1"/>
  <c r="Z758" i="1" a="1"/>
  <c r="Z758" i="1" s="1"/>
  <c r="Y759" i="1"/>
  <c r="AB759" i="1" s="1" a="1"/>
  <c r="AB759" i="1" s="1"/>
  <c r="Z759" i="1" a="1"/>
  <c r="Z759" i="1" s="1"/>
  <c r="Y760" i="1"/>
  <c r="Z760" i="1" a="1"/>
  <c r="Z760" i="1" s="1"/>
  <c r="Y761" i="1"/>
  <c r="AB761" i="1" s="1" a="1"/>
  <c r="AB761" i="1" s="1"/>
  <c r="Z761" i="1" a="1"/>
  <c r="Z761" i="1" s="1"/>
  <c r="Y762" i="1"/>
  <c r="Z762" i="1" a="1"/>
  <c r="Z762" i="1" s="1"/>
  <c r="Y763" i="1"/>
  <c r="AB763" i="1" s="1" a="1"/>
  <c r="AB763" i="1" s="1"/>
  <c r="Z763" i="1" a="1"/>
  <c r="Z763" i="1" s="1"/>
  <c r="AA763" i="1" a="1"/>
  <c r="AA763" i="1" s="1"/>
  <c r="AD763" i="1"/>
  <c r="Y764" i="1"/>
  <c r="AA764" i="1" s="1" a="1"/>
  <c r="AA764" i="1" s="1"/>
  <c r="Z764" i="1" a="1"/>
  <c r="Z764" i="1" s="1"/>
  <c r="Y765" i="1"/>
  <c r="AC765" i="1" s="1" a="1"/>
  <c r="AC765" i="1" s="1"/>
  <c r="Z765" i="1" a="1"/>
  <c r="Z765" i="1" s="1"/>
  <c r="Y766" i="1"/>
  <c r="AD766" i="1" s="1"/>
  <c r="Z766" i="1" a="1"/>
  <c r="Z766" i="1" s="1"/>
  <c r="Y767" i="1"/>
  <c r="Z767" i="1" a="1"/>
  <c r="Z767" i="1"/>
  <c r="Y768" i="1"/>
  <c r="AB768" i="1" s="1" a="1"/>
  <c r="AB768" i="1" s="1"/>
  <c r="Z768" i="1" a="1"/>
  <c r="Z768" i="1" s="1"/>
  <c r="Y769" i="1"/>
  <c r="AA769" i="1" s="1" a="1"/>
  <c r="AA769" i="1" s="1"/>
  <c r="Z769" i="1" a="1"/>
  <c r="Z769" i="1" s="1"/>
  <c r="Y770" i="1"/>
  <c r="AB770" i="1" s="1" a="1"/>
  <c r="AB770" i="1" s="1"/>
  <c r="Z770" i="1" a="1"/>
  <c r="Z770" i="1" s="1"/>
  <c r="AC770" i="1" a="1"/>
  <c r="AC770" i="1" s="1"/>
  <c r="Y771" i="1"/>
  <c r="AC771" i="1" s="1" a="1"/>
  <c r="AC771" i="1" s="1"/>
  <c r="Z771" i="1" a="1"/>
  <c r="Z771" i="1" s="1"/>
  <c r="Y772" i="1"/>
  <c r="AD772" i="1" s="1"/>
  <c r="Z772" i="1" a="1"/>
  <c r="Z772" i="1" s="1"/>
  <c r="Y773" i="1"/>
  <c r="Z773" i="1" a="1"/>
  <c r="Z773" i="1" s="1"/>
  <c r="AC773" i="1" a="1"/>
  <c r="AC773" i="1" s="1"/>
  <c r="AD773" i="1"/>
  <c r="Y774" i="1"/>
  <c r="AB774" i="1" s="1" a="1"/>
  <c r="AB774" i="1" s="1"/>
  <c r="Z774" i="1" a="1"/>
  <c r="Z774" i="1" s="1"/>
  <c r="Y775" i="1"/>
  <c r="AA775" i="1" s="1" a="1"/>
  <c r="AA775" i="1" s="1"/>
  <c r="Z775" i="1" a="1"/>
  <c r="Z775" i="1" s="1"/>
  <c r="AC775" i="1" a="1"/>
  <c r="AC775" i="1" s="1"/>
  <c r="AD775" i="1"/>
  <c r="Y776" i="1"/>
  <c r="AA776" i="1" s="1" a="1"/>
  <c r="AA776" i="1" s="1"/>
  <c r="Z776" i="1" a="1"/>
  <c r="Z776" i="1" s="1"/>
  <c r="Y777" i="1"/>
  <c r="AC777" i="1" s="1" a="1"/>
  <c r="AC777" i="1" s="1"/>
  <c r="Z777" i="1" a="1"/>
  <c r="Z777" i="1" s="1"/>
  <c r="Y778" i="1"/>
  <c r="AD778" i="1" s="1"/>
  <c r="Z778" i="1" a="1"/>
  <c r="Z778" i="1" s="1"/>
  <c r="Y779" i="1"/>
  <c r="AA779" i="1" s="1" a="1"/>
  <c r="AA779" i="1" s="1"/>
  <c r="Z779" i="1" a="1"/>
  <c r="Z779" i="1" s="1"/>
  <c r="Y780" i="1"/>
  <c r="AA780" i="1" s="1" a="1"/>
  <c r="AA780" i="1" s="1"/>
  <c r="Z780" i="1" a="1"/>
  <c r="Z780" i="1" s="1"/>
  <c r="Y781" i="1"/>
  <c r="AC781" i="1" s="1" a="1"/>
  <c r="AC781" i="1" s="1"/>
  <c r="Z781" i="1" a="1"/>
  <c r="Z781" i="1" s="1"/>
  <c r="Y782" i="1"/>
  <c r="AC782" i="1" s="1" a="1"/>
  <c r="AC782" i="1" s="1"/>
  <c r="Z782" i="1" a="1"/>
  <c r="Z782" i="1" s="1"/>
  <c r="Y783" i="1"/>
  <c r="AB783" i="1" s="1" a="1"/>
  <c r="AB783" i="1" s="1"/>
  <c r="Z783" i="1" a="1"/>
  <c r="Z783" i="1" s="1"/>
  <c r="Y784" i="1"/>
  <c r="AA784" i="1" s="1" a="1"/>
  <c r="AA784" i="1" s="1"/>
  <c r="Z784" i="1" a="1"/>
  <c r="Z784" i="1" s="1"/>
  <c r="Y785" i="1"/>
  <c r="AA785" i="1" s="1" a="1"/>
  <c r="AA785" i="1" s="1"/>
  <c r="Z785" i="1" a="1"/>
  <c r="Z785" i="1" s="1"/>
  <c r="Y786" i="1"/>
  <c r="AA786" i="1" s="1" a="1"/>
  <c r="AA786" i="1" s="1"/>
  <c r="Z786" i="1" a="1"/>
  <c r="Z786" i="1"/>
  <c r="AC786" i="1" a="1"/>
  <c r="AC786" i="1" s="1"/>
  <c r="AD786" i="1"/>
  <c r="Y787" i="1"/>
  <c r="AA787" i="1" s="1" a="1"/>
  <c r="AA787" i="1" s="1"/>
  <c r="Z787" i="1" a="1"/>
  <c r="Z787" i="1" s="1"/>
  <c r="Y788" i="1"/>
  <c r="AA788" i="1" s="1" a="1"/>
  <c r="AA788" i="1" s="1"/>
  <c r="Z788" i="1" a="1"/>
  <c r="Z788" i="1" s="1"/>
  <c r="Y789" i="1"/>
  <c r="AA789" i="1" s="1" a="1"/>
  <c r="AA789" i="1" s="1"/>
  <c r="Z789" i="1" a="1"/>
  <c r="Z789" i="1" s="1"/>
  <c r="Y790" i="1"/>
  <c r="Z790" i="1" a="1"/>
  <c r="Z790" i="1"/>
  <c r="AA790" i="1" a="1"/>
  <c r="AA790" i="1" s="1"/>
  <c r="Y791" i="1"/>
  <c r="Z791" i="1" a="1"/>
  <c r="Z791" i="1" s="1"/>
  <c r="Y792" i="1"/>
  <c r="AA792" i="1" s="1" a="1"/>
  <c r="AA792" i="1" s="1"/>
  <c r="Z792" i="1" a="1"/>
  <c r="Z792" i="1"/>
  <c r="Y793" i="1"/>
  <c r="AC793" i="1" s="1" a="1"/>
  <c r="AC793" i="1" s="1"/>
  <c r="Z793" i="1" a="1"/>
  <c r="Z793" i="1" s="1"/>
  <c r="AB793" i="1" a="1"/>
  <c r="AB793" i="1" s="1"/>
  <c r="Y794" i="1"/>
  <c r="AC794" i="1" s="1" a="1"/>
  <c r="AC794" i="1" s="1"/>
  <c r="Z794" i="1" a="1"/>
  <c r="Z794" i="1" s="1"/>
  <c r="Y795" i="1"/>
  <c r="AC795" i="1" s="1" a="1"/>
  <c r="AC795" i="1" s="1"/>
  <c r="Z795" i="1" a="1"/>
  <c r="Z795" i="1" s="1"/>
  <c r="Y796" i="1"/>
  <c r="AA796" i="1" s="1" a="1"/>
  <c r="AA796" i="1" s="1"/>
  <c r="Z796" i="1" a="1"/>
  <c r="Z796" i="1" s="1"/>
  <c r="Y797" i="1"/>
  <c r="AB797" i="1" s="1" a="1"/>
  <c r="AB797" i="1" s="1"/>
  <c r="Z797" i="1" a="1"/>
  <c r="Z797" i="1"/>
  <c r="Y798" i="1"/>
  <c r="AB798" i="1" s="1" a="1"/>
  <c r="AB798" i="1" s="1"/>
  <c r="Z798" i="1" a="1"/>
  <c r="Z798" i="1" s="1"/>
  <c r="AA798" i="1" a="1"/>
  <c r="AA798" i="1" s="1"/>
  <c r="AC798" i="1" a="1"/>
  <c r="AC798" i="1" s="1"/>
  <c r="Y799" i="1"/>
  <c r="AB799" i="1" s="1" a="1"/>
  <c r="AB799" i="1" s="1"/>
  <c r="Z799" i="1" a="1"/>
  <c r="Z799" i="1" s="1"/>
  <c r="Y800" i="1"/>
  <c r="AA800" i="1" s="1" a="1"/>
  <c r="AA800" i="1" s="1"/>
  <c r="Z800" i="1" a="1"/>
  <c r="Z800" i="1" s="1"/>
  <c r="Y801" i="1"/>
  <c r="AB801" i="1" s="1" a="1"/>
  <c r="AB801" i="1" s="1"/>
  <c r="Z801" i="1" a="1"/>
  <c r="Z801" i="1" s="1"/>
  <c r="Y802" i="1"/>
  <c r="AA802" i="1" s="1" a="1"/>
  <c r="AA802" i="1" s="1"/>
  <c r="Z802" i="1" a="1"/>
  <c r="Z802" i="1" s="1"/>
  <c r="Y803" i="1"/>
  <c r="AA803" i="1" s="1" a="1"/>
  <c r="AA803" i="1" s="1"/>
  <c r="Z803" i="1" a="1"/>
  <c r="Z803" i="1" s="1"/>
  <c r="Y804" i="1"/>
  <c r="AA804" i="1" s="1" a="1"/>
  <c r="AA804" i="1" s="1"/>
  <c r="Z804" i="1" a="1"/>
  <c r="Z804" i="1"/>
  <c r="AC804" i="1" a="1"/>
  <c r="AC804" i="1" s="1"/>
  <c r="Y805" i="1"/>
  <c r="AD805" i="1" s="1"/>
  <c r="Z805" i="1" a="1"/>
  <c r="Z805" i="1" s="1"/>
  <c r="AB805" i="1" a="1"/>
  <c r="AB805" i="1" s="1"/>
  <c r="AC805" i="1" a="1"/>
  <c r="AC805" i="1" s="1"/>
  <c r="Y806" i="1"/>
  <c r="AA806" i="1" s="1" a="1"/>
  <c r="AA806" i="1" s="1"/>
  <c r="Z806" i="1" a="1"/>
  <c r="Z806" i="1" s="1"/>
  <c r="Y807" i="1"/>
  <c r="AA807" i="1" s="1" a="1"/>
  <c r="AA807" i="1" s="1"/>
  <c r="Z807" i="1" a="1"/>
  <c r="Z807" i="1" s="1"/>
  <c r="Y808" i="1"/>
  <c r="AB808" i="1" s="1" a="1"/>
  <c r="AB808" i="1" s="1"/>
  <c r="Z808" i="1" a="1"/>
  <c r="Z808" i="1" s="1"/>
  <c r="Y809" i="1"/>
  <c r="Z809" i="1" a="1"/>
  <c r="Z809" i="1" s="1"/>
  <c r="Y810" i="1"/>
  <c r="AB810" i="1" s="1" a="1"/>
  <c r="AB810" i="1" s="1"/>
  <c r="Z810" i="1" a="1"/>
  <c r="Z810" i="1"/>
  <c r="Y811" i="1"/>
  <c r="AA811" i="1" s="1" a="1"/>
  <c r="AA811" i="1" s="1"/>
  <c r="Z811" i="1" a="1"/>
  <c r="Z811" i="1" s="1"/>
  <c r="AB811" i="1" a="1"/>
  <c r="AB811" i="1" s="1"/>
  <c r="AC811" i="1" a="1"/>
  <c r="AC811" i="1" s="1"/>
  <c r="AD811" i="1"/>
  <c r="Y812" i="1"/>
  <c r="AA812" i="1" s="1" a="1"/>
  <c r="AA812" i="1" s="1"/>
  <c r="Z812" i="1" a="1"/>
  <c r="Z812" i="1" s="1"/>
  <c r="Y813" i="1"/>
  <c r="AB813" i="1" s="1" a="1"/>
  <c r="AB813" i="1" s="1"/>
  <c r="Z813" i="1" a="1"/>
  <c r="Z813" i="1" s="1"/>
  <c r="AA813" i="1" a="1"/>
  <c r="AA813" i="1" s="1"/>
  <c r="AD813" i="1"/>
  <c r="Y814" i="1"/>
  <c r="AA814" i="1" s="1" a="1"/>
  <c r="AA814" i="1" s="1"/>
  <c r="Z814" i="1" a="1"/>
  <c r="Z814" i="1" s="1"/>
  <c r="Y815" i="1"/>
  <c r="AB815" i="1" s="1" a="1"/>
  <c r="AB815" i="1" s="1"/>
  <c r="Z815" i="1" a="1"/>
  <c r="Z815" i="1"/>
  <c r="Y816" i="1"/>
  <c r="AC816" i="1" s="1" a="1"/>
  <c r="AC816" i="1" s="1"/>
  <c r="Z816" i="1" a="1"/>
  <c r="Z816" i="1" s="1"/>
  <c r="Y817" i="1"/>
  <c r="AB817" i="1" s="1" a="1"/>
  <c r="AB817" i="1" s="1"/>
  <c r="Z817" i="1" a="1"/>
  <c r="Z817" i="1" s="1"/>
  <c r="Y818" i="1"/>
  <c r="AA818" i="1" s="1" a="1"/>
  <c r="AA818" i="1" s="1"/>
  <c r="Z818" i="1" a="1"/>
  <c r="Z818" i="1" s="1"/>
  <c r="Y819" i="1"/>
  <c r="AC819" i="1" s="1" a="1"/>
  <c r="AC819" i="1" s="1"/>
  <c r="Z819" i="1" a="1"/>
  <c r="Z819" i="1" s="1"/>
  <c r="Y820" i="1"/>
  <c r="AA820" i="1" s="1" a="1"/>
  <c r="AA820" i="1" s="1"/>
  <c r="Z820" i="1" a="1"/>
  <c r="Z820" i="1" s="1"/>
  <c r="AD820" i="1"/>
  <c r="Y821" i="1"/>
  <c r="AA821" i="1" s="1" a="1"/>
  <c r="AA821" i="1" s="1"/>
  <c r="Z821" i="1" a="1"/>
  <c r="Z821" i="1"/>
  <c r="Y822" i="1"/>
  <c r="AA822" i="1" s="1" a="1"/>
  <c r="AA822" i="1" s="1"/>
  <c r="Z822" i="1" a="1"/>
  <c r="Z822" i="1"/>
  <c r="Y823" i="1"/>
  <c r="AC823" i="1" s="1" a="1"/>
  <c r="AC823" i="1" s="1"/>
  <c r="Z823" i="1" a="1"/>
  <c r="Z823" i="1" s="1"/>
  <c r="AA823" i="1" a="1"/>
  <c r="AA823" i="1" s="1"/>
  <c r="AD823" i="1"/>
  <c r="Y824" i="1"/>
  <c r="AB824" i="1" s="1" a="1"/>
  <c r="AB824" i="1" s="1"/>
  <c r="Z824" i="1" a="1"/>
  <c r="Z824" i="1" s="1"/>
  <c r="Y825" i="1"/>
  <c r="AA825" i="1" s="1" a="1"/>
  <c r="AA825" i="1" s="1"/>
  <c r="Z825" i="1" a="1"/>
  <c r="Z825" i="1" s="1"/>
  <c r="Y826" i="1"/>
  <c r="AB826" i="1" s="1" a="1"/>
  <c r="AB826" i="1" s="1"/>
  <c r="Z826" i="1" a="1"/>
  <c r="Z826" i="1"/>
  <c r="AA826" i="1" a="1"/>
  <c r="AA826" i="1" s="1"/>
  <c r="Y827" i="1"/>
  <c r="Z827" i="1" a="1"/>
  <c r="Z827" i="1" s="1"/>
  <c r="Y828" i="1"/>
  <c r="AA828" i="1" s="1" a="1"/>
  <c r="AA828" i="1" s="1"/>
  <c r="Z828" i="1" a="1"/>
  <c r="Z828" i="1" s="1"/>
  <c r="Y829" i="1"/>
  <c r="AB829" i="1" s="1" a="1"/>
  <c r="AB829" i="1" s="1"/>
  <c r="Z829" i="1" a="1"/>
  <c r="Z829" i="1" s="1"/>
  <c r="AA829" i="1" a="1"/>
  <c r="AA829" i="1" s="1"/>
  <c r="Y830" i="1"/>
  <c r="Z830" i="1" a="1"/>
  <c r="Z830" i="1" s="1"/>
  <c r="AB830" i="1" a="1"/>
  <c r="AB830" i="1" s="1"/>
  <c r="Y831" i="1"/>
  <c r="AA831" i="1" s="1" a="1"/>
  <c r="AA831" i="1" s="1"/>
  <c r="Z831" i="1" a="1"/>
  <c r="Z831" i="1" s="1"/>
  <c r="Y832" i="1"/>
  <c r="AA832" i="1" s="1" a="1"/>
  <c r="AA832" i="1" s="1"/>
  <c r="Z832" i="1" a="1"/>
  <c r="Z832" i="1" s="1"/>
  <c r="Y833" i="1"/>
  <c r="Z833" i="1" a="1"/>
  <c r="Z833" i="1" s="1"/>
  <c r="Y834" i="1"/>
  <c r="AB834" i="1" s="1" a="1"/>
  <c r="AB834" i="1" s="1"/>
  <c r="Z834" i="1" a="1"/>
  <c r="Z834" i="1" s="1"/>
  <c r="Y835" i="1"/>
  <c r="AD835" i="1" s="1"/>
  <c r="Z835" i="1" a="1"/>
  <c r="Z835" i="1" s="1"/>
  <c r="Y836" i="1"/>
  <c r="AA836" i="1" s="1" a="1"/>
  <c r="AA836" i="1" s="1"/>
  <c r="Z836" i="1" a="1"/>
  <c r="Z836" i="1" s="1"/>
  <c r="Y837" i="1"/>
  <c r="AC837" i="1" s="1" a="1"/>
  <c r="AC837" i="1" s="1"/>
  <c r="Z837" i="1" a="1"/>
  <c r="Z837" i="1" s="1"/>
  <c r="Y838" i="1"/>
  <c r="AD838" i="1" s="1"/>
  <c r="Z838" i="1" a="1"/>
  <c r="Z838" i="1" s="1"/>
  <c r="AC838" i="1" a="1"/>
  <c r="AC838" i="1" s="1"/>
  <c r="Y839" i="1"/>
  <c r="AA839" i="1" s="1" a="1"/>
  <c r="AA839" i="1" s="1"/>
  <c r="Z839" i="1" a="1"/>
  <c r="Z839" i="1" s="1"/>
  <c r="Y840" i="1"/>
  <c r="Z840" i="1" a="1"/>
  <c r="Z840" i="1" s="1"/>
  <c r="Y841" i="1"/>
  <c r="AB841" i="1" s="1" a="1"/>
  <c r="AB841" i="1" s="1"/>
  <c r="Z841" i="1" a="1"/>
  <c r="Z841" i="1" s="1"/>
  <c r="Y842" i="1"/>
  <c r="AB842" i="1" s="1" a="1"/>
  <c r="AB842" i="1" s="1"/>
  <c r="Z842" i="1" a="1"/>
  <c r="Z842" i="1" s="1"/>
  <c r="AD842" i="1"/>
  <c r="Y843" i="1"/>
  <c r="AA843" i="1" s="1" a="1"/>
  <c r="AA843" i="1" s="1"/>
  <c r="Z843" i="1" a="1"/>
  <c r="Z843" i="1" s="1"/>
  <c r="Y844" i="1"/>
  <c r="AB844" i="1" s="1" a="1"/>
  <c r="AB844" i="1" s="1"/>
  <c r="Z844" i="1" a="1"/>
  <c r="Z844" i="1"/>
  <c r="Y845" i="1"/>
  <c r="AC845" i="1" s="1" a="1"/>
  <c r="AC845" i="1" s="1"/>
  <c r="Z845" i="1" a="1"/>
  <c r="Z845" i="1" s="1"/>
  <c r="AD845" i="1"/>
  <c r="Y846" i="1"/>
  <c r="AB846" i="1" s="1" a="1"/>
  <c r="AB846" i="1" s="1"/>
  <c r="Z846" i="1" a="1"/>
  <c r="Z846" i="1"/>
  <c r="Y847" i="1"/>
  <c r="AD847" i="1" s="1"/>
  <c r="Z847" i="1" a="1"/>
  <c r="Z847" i="1" s="1"/>
  <c r="Y848" i="1"/>
  <c r="AB848" i="1" s="1" a="1"/>
  <c r="AB848" i="1" s="1"/>
  <c r="Z848" i="1" a="1"/>
  <c r="Z848" i="1" s="1"/>
  <c r="Y849" i="1"/>
  <c r="AA849" i="1" s="1" a="1"/>
  <c r="AA849" i="1" s="1"/>
  <c r="Z849" i="1" a="1"/>
  <c r="Z849" i="1" s="1"/>
  <c r="Y850" i="1"/>
  <c r="AA850" i="1" s="1" a="1"/>
  <c r="AA850" i="1" s="1"/>
  <c r="Z850" i="1" a="1"/>
  <c r="Z850" i="1" s="1"/>
  <c r="Y851" i="1"/>
  <c r="AB851" i="1" s="1" a="1"/>
  <c r="AB851" i="1" s="1"/>
  <c r="Z851" i="1" a="1"/>
  <c r="Z851" i="1"/>
  <c r="Y852" i="1"/>
  <c r="AB852" i="1" s="1" a="1"/>
  <c r="AB852" i="1" s="1"/>
  <c r="Z852" i="1" a="1"/>
  <c r="Z852" i="1"/>
  <c r="Y853" i="1"/>
  <c r="AA853" i="1" s="1" a="1"/>
  <c r="AA853" i="1" s="1"/>
  <c r="Z853" i="1" a="1"/>
  <c r="Z853" i="1" s="1"/>
  <c r="Y854" i="1"/>
  <c r="AA854" i="1" s="1" a="1"/>
  <c r="AA854" i="1" s="1"/>
  <c r="Z854" i="1" a="1"/>
  <c r="Z854" i="1" s="1"/>
  <c r="Y855" i="1"/>
  <c r="AC855" i="1" s="1" a="1"/>
  <c r="AC855" i="1" s="1"/>
  <c r="Z855" i="1" a="1"/>
  <c r="Z855" i="1"/>
  <c r="AB855" i="1" a="1"/>
  <c r="AB855" i="1" s="1"/>
  <c r="Y856" i="1"/>
  <c r="Z856" i="1" a="1"/>
  <c r="Z856" i="1" s="1"/>
  <c r="Y857" i="1"/>
  <c r="AA857" i="1" s="1" a="1"/>
  <c r="AA857" i="1" s="1"/>
  <c r="Z857" i="1" a="1"/>
  <c r="Z857" i="1" s="1"/>
  <c r="Y858" i="1"/>
  <c r="AA858" i="1" s="1" a="1"/>
  <c r="AA858" i="1" s="1"/>
  <c r="Z858" i="1" a="1"/>
  <c r="Z858" i="1" s="1"/>
  <c r="Y859" i="1"/>
  <c r="AA859" i="1" s="1" a="1"/>
  <c r="AA859" i="1" s="1"/>
  <c r="Z859" i="1" a="1"/>
  <c r="Z859" i="1" s="1"/>
  <c r="Y860" i="1"/>
  <c r="Z860" i="1" a="1"/>
  <c r="Z860" i="1" s="1"/>
  <c r="Y861" i="1"/>
  <c r="AA861" i="1" s="1" a="1"/>
  <c r="AA861" i="1" s="1"/>
  <c r="Z861" i="1" a="1"/>
  <c r="Z861" i="1" s="1"/>
  <c r="Y862" i="1"/>
  <c r="AB862" i="1" s="1" a="1"/>
  <c r="AB862" i="1" s="1"/>
  <c r="Z862" i="1" a="1"/>
  <c r="Z862" i="1" s="1"/>
  <c r="Y863" i="1"/>
  <c r="AA863" i="1" s="1" a="1"/>
  <c r="AA863" i="1" s="1"/>
  <c r="Z863" i="1" a="1"/>
  <c r="Z863" i="1" s="1"/>
  <c r="Y864" i="1"/>
  <c r="AC864" i="1" s="1" a="1"/>
  <c r="AC864" i="1" s="1"/>
  <c r="Z864" i="1" a="1"/>
  <c r="Z864" i="1"/>
  <c r="Y865" i="1"/>
  <c r="AB865" i="1" s="1" a="1"/>
  <c r="AB865" i="1" s="1"/>
  <c r="Z865" i="1" a="1"/>
  <c r="Z865" i="1" s="1"/>
  <c r="Y866" i="1"/>
  <c r="Z866" i="1" a="1"/>
  <c r="Z866" i="1" s="1"/>
  <c r="Y867" i="1"/>
  <c r="AA867" i="1" s="1" a="1"/>
  <c r="AA867" i="1" s="1"/>
  <c r="Z867" i="1" a="1"/>
  <c r="Z867" i="1" s="1"/>
  <c r="Y868" i="1"/>
  <c r="AA868" i="1" s="1" a="1"/>
  <c r="AA868" i="1" s="1"/>
  <c r="Z868" i="1" a="1"/>
  <c r="Z868" i="1" s="1"/>
  <c r="Y869" i="1"/>
  <c r="AB869" i="1" s="1" a="1"/>
  <c r="AB869" i="1" s="1"/>
  <c r="Z869" i="1" a="1"/>
  <c r="Z869" i="1" s="1"/>
  <c r="Y870" i="1"/>
  <c r="Z870" i="1" a="1"/>
  <c r="Z870" i="1" s="1"/>
  <c r="AC870" i="1" a="1"/>
  <c r="AC870" i="1" s="1"/>
  <c r="Y871" i="1"/>
  <c r="AD871" i="1" s="1"/>
  <c r="Z871" i="1" a="1"/>
  <c r="Z871" i="1" s="1"/>
  <c r="Y872" i="1"/>
  <c r="AA872" i="1" s="1" a="1"/>
  <c r="AA872" i="1" s="1"/>
  <c r="Z872" i="1" a="1"/>
  <c r="Z872" i="1" s="1"/>
  <c r="Y873" i="1"/>
  <c r="AC873" i="1" s="1" a="1"/>
  <c r="AC873" i="1" s="1"/>
  <c r="Z873" i="1" a="1"/>
  <c r="Z873" i="1"/>
  <c r="AD873" i="1"/>
  <c r="Y874" i="1"/>
  <c r="AA874" i="1" s="1" a="1"/>
  <c r="AA874" i="1" s="1"/>
  <c r="Z874" i="1" a="1"/>
  <c r="Z874" i="1" s="1"/>
  <c r="AC874" i="1" a="1"/>
  <c r="AC874" i="1" s="1"/>
  <c r="Y875" i="1"/>
  <c r="AA875" i="1" s="1" a="1"/>
  <c r="AA875" i="1" s="1"/>
  <c r="Z875" i="1" a="1"/>
  <c r="Z875" i="1" s="1"/>
  <c r="Y876" i="1"/>
  <c r="AC876" i="1" s="1" a="1"/>
  <c r="AC876" i="1" s="1"/>
  <c r="Z876" i="1" a="1"/>
  <c r="Z876" i="1"/>
  <c r="AD876" i="1"/>
  <c r="Y877" i="1"/>
  <c r="AA877" i="1" s="1" a="1"/>
  <c r="AA877" i="1" s="1"/>
  <c r="Z877" i="1" a="1"/>
  <c r="Z877" i="1" s="1"/>
  <c r="Y878" i="1"/>
  <c r="Z878" i="1" a="1"/>
  <c r="Z878" i="1" s="1"/>
  <c r="Y879" i="1"/>
  <c r="AA879" i="1" s="1" a="1"/>
  <c r="AA879" i="1" s="1"/>
  <c r="Z879" i="1" a="1"/>
  <c r="Z879" i="1" s="1"/>
  <c r="Y880" i="1"/>
  <c r="AB880" i="1" s="1" a="1"/>
  <c r="AB880" i="1" s="1"/>
  <c r="Z880" i="1" a="1"/>
  <c r="Z880" i="1" s="1"/>
  <c r="AA880" i="1" a="1"/>
  <c r="AA880" i="1" s="1"/>
  <c r="Y881" i="1"/>
  <c r="AB881" i="1" s="1" a="1"/>
  <c r="AB881" i="1" s="1"/>
  <c r="Z881" i="1" a="1"/>
  <c r="Z881" i="1" s="1"/>
  <c r="AA881" i="1" a="1"/>
  <c r="AA881" i="1" s="1"/>
  <c r="Y882" i="1"/>
  <c r="AB882" i="1" s="1" a="1"/>
  <c r="AB882" i="1" s="1"/>
  <c r="Z882" i="1" a="1"/>
  <c r="Z882" i="1"/>
  <c r="AC882" i="1" a="1"/>
  <c r="AC882" i="1" s="1"/>
  <c r="AD882" i="1"/>
  <c r="Y883" i="1"/>
  <c r="Z883" i="1" a="1"/>
  <c r="Z883" i="1" s="1"/>
  <c r="Y884" i="1"/>
  <c r="Z884" i="1" a="1"/>
  <c r="Z884" i="1" s="1"/>
  <c r="Y885" i="1"/>
  <c r="Z885" i="1" a="1"/>
  <c r="Z885" i="1" s="1"/>
  <c r="Y886" i="1"/>
  <c r="AA886" i="1" s="1" a="1"/>
  <c r="AA886" i="1" s="1"/>
  <c r="Z886" i="1" a="1"/>
  <c r="Z886" i="1" s="1"/>
  <c r="Y887" i="1"/>
  <c r="AB887" i="1" s="1" a="1"/>
  <c r="AB887" i="1" s="1"/>
  <c r="Z887" i="1" a="1"/>
  <c r="Z887" i="1" s="1"/>
  <c r="Y888" i="1"/>
  <c r="AC888" i="1" s="1" a="1"/>
  <c r="AC888" i="1" s="1"/>
  <c r="Z888" i="1" a="1"/>
  <c r="Z888" i="1" s="1"/>
  <c r="Y889" i="1"/>
  <c r="AA889" i="1" s="1" a="1"/>
  <c r="AA889" i="1" s="1"/>
  <c r="Z889" i="1" a="1"/>
  <c r="Z889" i="1" s="1"/>
  <c r="Y890" i="1"/>
  <c r="AA890" i="1" s="1" a="1"/>
  <c r="AA890" i="1" s="1"/>
  <c r="Z890" i="1" a="1"/>
  <c r="Z890" i="1" s="1"/>
  <c r="Y891" i="1"/>
  <c r="Z891" i="1" a="1"/>
  <c r="Z891" i="1" s="1"/>
  <c r="Y892" i="1"/>
  <c r="AA892" i="1" s="1" a="1"/>
  <c r="AA892" i="1" s="1"/>
  <c r="Z892" i="1" a="1"/>
  <c r="Z892" i="1" s="1"/>
  <c r="Y893" i="1"/>
  <c r="AA893" i="1" s="1" a="1"/>
  <c r="AA893" i="1" s="1"/>
  <c r="Z893" i="1" a="1"/>
  <c r="Z893" i="1" s="1"/>
  <c r="Y894" i="1"/>
  <c r="AC894" i="1" s="1" a="1"/>
  <c r="AC894" i="1" s="1"/>
  <c r="Z894" i="1" a="1"/>
  <c r="Z894" i="1" s="1"/>
  <c r="Y895" i="1"/>
  <c r="AA895" i="1" s="1" a="1"/>
  <c r="AA895" i="1" s="1"/>
  <c r="Z895" i="1" a="1"/>
  <c r="Z895" i="1" s="1"/>
  <c r="AB895" i="1" a="1"/>
  <c r="AB895" i="1" s="1"/>
  <c r="Y896" i="1"/>
  <c r="AB896" i="1" s="1" a="1"/>
  <c r="AB896" i="1" s="1"/>
  <c r="Z896" i="1" a="1"/>
  <c r="Z896" i="1" s="1"/>
  <c r="Y897" i="1"/>
  <c r="AD897" i="1" s="1"/>
  <c r="Z897" i="1" a="1"/>
  <c r="Z897" i="1" s="1"/>
  <c r="Y898" i="1"/>
  <c r="AB898" i="1" s="1" a="1"/>
  <c r="AB898" i="1" s="1"/>
  <c r="Z898" i="1" a="1"/>
  <c r="Z898" i="1" s="1"/>
  <c r="Y899" i="1"/>
  <c r="AA899" i="1" s="1" a="1"/>
  <c r="AA899" i="1" s="1"/>
  <c r="Z899" i="1" a="1"/>
  <c r="Z899" i="1" s="1"/>
  <c r="Y900" i="1"/>
  <c r="AB900" i="1" s="1" a="1"/>
  <c r="AB900" i="1" s="1"/>
  <c r="Z900" i="1" a="1"/>
  <c r="Z900" i="1"/>
  <c r="AD900" i="1"/>
  <c r="Y901" i="1"/>
  <c r="AC901" i="1" s="1" a="1"/>
  <c r="AC901" i="1" s="1"/>
  <c r="Z901" i="1" a="1"/>
  <c r="Z901" i="1" s="1"/>
  <c r="AA901" i="1" a="1"/>
  <c r="AA901" i="1" s="1"/>
  <c r="Y902" i="1"/>
  <c r="AC902" i="1" s="1" a="1"/>
  <c r="AC902" i="1" s="1"/>
  <c r="Z902" i="1" a="1"/>
  <c r="Z902" i="1" s="1"/>
  <c r="Y903" i="1"/>
  <c r="AD903" i="1" s="1"/>
  <c r="Z903" i="1" a="1"/>
  <c r="Z903" i="1" s="1"/>
  <c r="Y904" i="1"/>
  <c r="AA904" i="1" s="1" a="1"/>
  <c r="AA904" i="1" s="1"/>
  <c r="Z904" i="1" a="1"/>
  <c r="Z904" i="1" s="1"/>
  <c r="Y905" i="1"/>
  <c r="AB905" i="1" s="1" a="1"/>
  <c r="AB905" i="1" s="1"/>
  <c r="Z905" i="1" a="1"/>
  <c r="Z905" i="1" s="1"/>
  <c r="Y906" i="1"/>
  <c r="AC906" i="1" s="1" a="1"/>
  <c r="AC906" i="1" s="1"/>
  <c r="Z906" i="1" a="1"/>
  <c r="Z906" i="1" s="1"/>
  <c r="AA906" i="1" a="1"/>
  <c r="AA906" i="1" s="1"/>
  <c r="AB906" i="1" a="1"/>
  <c r="AB906" i="1" s="1"/>
  <c r="AD906" i="1"/>
  <c r="Y907" i="1"/>
  <c r="Z907" i="1" a="1"/>
  <c r="Z907" i="1" s="1"/>
  <c r="Y908" i="1"/>
  <c r="AD908" i="1" s="1"/>
  <c r="Z908" i="1" a="1"/>
  <c r="Z908" i="1" s="1"/>
  <c r="Y909" i="1"/>
  <c r="Z909" i="1" a="1"/>
  <c r="Z909" i="1" s="1"/>
  <c r="Y910" i="1"/>
  <c r="Z910" i="1" a="1"/>
  <c r="Z910" i="1" s="1"/>
  <c r="AA910" i="1" a="1"/>
  <c r="AA910" i="1" s="1"/>
  <c r="AD910" i="1"/>
  <c r="Y911" i="1"/>
  <c r="AA911" i="1" s="1" a="1"/>
  <c r="AA911" i="1" s="1"/>
  <c r="Z911" i="1" a="1"/>
  <c r="Z911" i="1" s="1"/>
  <c r="Y912" i="1"/>
  <c r="Z912" i="1" a="1"/>
  <c r="Z912" i="1"/>
  <c r="AC912" i="1" a="1"/>
  <c r="AC912" i="1" s="1"/>
  <c r="Y913" i="1"/>
  <c r="AB913" i="1" s="1" a="1"/>
  <c r="AB913" i="1" s="1"/>
  <c r="Z913" i="1" a="1"/>
  <c r="Z913" i="1" s="1"/>
  <c r="Y914" i="1"/>
  <c r="AB914" i="1" s="1" a="1"/>
  <c r="AB914" i="1" s="1"/>
  <c r="Z914" i="1" a="1"/>
  <c r="Z914" i="1" s="1"/>
  <c r="Y915" i="1"/>
  <c r="AA915" i="1" s="1" a="1"/>
  <c r="AA915" i="1" s="1"/>
  <c r="Z915" i="1" a="1"/>
  <c r="Z915" i="1" s="1"/>
  <c r="Y916" i="1"/>
  <c r="AB916" i="1" s="1" a="1"/>
  <c r="AB916" i="1" s="1"/>
  <c r="Z916" i="1" a="1"/>
  <c r="Z916" i="1" s="1"/>
  <c r="Y917" i="1"/>
  <c r="AA917" i="1" s="1" a="1"/>
  <c r="AA917" i="1" s="1"/>
  <c r="Z917" i="1" a="1"/>
  <c r="Z917" i="1" s="1"/>
  <c r="Y918" i="1"/>
  <c r="Z918" i="1" a="1"/>
  <c r="Z918" i="1" s="1"/>
  <c r="Y919" i="1"/>
  <c r="AD919" i="1" s="1"/>
  <c r="Z919" i="1" a="1"/>
  <c r="Z919" i="1" s="1"/>
  <c r="AA919" i="1" a="1"/>
  <c r="AA919" i="1" s="1"/>
  <c r="AB919" i="1" a="1"/>
  <c r="AB919" i="1" s="1"/>
  <c r="AC919" i="1" a="1"/>
  <c r="AC919" i="1" s="1"/>
  <c r="Y920" i="1"/>
  <c r="AC920" i="1" s="1" a="1"/>
  <c r="AC920" i="1" s="1"/>
  <c r="Z920" i="1" a="1"/>
  <c r="Z920" i="1" s="1"/>
  <c r="AA920" i="1" a="1"/>
  <c r="AA920" i="1" s="1"/>
  <c r="AB920" i="1" a="1"/>
  <c r="AB920" i="1"/>
  <c r="Y921" i="1"/>
  <c r="AA921" i="1" s="1" a="1"/>
  <c r="AA921" i="1" s="1"/>
  <c r="Z921" i="1" a="1"/>
  <c r="Z921" i="1" s="1"/>
  <c r="AC921" i="1" a="1"/>
  <c r="AC921" i="1" s="1"/>
  <c r="Y922" i="1"/>
  <c r="AA922" i="1" s="1" a="1"/>
  <c r="AA922" i="1" s="1"/>
  <c r="Z922" i="1" a="1"/>
  <c r="Z922" i="1" s="1"/>
  <c r="Y923" i="1"/>
  <c r="AB923" i="1" s="1" a="1"/>
  <c r="AB923" i="1" s="1"/>
  <c r="Z923" i="1" a="1"/>
  <c r="Z923" i="1"/>
  <c r="AA923" i="1" a="1"/>
  <c r="AA923" i="1" s="1"/>
  <c r="Y924" i="1"/>
  <c r="AB924" i="1" s="1" a="1"/>
  <c r="AB924" i="1" s="1"/>
  <c r="Z924" i="1" a="1"/>
  <c r="Z924" i="1" s="1"/>
  <c r="AC924" i="1" a="1"/>
  <c r="AC924" i="1" s="1"/>
  <c r="AD924" i="1"/>
  <c r="Y925" i="1"/>
  <c r="AA925" i="1" s="1" a="1"/>
  <c r="AA925" i="1" s="1"/>
  <c r="Z925" i="1" a="1"/>
  <c r="Z925" i="1" s="1"/>
  <c r="Y926" i="1"/>
  <c r="AA926" i="1" s="1" a="1"/>
  <c r="AA926" i="1" s="1"/>
  <c r="Z926" i="1" a="1"/>
  <c r="Z926" i="1" s="1"/>
  <c r="Y927" i="1"/>
  <c r="AC927" i="1" s="1" a="1"/>
  <c r="AC927" i="1" s="1"/>
  <c r="Z927" i="1" a="1"/>
  <c r="Z927" i="1"/>
  <c r="AA927" i="1" a="1"/>
  <c r="AA927" i="1" s="1"/>
  <c r="Y928" i="1"/>
  <c r="AA928" i="1" s="1" a="1"/>
  <c r="AA928" i="1" s="1"/>
  <c r="Z928" i="1" a="1"/>
  <c r="Z928" i="1" s="1"/>
  <c r="Y929" i="1"/>
  <c r="AA929" i="1" s="1" a="1"/>
  <c r="AA929" i="1" s="1"/>
  <c r="Z929" i="1" a="1"/>
  <c r="Z929" i="1" s="1"/>
  <c r="Y930" i="1"/>
  <c r="AB930" i="1" s="1" a="1"/>
  <c r="AB930" i="1" s="1"/>
  <c r="Z930" i="1" a="1"/>
  <c r="Z930" i="1" s="1"/>
  <c r="Y931" i="1"/>
  <c r="AC931" i="1" s="1" a="1"/>
  <c r="AC931" i="1" s="1"/>
  <c r="Z931" i="1" a="1"/>
  <c r="Z931" i="1" s="1"/>
  <c r="Y932" i="1"/>
  <c r="AA932" i="1" s="1" a="1"/>
  <c r="AA932" i="1" s="1"/>
  <c r="Z932" i="1" a="1"/>
  <c r="Z932" i="1" s="1"/>
  <c r="Y933" i="1"/>
  <c r="AA933" i="1" s="1" a="1"/>
  <c r="AA933" i="1" s="1"/>
  <c r="Z933" i="1" a="1"/>
  <c r="Z933" i="1" s="1"/>
  <c r="Y934" i="1"/>
  <c r="Z934" i="1" a="1"/>
  <c r="Z934" i="1"/>
  <c r="Y935" i="1"/>
  <c r="Z935" i="1" a="1"/>
  <c r="Z935" i="1" s="1"/>
  <c r="Y936" i="1"/>
  <c r="AC936" i="1" s="1" a="1"/>
  <c r="AC936" i="1" s="1"/>
  <c r="Z936" i="1" a="1"/>
  <c r="Z936" i="1"/>
  <c r="Y937" i="1"/>
  <c r="AB937" i="1" s="1" a="1"/>
  <c r="AB937" i="1" s="1"/>
  <c r="Z937" i="1" a="1"/>
  <c r="Z937" i="1" s="1"/>
  <c r="Y938" i="1"/>
  <c r="AC938" i="1" s="1" a="1"/>
  <c r="AC938" i="1" s="1"/>
  <c r="Z938" i="1" a="1"/>
  <c r="Z938" i="1" s="1"/>
  <c r="Y939" i="1"/>
  <c r="AC939" i="1" s="1" a="1"/>
  <c r="AC939" i="1" s="1"/>
  <c r="Z939" i="1" a="1"/>
  <c r="Z939" i="1" s="1"/>
  <c r="AA939" i="1" a="1"/>
  <c r="AA939" i="1" s="1"/>
  <c r="Y940" i="1"/>
  <c r="AA940" i="1" s="1" a="1"/>
  <c r="AA940" i="1" s="1"/>
  <c r="Z940" i="1" a="1"/>
  <c r="Z940" i="1" s="1"/>
  <c r="Y941" i="1"/>
  <c r="Z941" i="1" a="1"/>
  <c r="Z941" i="1"/>
  <c r="Y942" i="1"/>
  <c r="AB942" i="1" s="1" a="1"/>
  <c r="AB942" i="1" s="1"/>
  <c r="Z942" i="1" a="1"/>
  <c r="Z942" i="1" s="1"/>
  <c r="Y943" i="1"/>
  <c r="AC943" i="1" s="1" a="1"/>
  <c r="AC943" i="1" s="1"/>
  <c r="Z943" i="1" a="1"/>
  <c r="Z943" i="1" s="1"/>
  <c r="Y944" i="1"/>
  <c r="AA944" i="1" s="1" a="1"/>
  <c r="AA944" i="1" s="1"/>
  <c r="Z944" i="1" a="1"/>
  <c r="Z944" i="1" s="1"/>
  <c r="O940" i="1"/>
  <c r="P940" i="1"/>
  <c r="T940" i="1"/>
  <c r="V940" i="1"/>
  <c r="O941" i="1"/>
  <c r="P941" i="1"/>
  <c r="T941" i="1"/>
  <c r="V941" i="1"/>
  <c r="O942" i="1"/>
  <c r="P942" i="1"/>
  <c r="T942" i="1"/>
  <c r="V942" i="1"/>
  <c r="O943" i="1"/>
  <c r="P943" i="1"/>
  <c r="T943" i="1"/>
  <c r="V943" i="1"/>
  <c r="O944" i="1"/>
  <c r="P944" i="1"/>
  <c r="T944" i="1"/>
  <c r="V944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O805" i="1"/>
  <c r="P805" i="1"/>
  <c r="T805" i="1"/>
  <c r="V805" i="1"/>
  <c r="O806" i="1"/>
  <c r="P806" i="1"/>
  <c r="T806" i="1"/>
  <c r="V806" i="1"/>
  <c r="O807" i="1"/>
  <c r="P807" i="1"/>
  <c r="T807" i="1"/>
  <c r="V807" i="1"/>
  <c r="O808" i="1"/>
  <c r="P808" i="1"/>
  <c r="T808" i="1"/>
  <c r="V808" i="1"/>
  <c r="O809" i="1"/>
  <c r="P809" i="1"/>
  <c r="T809" i="1"/>
  <c r="V809" i="1"/>
  <c r="O810" i="1"/>
  <c r="P810" i="1"/>
  <c r="T810" i="1"/>
  <c r="V810" i="1"/>
  <c r="O811" i="1"/>
  <c r="P811" i="1"/>
  <c r="T811" i="1"/>
  <c r="V811" i="1"/>
  <c r="O812" i="1"/>
  <c r="P812" i="1"/>
  <c r="T812" i="1"/>
  <c r="V812" i="1"/>
  <c r="O813" i="1"/>
  <c r="P813" i="1"/>
  <c r="T813" i="1"/>
  <c r="V813" i="1"/>
  <c r="O814" i="1"/>
  <c r="P814" i="1"/>
  <c r="T814" i="1"/>
  <c r="V814" i="1"/>
  <c r="O815" i="1"/>
  <c r="P815" i="1"/>
  <c r="T815" i="1"/>
  <c r="V815" i="1"/>
  <c r="O816" i="1"/>
  <c r="P816" i="1"/>
  <c r="T816" i="1"/>
  <c r="V816" i="1"/>
  <c r="O817" i="1"/>
  <c r="P817" i="1"/>
  <c r="T817" i="1"/>
  <c r="V817" i="1"/>
  <c r="O818" i="1"/>
  <c r="P818" i="1"/>
  <c r="T818" i="1"/>
  <c r="V818" i="1"/>
  <c r="O819" i="1"/>
  <c r="P819" i="1"/>
  <c r="T819" i="1"/>
  <c r="V819" i="1"/>
  <c r="O820" i="1"/>
  <c r="P820" i="1"/>
  <c r="T820" i="1"/>
  <c r="V820" i="1"/>
  <c r="O821" i="1"/>
  <c r="P821" i="1"/>
  <c r="T821" i="1"/>
  <c r="V821" i="1"/>
  <c r="O822" i="1"/>
  <c r="P822" i="1"/>
  <c r="T822" i="1"/>
  <c r="V822" i="1"/>
  <c r="O823" i="1"/>
  <c r="P823" i="1"/>
  <c r="T823" i="1"/>
  <c r="V823" i="1"/>
  <c r="O824" i="1"/>
  <c r="P824" i="1"/>
  <c r="T824" i="1"/>
  <c r="V824" i="1"/>
  <c r="O825" i="1"/>
  <c r="P825" i="1"/>
  <c r="T825" i="1"/>
  <c r="V825" i="1"/>
  <c r="O826" i="1"/>
  <c r="P826" i="1"/>
  <c r="T826" i="1"/>
  <c r="V826" i="1"/>
  <c r="O827" i="1"/>
  <c r="P827" i="1"/>
  <c r="T827" i="1"/>
  <c r="V827" i="1"/>
  <c r="O828" i="1"/>
  <c r="P828" i="1"/>
  <c r="T828" i="1"/>
  <c r="V828" i="1"/>
  <c r="O829" i="1"/>
  <c r="P829" i="1"/>
  <c r="T829" i="1"/>
  <c r="V829" i="1"/>
  <c r="O830" i="1"/>
  <c r="P830" i="1"/>
  <c r="T830" i="1"/>
  <c r="V830" i="1"/>
  <c r="O831" i="1"/>
  <c r="P831" i="1"/>
  <c r="T831" i="1"/>
  <c r="V831" i="1"/>
  <c r="O832" i="1"/>
  <c r="P832" i="1"/>
  <c r="T832" i="1"/>
  <c r="V832" i="1"/>
  <c r="O833" i="1"/>
  <c r="P833" i="1"/>
  <c r="T833" i="1"/>
  <c r="V833" i="1"/>
  <c r="O834" i="1"/>
  <c r="P834" i="1"/>
  <c r="T834" i="1"/>
  <c r="V834" i="1"/>
  <c r="O835" i="1"/>
  <c r="P835" i="1"/>
  <c r="T835" i="1"/>
  <c r="V835" i="1"/>
  <c r="O836" i="1"/>
  <c r="P836" i="1"/>
  <c r="T836" i="1"/>
  <c r="V836" i="1"/>
  <c r="O837" i="1"/>
  <c r="P837" i="1"/>
  <c r="T837" i="1"/>
  <c r="V837" i="1"/>
  <c r="O838" i="1"/>
  <c r="P838" i="1"/>
  <c r="T838" i="1"/>
  <c r="V838" i="1"/>
  <c r="O839" i="1"/>
  <c r="P839" i="1"/>
  <c r="T839" i="1"/>
  <c r="V839" i="1"/>
  <c r="O840" i="1"/>
  <c r="P840" i="1"/>
  <c r="T840" i="1"/>
  <c r="V840" i="1"/>
  <c r="O841" i="1"/>
  <c r="P841" i="1"/>
  <c r="T841" i="1"/>
  <c r="V841" i="1"/>
  <c r="O842" i="1"/>
  <c r="P842" i="1"/>
  <c r="T842" i="1"/>
  <c r="V842" i="1"/>
  <c r="O843" i="1"/>
  <c r="P843" i="1"/>
  <c r="T843" i="1"/>
  <c r="V843" i="1"/>
  <c r="O844" i="1"/>
  <c r="P844" i="1"/>
  <c r="T844" i="1"/>
  <c r="V844" i="1"/>
  <c r="O845" i="1"/>
  <c r="P845" i="1"/>
  <c r="T845" i="1"/>
  <c r="V845" i="1"/>
  <c r="O846" i="1"/>
  <c r="P846" i="1"/>
  <c r="T846" i="1"/>
  <c r="V846" i="1"/>
  <c r="O847" i="1"/>
  <c r="P847" i="1"/>
  <c r="T847" i="1"/>
  <c r="V847" i="1"/>
  <c r="O848" i="1"/>
  <c r="P848" i="1"/>
  <c r="T848" i="1"/>
  <c r="V848" i="1"/>
  <c r="O849" i="1"/>
  <c r="P849" i="1"/>
  <c r="T849" i="1"/>
  <c r="V849" i="1"/>
  <c r="O850" i="1"/>
  <c r="P850" i="1"/>
  <c r="T850" i="1"/>
  <c r="V850" i="1"/>
  <c r="O851" i="1"/>
  <c r="P851" i="1"/>
  <c r="T851" i="1"/>
  <c r="V851" i="1"/>
  <c r="O852" i="1"/>
  <c r="P852" i="1"/>
  <c r="T852" i="1"/>
  <c r="V852" i="1"/>
  <c r="O853" i="1"/>
  <c r="P853" i="1"/>
  <c r="T853" i="1"/>
  <c r="V853" i="1"/>
  <c r="O854" i="1"/>
  <c r="P854" i="1"/>
  <c r="T854" i="1"/>
  <c r="V854" i="1"/>
  <c r="O855" i="1"/>
  <c r="P855" i="1"/>
  <c r="T855" i="1"/>
  <c r="V855" i="1"/>
  <c r="O856" i="1"/>
  <c r="P856" i="1"/>
  <c r="T856" i="1"/>
  <c r="V856" i="1"/>
  <c r="O857" i="1"/>
  <c r="P857" i="1"/>
  <c r="T857" i="1"/>
  <c r="V857" i="1"/>
  <c r="O858" i="1"/>
  <c r="P858" i="1"/>
  <c r="T858" i="1"/>
  <c r="V858" i="1"/>
  <c r="O859" i="1"/>
  <c r="P859" i="1"/>
  <c r="T859" i="1"/>
  <c r="V859" i="1"/>
  <c r="O860" i="1"/>
  <c r="P860" i="1"/>
  <c r="T860" i="1"/>
  <c r="V860" i="1"/>
  <c r="O861" i="1"/>
  <c r="P861" i="1"/>
  <c r="T861" i="1"/>
  <c r="V861" i="1"/>
  <c r="O862" i="1"/>
  <c r="P862" i="1"/>
  <c r="T862" i="1"/>
  <c r="V862" i="1"/>
  <c r="O863" i="1"/>
  <c r="P863" i="1"/>
  <c r="T863" i="1"/>
  <c r="V863" i="1"/>
  <c r="O864" i="1"/>
  <c r="P864" i="1"/>
  <c r="T864" i="1"/>
  <c r="V864" i="1"/>
  <c r="O865" i="1"/>
  <c r="P865" i="1"/>
  <c r="T865" i="1"/>
  <c r="V865" i="1"/>
  <c r="O866" i="1"/>
  <c r="P866" i="1"/>
  <c r="T866" i="1"/>
  <c r="V866" i="1"/>
  <c r="O867" i="1"/>
  <c r="P867" i="1"/>
  <c r="T867" i="1"/>
  <c r="V867" i="1"/>
  <c r="O868" i="1"/>
  <c r="P868" i="1"/>
  <c r="T868" i="1"/>
  <c r="V868" i="1"/>
  <c r="O869" i="1"/>
  <c r="P869" i="1"/>
  <c r="T869" i="1"/>
  <c r="V869" i="1"/>
  <c r="O870" i="1"/>
  <c r="P870" i="1"/>
  <c r="T870" i="1"/>
  <c r="V870" i="1"/>
  <c r="O804" i="1"/>
  <c r="P804" i="1"/>
  <c r="T804" i="1"/>
  <c r="V804" i="1"/>
  <c r="O803" i="1"/>
  <c r="P803" i="1"/>
  <c r="T803" i="1"/>
  <c r="V803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O602" i="1"/>
  <c r="P602" i="1"/>
  <c r="T602" i="1"/>
  <c r="V602" i="1"/>
  <c r="O603" i="1"/>
  <c r="P603" i="1"/>
  <c r="T603" i="1"/>
  <c r="V603" i="1"/>
  <c r="O604" i="1"/>
  <c r="P604" i="1"/>
  <c r="T604" i="1"/>
  <c r="V604" i="1"/>
  <c r="O605" i="1"/>
  <c r="P605" i="1"/>
  <c r="T605" i="1"/>
  <c r="V605" i="1"/>
  <c r="O606" i="1"/>
  <c r="P606" i="1"/>
  <c r="T606" i="1"/>
  <c r="V606" i="1"/>
  <c r="O607" i="1"/>
  <c r="P607" i="1"/>
  <c r="T607" i="1"/>
  <c r="V607" i="1"/>
  <c r="O608" i="1"/>
  <c r="P608" i="1"/>
  <c r="T608" i="1"/>
  <c r="V608" i="1"/>
  <c r="O609" i="1"/>
  <c r="P609" i="1"/>
  <c r="T609" i="1"/>
  <c r="V609" i="1"/>
  <c r="O610" i="1"/>
  <c r="P610" i="1"/>
  <c r="T610" i="1"/>
  <c r="V610" i="1"/>
  <c r="O611" i="1"/>
  <c r="P611" i="1"/>
  <c r="T611" i="1"/>
  <c r="V611" i="1"/>
  <c r="O612" i="1"/>
  <c r="P612" i="1"/>
  <c r="T612" i="1"/>
  <c r="V612" i="1"/>
  <c r="O613" i="1"/>
  <c r="P613" i="1"/>
  <c r="T613" i="1"/>
  <c r="V613" i="1"/>
  <c r="O614" i="1"/>
  <c r="P614" i="1"/>
  <c r="T614" i="1"/>
  <c r="V614" i="1"/>
  <c r="O615" i="1"/>
  <c r="P615" i="1"/>
  <c r="T615" i="1"/>
  <c r="V615" i="1"/>
  <c r="O616" i="1"/>
  <c r="P616" i="1"/>
  <c r="T616" i="1"/>
  <c r="V616" i="1"/>
  <c r="O617" i="1"/>
  <c r="P617" i="1"/>
  <c r="T617" i="1"/>
  <c r="V617" i="1"/>
  <c r="O618" i="1"/>
  <c r="P618" i="1"/>
  <c r="T618" i="1"/>
  <c r="V618" i="1"/>
  <c r="O619" i="1"/>
  <c r="P619" i="1"/>
  <c r="T619" i="1"/>
  <c r="V619" i="1"/>
  <c r="O620" i="1"/>
  <c r="P620" i="1"/>
  <c r="T620" i="1"/>
  <c r="V620" i="1"/>
  <c r="O621" i="1"/>
  <c r="P621" i="1"/>
  <c r="T621" i="1"/>
  <c r="V621" i="1"/>
  <c r="O622" i="1"/>
  <c r="P622" i="1"/>
  <c r="T622" i="1"/>
  <c r="V622" i="1"/>
  <c r="O623" i="1"/>
  <c r="P623" i="1"/>
  <c r="T623" i="1"/>
  <c r="V623" i="1"/>
  <c r="O624" i="1"/>
  <c r="P624" i="1"/>
  <c r="T624" i="1"/>
  <c r="V624" i="1"/>
  <c r="O625" i="1"/>
  <c r="P625" i="1"/>
  <c r="T625" i="1"/>
  <c r="V625" i="1"/>
  <c r="O626" i="1"/>
  <c r="P626" i="1"/>
  <c r="T626" i="1"/>
  <c r="V626" i="1"/>
  <c r="O627" i="1"/>
  <c r="P627" i="1"/>
  <c r="T627" i="1"/>
  <c r="V627" i="1"/>
  <c r="O628" i="1"/>
  <c r="P628" i="1"/>
  <c r="T628" i="1"/>
  <c r="V628" i="1"/>
  <c r="O629" i="1"/>
  <c r="P629" i="1"/>
  <c r="T629" i="1"/>
  <c r="V629" i="1"/>
  <c r="O630" i="1"/>
  <c r="P630" i="1"/>
  <c r="T630" i="1"/>
  <c r="V630" i="1"/>
  <c r="O631" i="1"/>
  <c r="P631" i="1"/>
  <c r="T631" i="1"/>
  <c r="V631" i="1"/>
  <c r="O632" i="1"/>
  <c r="P632" i="1"/>
  <c r="T632" i="1"/>
  <c r="V632" i="1"/>
  <c r="O633" i="1"/>
  <c r="P633" i="1"/>
  <c r="T633" i="1"/>
  <c r="V633" i="1"/>
  <c r="O634" i="1"/>
  <c r="P634" i="1"/>
  <c r="T634" i="1"/>
  <c r="V634" i="1"/>
  <c r="O635" i="1"/>
  <c r="P635" i="1"/>
  <c r="T635" i="1"/>
  <c r="V635" i="1"/>
  <c r="O636" i="1"/>
  <c r="P636" i="1"/>
  <c r="T636" i="1"/>
  <c r="V636" i="1"/>
  <c r="O637" i="1"/>
  <c r="P637" i="1"/>
  <c r="T637" i="1"/>
  <c r="V637" i="1"/>
  <c r="O638" i="1"/>
  <c r="P638" i="1"/>
  <c r="T638" i="1"/>
  <c r="V638" i="1"/>
  <c r="O639" i="1"/>
  <c r="P639" i="1"/>
  <c r="T639" i="1"/>
  <c r="V639" i="1"/>
  <c r="O640" i="1"/>
  <c r="P640" i="1"/>
  <c r="T640" i="1"/>
  <c r="V640" i="1"/>
  <c r="O641" i="1"/>
  <c r="P641" i="1"/>
  <c r="T641" i="1"/>
  <c r="V641" i="1"/>
  <c r="O642" i="1"/>
  <c r="P642" i="1"/>
  <c r="T642" i="1"/>
  <c r="V642" i="1"/>
  <c r="O643" i="1"/>
  <c r="P643" i="1"/>
  <c r="T643" i="1"/>
  <c r="V643" i="1"/>
  <c r="O644" i="1"/>
  <c r="P644" i="1"/>
  <c r="T644" i="1"/>
  <c r="V644" i="1"/>
  <c r="O645" i="1"/>
  <c r="P645" i="1"/>
  <c r="T645" i="1"/>
  <c r="V645" i="1"/>
  <c r="O646" i="1"/>
  <c r="P646" i="1"/>
  <c r="T646" i="1"/>
  <c r="V646" i="1"/>
  <c r="O647" i="1"/>
  <c r="P647" i="1"/>
  <c r="T647" i="1"/>
  <c r="V647" i="1"/>
  <c r="O648" i="1"/>
  <c r="P648" i="1"/>
  <c r="T648" i="1"/>
  <c r="V648" i="1"/>
  <c r="O649" i="1"/>
  <c r="P649" i="1"/>
  <c r="T649" i="1"/>
  <c r="V649" i="1"/>
  <c r="O650" i="1"/>
  <c r="P650" i="1"/>
  <c r="T650" i="1"/>
  <c r="V650" i="1"/>
  <c r="O651" i="1"/>
  <c r="P651" i="1"/>
  <c r="T651" i="1"/>
  <c r="V651" i="1"/>
  <c r="O652" i="1"/>
  <c r="P652" i="1"/>
  <c r="T652" i="1"/>
  <c r="V652" i="1"/>
  <c r="O653" i="1"/>
  <c r="P653" i="1"/>
  <c r="T653" i="1"/>
  <c r="V653" i="1"/>
  <c r="O654" i="1"/>
  <c r="P654" i="1"/>
  <c r="T654" i="1"/>
  <c r="V654" i="1"/>
  <c r="O655" i="1"/>
  <c r="P655" i="1"/>
  <c r="T655" i="1"/>
  <c r="V655" i="1"/>
  <c r="O656" i="1"/>
  <c r="P656" i="1"/>
  <c r="T656" i="1"/>
  <c r="V656" i="1"/>
  <c r="O657" i="1"/>
  <c r="P657" i="1"/>
  <c r="T657" i="1"/>
  <c r="V657" i="1"/>
  <c r="O658" i="1"/>
  <c r="P658" i="1"/>
  <c r="T658" i="1"/>
  <c r="V658" i="1"/>
  <c r="O659" i="1"/>
  <c r="P659" i="1"/>
  <c r="T659" i="1"/>
  <c r="V659" i="1"/>
  <c r="O660" i="1"/>
  <c r="P660" i="1"/>
  <c r="T660" i="1"/>
  <c r="V660" i="1"/>
  <c r="O661" i="1"/>
  <c r="P661" i="1"/>
  <c r="T661" i="1"/>
  <c r="V661" i="1"/>
  <c r="O662" i="1"/>
  <c r="P662" i="1"/>
  <c r="T662" i="1"/>
  <c r="V662" i="1"/>
  <c r="O663" i="1"/>
  <c r="P663" i="1"/>
  <c r="T663" i="1"/>
  <c r="V663" i="1"/>
  <c r="O664" i="1"/>
  <c r="P664" i="1"/>
  <c r="T664" i="1"/>
  <c r="V664" i="1"/>
  <c r="O665" i="1"/>
  <c r="P665" i="1"/>
  <c r="T665" i="1"/>
  <c r="V665" i="1"/>
  <c r="O666" i="1"/>
  <c r="P666" i="1"/>
  <c r="T666" i="1"/>
  <c r="V666" i="1"/>
  <c r="O667" i="1"/>
  <c r="P667" i="1"/>
  <c r="T667" i="1"/>
  <c r="V667" i="1"/>
  <c r="O668" i="1"/>
  <c r="P668" i="1"/>
  <c r="T668" i="1"/>
  <c r="V668" i="1"/>
  <c r="O669" i="1"/>
  <c r="P669" i="1"/>
  <c r="T669" i="1"/>
  <c r="V669" i="1"/>
  <c r="O670" i="1"/>
  <c r="P670" i="1"/>
  <c r="T670" i="1"/>
  <c r="V670" i="1"/>
  <c r="O671" i="1"/>
  <c r="P671" i="1"/>
  <c r="T671" i="1"/>
  <c r="V671" i="1"/>
  <c r="O672" i="1"/>
  <c r="P672" i="1"/>
  <c r="T672" i="1"/>
  <c r="V672" i="1"/>
  <c r="O673" i="1"/>
  <c r="P673" i="1"/>
  <c r="T673" i="1"/>
  <c r="V673" i="1"/>
  <c r="O674" i="1"/>
  <c r="P674" i="1"/>
  <c r="T674" i="1"/>
  <c r="V674" i="1"/>
  <c r="O675" i="1"/>
  <c r="P675" i="1"/>
  <c r="T675" i="1"/>
  <c r="V675" i="1"/>
  <c r="O676" i="1"/>
  <c r="P676" i="1"/>
  <c r="T676" i="1"/>
  <c r="V676" i="1"/>
  <c r="O677" i="1"/>
  <c r="P677" i="1"/>
  <c r="T677" i="1"/>
  <c r="V677" i="1"/>
  <c r="O678" i="1"/>
  <c r="P678" i="1"/>
  <c r="T678" i="1"/>
  <c r="V678" i="1"/>
  <c r="O679" i="1"/>
  <c r="P679" i="1"/>
  <c r="T679" i="1"/>
  <c r="V679" i="1"/>
  <c r="O680" i="1"/>
  <c r="P680" i="1"/>
  <c r="T680" i="1"/>
  <c r="V680" i="1"/>
  <c r="O681" i="1"/>
  <c r="P681" i="1"/>
  <c r="T681" i="1"/>
  <c r="V681" i="1"/>
  <c r="O682" i="1"/>
  <c r="P682" i="1"/>
  <c r="T682" i="1"/>
  <c r="V682" i="1"/>
  <c r="O683" i="1"/>
  <c r="P683" i="1"/>
  <c r="T683" i="1"/>
  <c r="V683" i="1"/>
  <c r="O684" i="1"/>
  <c r="P684" i="1"/>
  <c r="T684" i="1"/>
  <c r="V684" i="1"/>
  <c r="O685" i="1"/>
  <c r="P685" i="1"/>
  <c r="T685" i="1"/>
  <c r="V685" i="1"/>
  <c r="O686" i="1"/>
  <c r="P686" i="1"/>
  <c r="T686" i="1"/>
  <c r="V686" i="1"/>
  <c r="O687" i="1"/>
  <c r="P687" i="1"/>
  <c r="T687" i="1"/>
  <c r="V687" i="1"/>
  <c r="O688" i="1"/>
  <c r="P688" i="1"/>
  <c r="T688" i="1"/>
  <c r="V688" i="1"/>
  <c r="O689" i="1"/>
  <c r="P689" i="1"/>
  <c r="T689" i="1"/>
  <c r="V689" i="1"/>
  <c r="O690" i="1"/>
  <c r="P690" i="1"/>
  <c r="T690" i="1"/>
  <c r="V690" i="1"/>
  <c r="O691" i="1"/>
  <c r="P691" i="1"/>
  <c r="T691" i="1"/>
  <c r="V691" i="1"/>
  <c r="O692" i="1"/>
  <c r="P692" i="1"/>
  <c r="T692" i="1"/>
  <c r="V692" i="1"/>
  <c r="O693" i="1"/>
  <c r="P693" i="1"/>
  <c r="T693" i="1"/>
  <c r="V693" i="1"/>
  <c r="O694" i="1"/>
  <c r="P694" i="1"/>
  <c r="T694" i="1"/>
  <c r="V694" i="1"/>
  <c r="O695" i="1"/>
  <c r="P695" i="1"/>
  <c r="T695" i="1"/>
  <c r="V695" i="1"/>
  <c r="O696" i="1"/>
  <c r="P696" i="1"/>
  <c r="T696" i="1"/>
  <c r="V696" i="1"/>
  <c r="O697" i="1"/>
  <c r="P697" i="1"/>
  <c r="T697" i="1"/>
  <c r="V697" i="1"/>
  <c r="O698" i="1"/>
  <c r="P698" i="1"/>
  <c r="T698" i="1"/>
  <c r="V698" i="1"/>
  <c r="O699" i="1"/>
  <c r="P699" i="1"/>
  <c r="T699" i="1"/>
  <c r="V699" i="1"/>
  <c r="O700" i="1"/>
  <c r="P700" i="1"/>
  <c r="T700" i="1"/>
  <c r="V700" i="1"/>
  <c r="O701" i="1"/>
  <c r="P701" i="1"/>
  <c r="T701" i="1"/>
  <c r="V701" i="1"/>
  <c r="O702" i="1"/>
  <c r="P702" i="1"/>
  <c r="T702" i="1"/>
  <c r="V702" i="1"/>
  <c r="O703" i="1"/>
  <c r="P703" i="1"/>
  <c r="T703" i="1"/>
  <c r="V703" i="1"/>
  <c r="O704" i="1"/>
  <c r="P704" i="1"/>
  <c r="T704" i="1"/>
  <c r="V704" i="1"/>
  <c r="O705" i="1"/>
  <c r="P705" i="1"/>
  <c r="T705" i="1"/>
  <c r="V705" i="1"/>
  <c r="O706" i="1"/>
  <c r="P706" i="1"/>
  <c r="T706" i="1"/>
  <c r="V706" i="1"/>
  <c r="O707" i="1"/>
  <c r="P707" i="1"/>
  <c r="T707" i="1"/>
  <c r="V707" i="1"/>
  <c r="O708" i="1"/>
  <c r="P708" i="1"/>
  <c r="T708" i="1"/>
  <c r="V708" i="1"/>
  <c r="O709" i="1"/>
  <c r="P709" i="1"/>
  <c r="T709" i="1"/>
  <c r="V709" i="1"/>
  <c r="O710" i="1"/>
  <c r="P710" i="1"/>
  <c r="T710" i="1"/>
  <c r="V710" i="1"/>
  <c r="O711" i="1"/>
  <c r="P711" i="1"/>
  <c r="T711" i="1"/>
  <c r="V711" i="1"/>
  <c r="O712" i="1"/>
  <c r="P712" i="1"/>
  <c r="T712" i="1"/>
  <c r="V712" i="1"/>
  <c r="O713" i="1"/>
  <c r="P713" i="1"/>
  <c r="T713" i="1"/>
  <c r="V713" i="1"/>
  <c r="O714" i="1"/>
  <c r="P714" i="1"/>
  <c r="T714" i="1"/>
  <c r="V714" i="1"/>
  <c r="O715" i="1"/>
  <c r="P715" i="1"/>
  <c r="T715" i="1"/>
  <c r="V715" i="1"/>
  <c r="O716" i="1"/>
  <c r="P716" i="1"/>
  <c r="T716" i="1"/>
  <c r="V716" i="1"/>
  <c r="O717" i="1"/>
  <c r="P717" i="1"/>
  <c r="T717" i="1"/>
  <c r="V717" i="1"/>
  <c r="O718" i="1"/>
  <c r="P718" i="1"/>
  <c r="T718" i="1"/>
  <c r="V718" i="1"/>
  <c r="O719" i="1"/>
  <c r="P719" i="1"/>
  <c r="T719" i="1"/>
  <c r="V719" i="1"/>
  <c r="O720" i="1"/>
  <c r="P720" i="1"/>
  <c r="T720" i="1"/>
  <c r="V720" i="1"/>
  <c r="O721" i="1"/>
  <c r="P721" i="1"/>
  <c r="T721" i="1"/>
  <c r="V721" i="1"/>
  <c r="O722" i="1"/>
  <c r="P722" i="1"/>
  <c r="T722" i="1"/>
  <c r="V722" i="1"/>
  <c r="O723" i="1"/>
  <c r="P723" i="1"/>
  <c r="T723" i="1"/>
  <c r="V723" i="1"/>
  <c r="O724" i="1"/>
  <c r="P724" i="1"/>
  <c r="T724" i="1"/>
  <c r="V724" i="1"/>
  <c r="O725" i="1"/>
  <c r="P725" i="1"/>
  <c r="T725" i="1"/>
  <c r="V725" i="1"/>
  <c r="O726" i="1"/>
  <c r="P726" i="1"/>
  <c r="T726" i="1"/>
  <c r="V726" i="1"/>
  <c r="V601" i="1"/>
  <c r="T601" i="1"/>
  <c r="P601" i="1"/>
  <c r="O601" i="1"/>
  <c r="O600" i="1"/>
  <c r="P600" i="1"/>
  <c r="T600" i="1"/>
  <c r="V600" i="1"/>
  <c r="K596" i="1"/>
  <c r="K586" i="1"/>
  <c r="K583" i="1"/>
  <c r="AC583" i="1" s="1" a="1"/>
  <c r="AC583" i="1" s="1"/>
  <c r="K564" i="1"/>
  <c r="K517" i="1"/>
  <c r="AC517" i="1" s="1" a="1"/>
  <c r="AC517" i="1" s="1"/>
  <c r="K507" i="1"/>
  <c r="AC507" i="1" s="1" a="1"/>
  <c r="AC507" i="1" s="1"/>
  <c r="K495" i="1"/>
  <c r="K459" i="1"/>
  <c r="K447" i="1"/>
  <c r="AA447" i="1" s="1" a="1"/>
  <c r="AA447" i="1" s="1"/>
  <c r="K409" i="1"/>
  <c r="K374" i="1"/>
  <c r="K349" i="1"/>
  <c r="K337" i="1"/>
  <c r="K329" i="1"/>
  <c r="K295" i="1"/>
  <c r="K293" i="1"/>
  <c r="AB293" i="1" s="1" a="1"/>
  <c r="AB293" i="1" s="1"/>
  <c r="K291" i="1"/>
  <c r="K290" i="1"/>
  <c r="K270" i="1"/>
  <c r="K269" i="1"/>
  <c r="K267" i="1"/>
  <c r="K258" i="1"/>
  <c r="K248" i="1"/>
  <c r="K253" i="1"/>
  <c r="K215" i="1"/>
  <c r="K199" i="1"/>
  <c r="K192" i="1"/>
  <c r="K181" i="1"/>
  <c r="K126" i="1"/>
  <c r="AC126" i="1" s="1" a="1"/>
  <c r="AC126" i="1" s="1"/>
  <c r="K107" i="1"/>
  <c r="K105" i="1"/>
  <c r="AC105" i="1" s="1" a="1"/>
  <c r="AC105" i="1" s="1"/>
  <c r="K104" i="1"/>
  <c r="AA104" i="1" s="1" a="1"/>
  <c r="AA104" i="1" s="1"/>
  <c r="K57" i="1"/>
  <c r="Z57" i="1" s="1" a="1"/>
  <c r="Z57" i="1" s="1"/>
  <c r="K85" i="1"/>
  <c r="K80" i="1"/>
  <c r="Z80" i="1" s="1" a="1"/>
  <c r="Z80" i="1" s="1"/>
  <c r="K43" i="1"/>
  <c r="K40" i="1"/>
  <c r="O43" i="1"/>
  <c r="P43" i="1"/>
  <c r="T43" i="1"/>
  <c r="V43" i="1"/>
  <c r="O44" i="1"/>
  <c r="P44" i="1"/>
  <c r="T44" i="1"/>
  <c r="V44" i="1"/>
  <c r="O45" i="1"/>
  <c r="P45" i="1"/>
  <c r="T45" i="1"/>
  <c r="V45" i="1"/>
  <c r="O46" i="1"/>
  <c r="P46" i="1"/>
  <c r="T46" i="1"/>
  <c r="V46" i="1"/>
  <c r="O47" i="1"/>
  <c r="P47" i="1"/>
  <c r="T47" i="1"/>
  <c r="V47" i="1"/>
  <c r="O48" i="1"/>
  <c r="P48" i="1"/>
  <c r="T48" i="1"/>
  <c r="V48" i="1"/>
  <c r="O49" i="1"/>
  <c r="P49" i="1"/>
  <c r="T49" i="1"/>
  <c r="V49" i="1"/>
  <c r="O50" i="1"/>
  <c r="P50" i="1"/>
  <c r="T50" i="1"/>
  <c r="V50" i="1"/>
  <c r="O51" i="1"/>
  <c r="P51" i="1"/>
  <c r="T51" i="1"/>
  <c r="V51" i="1"/>
  <c r="O52" i="1"/>
  <c r="P52" i="1"/>
  <c r="T52" i="1"/>
  <c r="V52" i="1"/>
  <c r="O53" i="1"/>
  <c r="P53" i="1"/>
  <c r="T53" i="1"/>
  <c r="V53" i="1"/>
  <c r="O54" i="1"/>
  <c r="P54" i="1"/>
  <c r="T54" i="1"/>
  <c r="V54" i="1"/>
  <c r="O55" i="1"/>
  <c r="P55" i="1"/>
  <c r="T55" i="1"/>
  <c r="V55" i="1"/>
  <c r="O56" i="1"/>
  <c r="P56" i="1"/>
  <c r="T56" i="1"/>
  <c r="V56" i="1"/>
  <c r="O57" i="1"/>
  <c r="P57" i="1"/>
  <c r="T57" i="1"/>
  <c r="V57" i="1"/>
  <c r="O58" i="1"/>
  <c r="P58" i="1"/>
  <c r="T58" i="1"/>
  <c r="V58" i="1"/>
  <c r="O59" i="1"/>
  <c r="P59" i="1"/>
  <c r="T59" i="1"/>
  <c r="V59" i="1"/>
  <c r="O60" i="1"/>
  <c r="P60" i="1"/>
  <c r="T60" i="1"/>
  <c r="V60" i="1"/>
  <c r="O61" i="1"/>
  <c r="P61" i="1"/>
  <c r="T61" i="1"/>
  <c r="V61" i="1"/>
  <c r="O62" i="1"/>
  <c r="P62" i="1"/>
  <c r="T62" i="1"/>
  <c r="V62" i="1"/>
  <c r="O63" i="1"/>
  <c r="P63" i="1"/>
  <c r="T63" i="1"/>
  <c r="V63" i="1"/>
  <c r="O64" i="1"/>
  <c r="P64" i="1"/>
  <c r="T64" i="1"/>
  <c r="V64" i="1"/>
  <c r="O65" i="1"/>
  <c r="P65" i="1"/>
  <c r="T65" i="1"/>
  <c r="V65" i="1"/>
  <c r="O66" i="1"/>
  <c r="P66" i="1"/>
  <c r="T66" i="1"/>
  <c r="V66" i="1"/>
  <c r="O67" i="1"/>
  <c r="P67" i="1"/>
  <c r="T67" i="1"/>
  <c r="V67" i="1"/>
  <c r="O68" i="1"/>
  <c r="P68" i="1"/>
  <c r="T68" i="1"/>
  <c r="V68" i="1"/>
  <c r="O69" i="1"/>
  <c r="P69" i="1"/>
  <c r="T69" i="1"/>
  <c r="V69" i="1"/>
  <c r="O70" i="1"/>
  <c r="P70" i="1"/>
  <c r="T70" i="1"/>
  <c r="V70" i="1"/>
  <c r="O71" i="1"/>
  <c r="P71" i="1"/>
  <c r="T71" i="1"/>
  <c r="V71" i="1"/>
  <c r="O72" i="1"/>
  <c r="P72" i="1"/>
  <c r="T72" i="1"/>
  <c r="V72" i="1"/>
  <c r="O73" i="1"/>
  <c r="P73" i="1"/>
  <c r="T73" i="1"/>
  <c r="V73" i="1"/>
  <c r="O74" i="1"/>
  <c r="P74" i="1"/>
  <c r="T74" i="1"/>
  <c r="V74" i="1"/>
  <c r="O75" i="1"/>
  <c r="P75" i="1"/>
  <c r="T75" i="1"/>
  <c r="V75" i="1"/>
  <c r="O76" i="1"/>
  <c r="P76" i="1"/>
  <c r="T76" i="1"/>
  <c r="V76" i="1"/>
  <c r="O77" i="1"/>
  <c r="P77" i="1"/>
  <c r="T77" i="1"/>
  <c r="V77" i="1"/>
  <c r="O78" i="1"/>
  <c r="P78" i="1"/>
  <c r="T78" i="1"/>
  <c r="V78" i="1"/>
  <c r="O79" i="1"/>
  <c r="P79" i="1"/>
  <c r="T79" i="1"/>
  <c r="V79" i="1"/>
  <c r="O80" i="1"/>
  <c r="P80" i="1"/>
  <c r="T80" i="1"/>
  <c r="V80" i="1"/>
  <c r="O81" i="1"/>
  <c r="P81" i="1"/>
  <c r="T81" i="1"/>
  <c r="V81" i="1"/>
  <c r="O82" i="1"/>
  <c r="P82" i="1"/>
  <c r="T82" i="1"/>
  <c r="V82" i="1"/>
  <c r="O83" i="1"/>
  <c r="P83" i="1"/>
  <c r="T83" i="1"/>
  <c r="V83" i="1"/>
  <c r="O84" i="1"/>
  <c r="P84" i="1"/>
  <c r="T84" i="1"/>
  <c r="V84" i="1"/>
  <c r="O85" i="1"/>
  <c r="P85" i="1"/>
  <c r="T85" i="1"/>
  <c r="V85" i="1"/>
  <c r="O86" i="1"/>
  <c r="P86" i="1"/>
  <c r="T86" i="1"/>
  <c r="V86" i="1"/>
  <c r="O87" i="1"/>
  <c r="P87" i="1"/>
  <c r="T87" i="1"/>
  <c r="V87" i="1"/>
  <c r="O88" i="1"/>
  <c r="P88" i="1"/>
  <c r="T88" i="1"/>
  <c r="V88" i="1"/>
  <c r="O89" i="1"/>
  <c r="P89" i="1"/>
  <c r="T89" i="1"/>
  <c r="V89" i="1"/>
  <c r="O90" i="1"/>
  <c r="P90" i="1"/>
  <c r="T90" i="1"/>
  <c r="V90" i="1"/>
  <c r="O91" i="1"/>
  <c r="P91" i="1"/>
  <c r="T91" i="1"/>
  <c r="V91" i="1"/>
  <c r="O92" i="1"/>
  <c r="P92" i="1"/>
  <c r="T92" i="1"/>
  <c r="V92" i="1"/>
  <c r="O93" i="1"/>
  <c r="P93" i="1"/>
  <c r="T93" i="1"/>
  <c r="V93" i="1"/>
  <c r="O94" i="1"/>
  <c r="P94" i="1"/>
  <c r="T94" i="1"/>
  <c r="V94" i="1"/>
  <c r="O95" i="1"/>
  <c r="P95" i="1"/>
  <c r="T95" i="1"/>
  <c r="V95" i="1"/>
  <c r="O96" i="1"/>
  <c r="P96" i="1"/>
  <c r="T96" i="1"/>
  <c r="V96" i="1"/>
  <c r="O97" i="1"/>
  <c r="P97" i="1"/>
  <c r="T97" i="1"/>
  <c r="V97" i="1"/>
  <c r="O98" i="1"/>
  <c r="P98" i="1"/>
  <c r="T98" i="1"/>
  <c r="V98" i="1"/>
  <c r="O99" i="1"/>
  <c r="P99" i="1"/>
  <c r="T99" i="1"/>
  <c r="V99" i="1"/>
  <c r="O100" i="1"/>
  <c r="P100" i="1"/>
  <c r="T100" i="1"/>
  <c r="V100" i="1"/>
  <c r="O101" i="1"/>
  <c r="P101" i="1"/>
  <c r="T101" i="1"/>
  <c r="V101" i="1"/>
  <c r="O102" i="1"/>
  <c r="P102" i="1"/>
  <c r="T102" i="1"/>
  <c r="V102" i="1"/>
  <c r="O103" i="1"/>
  <c r="P103" i="1"/>
  <c r="T103" i="1"/>
  <c r="V103" i="1"/>
  <c r="O104" i="1"/>
  <c r="P104" i="1"/>
  <c r="T104" i="1"/>
  <c r="V104" i="1"/>
  <c r="O105" i="1"/>
  <c r="P105" i="1"/>
  <c r="T105" i="1"/>
  <c r="V105" i="1"/>
  <c r="O106" i="1"/>
  <c r="P106" i="1"/>
  <c r="T106" i="1"/>
  <c r="V106" i="1"/>
  <c r="O107" i="1"/>
  <c r="P107" i="1"/>
  <c r="T107" i="1"/>
  <c r="V107" i="1"/>
  <c r="O108" i="1"/>
  <c r="P108" i="1"/>
  <c r="T108" i="1"/>
  <c r="V108" i="1"/>
  <c r="O109" i="1"/>
  <c r="P109" i="1"/>
  <c r="T109" i="1"/>
  <c r="V109" i="1"/>
  <c r="O110" i="1"/>
  <c r="P110" i="1"/>
  <c r="T110" i="1"/>
  <c r="V110" i="1"/>
  <c r="O111" i="1"/>
  <c r="P111" i="1"/>
  <c r="T111" i="1"/>
  <c r="V111" i="1"/>
  <c r="O112" i="1"/>
  <c r="P112" i="1"/>
  <c r="T112" i="1"/>
  <c r="V112" i="1"/>
  <c r="O113" i="1"/>
  <c r="P113" i="1"/>
  <c r="T113" i="1"/>
  <c r="V113" i="1"/>
  <c r="O114" i="1"/>
  <c r="P114" i="1"/>
  <c r="T114" i="1"/>
  <c r="V114" i="1"/>
  <c r="O115" i="1"/>
  <c r="P115" i="1"/>
  <c r="T115" i="1"/>
  <c r="V115" i="1"/>
  <c r="O116" i="1"/>
  <c r="P116" i="1"/>
  <c r="T116" i="1"/>
  <c r="V116" i="1"/>
  <c r="O117" i="1"/>
  <c r="P117" i="1"/>
  <c r="T117" i="1"/>
  <c r="V117" i="1"/>
  <c r="O118" i="1"/>
  <c r="P118" i="1"/>
  <c r="T118" i="1"/>
  <c r="V118" i="1"/>
  <c r="O119" i="1"/>
  <c r="P119" i="1"/>
  <c r="T119" i="1"/>
  <c r="V119" i="1"/>
  <c r="O120" i="1"/>
  <c r="P120" i="1"/>
  <c r="T120" i="1"/>
  <c r="V120" i="1"/>
  <c r="O121" i="1"/>
  <c r="P121" i="1"/>
  <c r="T121" i="1"/>
  <c r="V121" i="1"/>
  <c r="O122" i="1"/>
  <c r="P122" i="1"/>
  <c r="T122" i="1"/>
  <c r="V122" i="1"/>
  <c r="O123" i="1"/>
  <c r="P123" i="1"/>
  <c r="T123" i="1"/>
  <c r="V123" i="1"/>
  <c r="O124" i="1"/>
  <c r="P124" i="1"/>
  <c r="T124" i="1"/>
  <c r="V124" i="1"/>
  <c r="O125" i="1"/>
  <c r="P125" i="1"/>
  <c r="T125" i="1"/>
  <c r="V125" i="1"/>
  <c r="O126" i="1"/>
  <c r="P126" i="1"/>
  <c r="T126" i="1"/>
  <c r="V126" i="1"/>
  <c r="O127" i="1"/>
  <c r="P127" i="1"/>
  <c r="T127" i="1"/>
  <c r="V127" i="1"/>
  <c r="O128" i="1"/>
  <c r="P128" i="1"/>
  <c r="T128" i="1"/>
  <c r="V128" i="1"/>
  <c r="O129" i="1"/>
  <c r="P129" i="1"/>
  <c r="T129" i="1"/>
  <c r="V129" i="1"/>
  <c r="O130" i="1"/>
  <c r="P130" i="1"/>
  <c r="T130" i="1"/>
  <c r="V130" i="1"/>
  <c r="O131" i="1"/>
  <c r="P131" i="1"/>
  <c r="T131" i="1"/>
  <c r="V131" i="1"/>
  <c r="O132" i="1"/>
  <c r="P132" i="1"/>
  <c r="T132" i="1"/>
  <c r="V132" i="1"/>
  <c r="O133" i="1"/>
  <c r="P133" i="1"/>
  <c r="T133" i="1"/>
  <c r="V133" i="1"/>
  <c r="O134" i="1"/>
  <c r="P134" i="1"/>
  <c r="T134" i="1"/>
  <c r="V134" i="1"/>
  <c r="O135" i="1"/>
  <c r="P135" i="1"/>
  <c r="T135" i="1"/>
  <c r="V135" i="1"/>
  <c r="O136" i="1"/>
  <c r="P136" i="1"/>
  <c r="T136" i="1"/>
  <c r="V136" i="1"/>
  <c r="O137" i="1"/>
  <c r="P137" i="1"/>
  <c r="T137" i="1"/>
  <c r="V137" i="1"/>
  <c r="O138" i="1"/>
  <c r="P138" i="1"/>
  <c r="T138" i="1"/>
  <c r="V138" i="1"/>
  <c r="O139" i="1"/>
  <c r="P139" i="1"/>
  <c r="T139" i="1"/>
  <c r="V139" i="1"/>
  <c r="O140" i="1"/>
  <c r="P140" i="1"/>
  <c r="T140" i="1"/>
  <c r="V140" i="1"/>
  <c r="O141" i="1"/>
  <c r="P141" i="1"/>
  <c r="T141" i="1"/>
  <c r="V141" i="1"/>
  <c r="O142" i="1"/>
  <c r="P142" i="1"/>
  <c r="T142" i="1"/>
  <c r="V142" i="1"/>
  <c r="O143" i="1"/>
  <c r="P143" i="1"/>
  <c r="T143" i="1"/>
  <c r="V143" i="1"/>
  <c r="O144" i="1"/>
  <c r="P144" i="1"/>
  <c r="T144" i="1"/>
  <c r="V144" i="1"/>
  <c r="O145" i="1"/>
  <c r="P145" i="1"/>
  <c r="T145" i="1"/>
  <c r="V145" i="1"/>
  <c r="O146" i="1"/>
  <c r="P146" i="1"/>
  <c r="T146" i="1"/>
  <c r="V146" i="1"/>
  <c r="O147" i="1"/>
  <c r="P147" i="1"/>
  <c r="T147" i="1"/>
  <c r="V147" i="1"/>
  <c r="O148" i="1"/>
  <c r="P148" i="1"/>
  <c r="T148" i="1"/>
  <c r="V148" i="1"/>
  <c r="O149" i="1"/>
  <c r="P149" i="1"/>
  <c r="T149" i="1"/>
  <c r="V149" i="1"/>
  <c r="O150" i="1"/>
  <c r="P150" i="1"/>
  <c r="T150" i="1"/>
  <c r="V150" i="1"/>
  <c r="O151" i="1"/>
  <c r="P151" i="1"/>
  <c r="T151" i="1"/>
  <c r="V151" i="1"/>
  <c r="O152" i="1"/>
  <c r="P152" i="1"/>
  <c r="T152" i="1"/>
  <c r="V152" i="1"/>
  <c r="O153" i="1"/>
  <c r="P153" i="1"/>
  <c r="T153" i="1"/>
  <c r="V153" i="1"/>
  <c r="O154" i="1"/>
  <c r="P154" i="1"/>
  <c r="T154" i="1"/>
  <c r="V154" i="1"/>
  <c r="O155" i="1"/>
  <c r="P155" i="1"/>
  <c r="T155" i="1"/>
  <c r="V155" i="1"/>
  <c r="O156" i="1"/>
  <c r="P156" i="1"/>
  <c r="T156" i="1"/>
  <c r="V156" i="1"/>
  <c r="O157" i="1"/>
  <c r="P157" i="1"/>
  <c r="T157" i="1"/>
  <c r="V157" i="1"/>
  <c r="O158" i="1"/>
  <c r="P158" i="1"/>
  <c r="T158" i="1"/>
  <c r="V158" i="1"/>
  <c r="O159" i="1"/>
  <c r="P159" i="1"/>
  <c r="T159" i="1"/>
  <c r="V159" i="1"/>
  <c r="O160" i="1"/>
  <c r="P160" i="1"/>
  <c r="T160" i="1"/>
  <c r="V160" i="1"/>
  <c r="O161" i="1"/>
  <c r="P161" i="1"/>
  <c r="T161" i="1"/>
  <c r="V161" i="1"/>
  <c r="O162" i="1"/>
  <c r="P162" i="1"/>
  <c r="T162" i="1"/>
  <c r="V162" i="1"/>
  <c r="O163" i="1"/>
  <c r="P163" i="1"/>
  <c r="T163" i="1"/>
  <c r="V163" i="1"/>
  <c r="O164" i="1"/>
  <c r="P164" i="1"/>
  <c r="T164" i="1"/>
  <c r="V164" i="1"/>
  <c r="O165" i="1"/>
  <c r="P165" i="1"/>
  <c r="T165" i="1"/>
  <c r="V165" i="1"/>
  <c r="O166" i="1"/>
  <c r="P166" i="1"/>
  <c r="T166" i="1"/>
  <c r="V166" i="1"/>
  <c r="O167" i="1"/>
  <c r="P167" i="1"/>
  <c r="T167" i="1"/>
  <c r="V167" i="1"/>
  <c r="O168" i="1"/>
  <c r="P168" i="1"/>
  <c r="T168" i="1"/>
  <c r="V168" i="1"/>
  <c r="O169" i="1"/>
  <c r="P169" i="1"/>
  <c r="T169" i="1"/>
  <c r="V169" i="1"/>
  <c r="O170" i="1"/>
  <c r="P170" i="1"/>
  <c r="T170" i="1"/>
  <c r="V170" i="1"/>
  <c r="O171" i="1"/>
  <c r="P171" i="1"/>
  <c r="T171" i="1"/>
  <c r="V171" i="1"/>
  <c r="O172" i="1"/>
  <c r="P172" i="1"/>
  <c r="T172" i="1"/>
  <c r="V172" i="1"/>
  <c r="O173" i="1"/>
  <c r="P173" i="1"/>
  <c r="T173" i="1"/>
  <c r="V173" i="1"/>
  <c r="O174" i="1"/>
  <c r="P174" i="1"/>
  <c r="T174" i="1"/>
  <c r="V174" i="1"/>
  <c r="O175" i="1"/>
  <c r="P175" i="1"/>
  <c r="T175" i="1"/>
  <c r="V175" i="1"/>
  <c r="O176" i="1"/>
  <c r="P176" i="1"/>
  <c r="T176" i="1"/>
  <c r="V176" i="1"/>
  <c r="O177" i="1"/>
  <c r="P177" i="1"/>
  <c r="T177" i="1"/>
  <c r="V177" i="1"/>
  <c r="O178" i="1"/>
  <c r="P178" i="1"/>
  <c r="T178" i="1"/>
  <c r="V178" i="1"/>
  <c r="O179" i="1"/>
  <c r="P179" i="1"/>
  <c r="T179" i="1"/>
  <c r="V179" i="1"/>
  <c r="O180" i="1"/>
  <c r="P180" i="1"/>
  <c r="T180" i="1"/>
  <c r="V180" i="1"/>
  <c r="O181" i="1"/>
  <c r="P181" i="1"/>
  <c r="T181" i="1"/>
  <c r="V181" i="1"/>
  <c r="O182" i="1"/>
  <c r="P182" i="1"/>
  <c r="T182" i="1"/>
  <c r="V182" i="1"/>
  <c r="O183" i="1"/>
  <c r="P183" i="1"/>
  <c r="T183" i="1"/>
  <c r="V183" i="1"/>
  <c r="O184" i="1"/>
  <c r="P184" i="1"/>
  <c r="T184" i="1"/>
  <c r="V184" i="1"/>
  <c r="O185" i="1"/>
  <c r="P185" i="1"/>
  <c r="T185" i="1"/>
  <c r="V185" i="1"/>
  <c r="O186" i="1"/>
  <c r="P186" i="1"/>
  <c r="T186" i="1"/>
  <c r="V186" i="1"/>
  <c r="O187" i="1"/>
  <c r="P187" i="1"/>
  <c r="T187" i="1"/>
  <c r="V187" i="1"/>
  <c r="O188" i="1"/>
  <c r="P188" i="1"/>
  <c r="T188" i="1"/>
  <c r="V188" i="1"/>
  <c r="O189" i="1"/>
  <c r="P189" i="1"/>
  <c r="T189" i="1"/>
  <c r="V189" i="1"/>
  <c r="O190" i="1"/>
  <c r="P190" i="1"/>
  <c r="T190" i="1"/>
  <c r="V190" i="1"/>
  <c r="O191" i="1"/>
  <c r="P191" i="1"/>
  <c r="T191" i="1"/>
  <c r="V191" i="1"/>
  <c r="O192" i="1"/>
  <c r="P192" i="1"/>
  <c r="T192" i="1"/>
  <c r="V192" i="1"/>
  <c r="O193" i="1"/>
  <c r="P193" i="1"/>
  <c r="T193" i="1"/>
  <c r="V193" i="1"/>
  <c r="O194" i="1"/>
  <c r="P194" i="1"/>
  <c r="T194" i="1"/>
  <c r="V194" i="1"/>
  <c r="O195" i="1"/>
  <c r="P195" i="1"/>
  <c r="T195" i="1"/>
  <c r="V195" i="1"/>
  <c r="O196" i="1"/>
  <c r="P196" i="1"/>
  <c r="T196" i="1"/>
  <c r="V196" i="1"/>
  <c r="O197" i="1"/>
  <c r="P197" i="1"/>
  <c r="T197" i="1"/>
  <c r="V197" i="1"/>
  <c r="O198" i="1"/>
  <c r="P198" i="1"/>
  <c r="T198" i="1"/>
  <c r="V198" i="1"/>
  <c r="O199" i="1"/>
  <c r="P199" i="1"/>
  <c r="T199" i="1"/>
  <c r="V199" i="1"/>
  <c r="O200" i="1"/>
  <c r="P200" i="1"/>
  <c r="T200" i="1"/>
  <c r="V200" i="1"/>
  <c r="O201" i="1"/>
  <c r="P201" i="1"/>
  <c r="T201" i="1"/>
  <c r="V201" i="1"/>
  <c r="O202" i="1"/>
  <c r="P202" i="1"/>
  <c r="T202" i="1"/>
  <c r="V202" i="1"/>
  <c r="O203" i="1"/>
  <c r="P203" i="1"/>
  <c r="T203" i="1"/>
  <c r="V203" i="1"/>
  <c r="O204" i="1"/>
  <c r="P204" i="1"/>
  <c r="T204" i="1"/>
  <c r="V204" i="1"/>
  <c r="O205" i="1"/>
  <c r="P205" i="1"/>
  <c r="T205" i="1"/>
  <c r="V205" i="1"/>
  <c r="O206" i="1"/>
  <c r="P206" i="1"/>
  <c r="T206" i="1"/>
  <c r="V206" i="1"/>
  <c r="O207" i="1"/>
  <c r="P207" i="1"/>
  <c r="T207" i="1"/>
  <c r="V207" i="1"/>
  <c r="O208" i="1"/>
  <c r="P208" i="1"/>
  <c r="T208" i="1"/>
  <c r="V208" i="1"/>
  <c r="O209" i="1"/>
  <c r="P209" i="1"/>
  <c r="T209" i="1"/>
  <c r="V209" i="1"/>
  <c r="O210" i="1"/>
  <c r="P210" i="1"/>
  <c r="T210" i="1"/>
  <c r="V210" i="1"/>
  <c r="O211" i="1"/>
  <c r="P211" i="1"/>
  <c r="T211" i="1"/>
  <c r="V211" i="1"/>
  <c r="O212" i="1"/>
  <c r="P212" i="1"/>
  <c r="T212" i="1"/>
  <c r="V212" i="1"/>
  <c r="O213" i="1"/>
  <c r="P213" i="1"/>
  <c r="T213" i="1"/>
  <c r="V213" i="1"/>
  <c r="O214" i="1"/>
  <c r="P214" i="1"/>
  <c r="T214" i="1"/>
  <c r="V214" i="1"/>
  <c r="O215" i="1"/>
  <c r="P215" i="1"/>
  <c r="T215" i="1"/>
  <c r="V215" i="1"/>
  <c r="O216" i="1"/>
  <c r="P216" i="1"/>
  <c r="T216" i="1"/>
  <c r="V216" i="1"/>
  <c r="O217" i="1"/>
  <c r="P217" i="1"/>
  <c r="T217" i="1"/>
  <c r="V217" i="1"/>
  <c r="O218" i="1"/>
  <c r="P218" i="1"/>
  <c r="T218" i="1"/>
  <c r="V218" i="1"/>
  <c r="O219" i="1"/>
  <c r="P219" i="1"/>
  <c r="T219" i="1"/>
  <c r="V219" i="1"/>
  <c r="O220" i="1"/>
  <c r="P220" i="1"/>
  <c r="T220" i="1"/>
  <c r="V220" i="1"/>
  <c r="O221" i="1"/>
  <c r="P221" i="1"/>
  <c r="T221" i="1"/>
  <c r="V221" i="1"/>
  <c r="O222" i="1"/>
  <c r="P222" i="1"/>
  <c r="T222" i="1"/>
  <c r="V222" i="1"/>
  <c r="O223" i="1"/>
  <c r="P223" i="1"/>
  <c r="T223" i="1"/>
  <c r="V223" i="1"/>
  <c r="O224" i="1"/>
  <c r="P224" i="1"/>
  <c r="T224" i="1"/>
  <c r="V224" i="1"/>
  <c r="O225" i="1"/>
  <c r="P225" i="1"/>
  <c r="T225" i="1"/>
  <c r="V225" i="1"/>
  <c r="O226" i="1"/>
  <c r="P226" i="1"/>
  <c r="T226" i="1"/>
  <c r="V226" i="1"/>
  <c r="O227" i="1"/>
  <c r="P227" i="1"/>
  <c r="T227" i="1"/>
  <c r="V227" i="1"/>
  <c r="O228" i="1"/>
  <c r="P228" i="1"/>
  <c r="T228" i="1"/>
  <c r="V228" i="1"/>
  <c r="O229" i="1"/>
  <c r="P229" i="1"/>
  <c r="T229" i="1"/>
  <c r="V229" i="1"/>
  <c r="O230" i="1"/>
  <c r="P230" i="1"/>
  <c r="T230" i="1"/>
  <c r="V230" i="1"/>
  <c r="O231" i="1"/>
  <c r="P231" i="1"/>
  <c r="T231" i="1"/>
  <c r="V231" i="1"/>
  <c r="O232" i="1"/>
  <c r="P232" i="1"/>
  <c r="T232" i="1"/>
  <c r="V232" i="1"/>
  <c r="O233" i="1"/>
  <c r="P233" i="1"/>
  <c r="T233" i="1"/>
  <c r="V233" i="1"/>
  <c r="O234" i="1"/>
  <c r="P234" i="1"/>
  <c r="T234" i="1"/>
  <c r="V234" i="1"/>
  <c r="O235" i="1"/>
  <c r="P235" i="1"/>
  <c r="T235" i="1"/>
  <c r="V235" i="1"/>
  <c r="O236" i="1"/>
  <c r="P236" i="1"/>
  <c r="T236" i="1"/>
  <c r="V236" i="1"/>
  <c r="O237" i="1"/>
  <c r="P237" i="1"/>
  <c r="T237" i="1"/>
  <c r="V237" i="1"/>
  <c r="O238" i="1"/>
  <c r="P238" i="1"/>
  <c r="T238" i="1"/>
  <c r="V238" i="1"/>
  <c r="O239" i="1"/>
  <c r="P239" i="1"/>
  <c r="T239" i="1"/>
  <c r="V239" i="1"/>
  <c r="O240" i="1"/>
  <c r="P240" i="1"/>
  <c r="T240" i="1"/>
  <c r="V240" i="1"/>
  <c r="O241" i="1"/>
  <c r="P241" i="1"/>
  <c r="T241" i="1"/>
  <c r="V241" i="1"/>
  <c r="O242" i="1"/>
  <c r="P242" i="1"/>
  <c r="T242" i="1"/>
  <c r="V242" i="1"/>
  <c r="O243" i="1"/>
  <c r="P243" i="1"/>
  <c r="T243" i="1"/>
  <c r="V243" i="1"/>
  <c r="O244" i="1"/>
  <c r="P244" i="1"/>
  <c r="T244" i="1"/>
  <c r="V244" i="1"/>
  <c r="O245" i="1"/>
  <c r="P245" i="1"/>
  <c r="T245" i="1"/>
  <c r="V245" i="1"/>
  <c r="O246" i="1"/>
  <c r="P246" i="1"/>
  <c r="T246" i="1"/>
  <c r="V246" i="1"/>
  <c r="O247" i="1"/>
  <c r="P247" i="1"/>
  <c r="T247" i="1"/>
  <c r="V247" i="1"/>
  <c r="O248" i="1"/>
  <c r="P248" i="1"/>
  <c r="T248" i="1"/>
  <c r="V248" i="1"/>
  <c r="O249" i="1"/>
  <c r="P249" i="1"/>
  <c r="T249" i="1"/>
  <c r="V249" i="1"/>
  <c r="O250" i="1"/>
  <c r="P250" i="1"/>
  <c r="T250" i="1"/>
  <c r="V250" i="1"/>
  <c r="O251" i="1"/>
  <c r="P251" i="1"/>
  <c r="T251" i="1"/>
  <c r="V251" i="1"/>
  <c r="O252" i="1"/>
  <c r="P252" i="1"/>
  <c r="T252" i="1"/>
  <c r="V252" i="1"/>
  <c r="O253" i="1"/>
  <c r="P253" i="1"/>
  <c r="T253" i="1"/>
  <c r="V253" i="1"/>
  <c r="O254" i="1"/>
  <c r="P254" i="1"/>
  <c r="T254" i="1"/>
  <c r="V254" i="1"/>
  <c r="O255" i="1"/>
  <c r="P255" i="1"/>
  <c r="T255" i="1"/>
  <c r="V255" i="1"/>
  <c r="O256" i="1"/>
  <c r="P256" i="1"/>
  <c r="T256" i="1"/>
  <c r="V256" i="1"/>
  <c r="O257" i="1"/>
  <c r="P257" i="1"/>
  <c r="T257" i="1"/>
  <c r="V257" i="1"/>
  <c r="O258" i="1"/>
  <c r="P258" i="1"/>
  <c r="T258" i="1"/>
  <c r="V258" i="1"/>
  <c r="O259" i="1"/>
  <c r="P259" i="1"/>
  <c r="T259" i="1"/>
  <c r="V259" i="1"/>
  <c r="O260" i="1"/>
  <c r="P260" i="1"/>
  <c r="T260" i="1"/>
  <c r="V260" i="1"/>
  <c r="O261" i="1"/>
  <c r="P261" i="1"/>
  <c r="T261" i="1"/>
  <c r="V261" i="1"/>
  <c r="O262" i="1"/>
  <c r="P262" i="1"/>
  <c r="T262" i="1"/>
  <c r="V262" i="1"/>
  <c r="O263" i="1"/>
  <c r="P263" i="1"/>
  <c r="T263" i="1"/>
  <c r="V263" i="1"/>
  <c r="O264" i="1"/>
  <c r="P264" i="1"/>
  <c r="T264" i="1"/>
  <c r="V264" i="1"/>
  <c r="O265" i="1"/>
  <c r="P265" i="1"/>
  <c r="T265" i="1"/>
  <c r="V265" i="1"/>
  <c r="O266" i="1"/>
  <c r="P266" i="1"/>
  <c r="T266" i="1"/>
  <c r="V266" i="1"/>
  <c r="O267" i="1"/>
  <c r="P267" i="1"/>
  <c r="T267" i="1"/>
  <c r="V267" i="1"/>
  <c r="O268" i="1"/>
  <c r="P268" i="1"/>
  <c r="T268" i="1"/>
  <c r="V268" i="1"/>
  <c r="O269" i="1"/>
  <c r="P269" i="1"/>
  <c r="T269" i="1"/>
  <c r="V269" i="1"/>
  <c r="O270" i="1"/>
  <c r="P270" i="1"/>
  <c r="T270" i="1"/>
  <c r="V270" i="1"/>
  <c r="O271" i="1"/>
  <c r="P271" i="1"/>
  <c r="T271" i="1"/>
  <c r="V271" i="1"/>
  <c r="O272" i="1"/>
  <c r="P272" i="1"/>
  <c r="T272" i="1"/>
  <c r="V272" i="1"/>
  <c r="O273" i="1"/>
  <c r="P273" i="1"/>
  <c r="T273" i="1"/>
  <c r="V273" i="1"/>
  <c r="O274" i="1"/>
  <c r="P274" i="1"/>
  <c r="T274" i="1"/>
  <c r="V274" i="1"/>
  <c r="O275" i="1"/>
  <c r="P275" i="1"/>
  <c r="T275" i="1"/>
  <c r="V275" i="1"/>
  <c r="O276" i="1"/>
  <c r="P276" i="1"/>
  <c r="T276" i="1"/>
  <c r="V276" i="1"/>
  <c r="O277" i="1"/>
  <c r="P277" i="1"/>
  <c r="T277" i="1"/>
  <c r="V277" i="1"/>
  <c r="O278" i="1"/>
  <c r="P278" i="1"/>
  <c r="T278" i="1"/>
  <c r="V278" i="1"/>
  <c r="O279" i="1"/>
  <c r="P279" i="1"/>
  <c r="T279" i="1"/>
  <c r="V279" i="1"/>
  <c r="O280" i="1"/>
  <c r="P280" i="1"/>
  <c r="T280" i="1"/>
  <c r="V280" i="1"/>
  <c r="O281" i="1"/>
  <c r="P281" i="1"/>
  <c r="T281" i="1"/>
  <c r="V281" i="1"/>
  <c r="O282" i="1"/>
  <c r="P282" i="1"/>
  <c r="T282" i="1"/>
  <c r="V282" i="1"/>
  <c r="O283" i="1"/>
  <c r="P283" i="1"/>
  <c r="T283" i="1"/>
  <c r="V283" i="1"/>
  <c r="O284" i="1"/>
  <c r="P284" i="1"/>
  <c r="T284" i="1"/>
  <c r="V284" i="1"/>
  <c r="O285" i="1"/>
  <c r="P285" i="1"/>
  <c r="T285" i="1"/>
  <c r="V285" i="1"/>
  <c r="O286" i="1"/>
  <c r="P286" i="1"/>
  <c r="T286" i="1"/>
  <c r="V286" i="1"/>
  <c r="O287" i="1"/>
  <c r="P287" i="1"/>
  <c r="T287" i="1"/>
  <c r="V287" i="1"/>
  <c r="O288" i="1"/>
  <c r="P288" i="1"/>
  <c r="T288" i="1"/>
  <c r="V288" i="1"/>
  <c r="O289" i="1"/>
  <c r="P289" i="1"/>
  <c r="T289" i="1"/>
  <c r="V289" i="1"/>
  <c r="O290" i="1"/>
  <c r="P290" i="1"/>
  <c r="T290" i="1"/>
  <c r="V290" i="1"/>
  <c r="O291" i="1"/>
  <c r="P291" i="1"/>
  <c r="T291" i="1"/>
  <c r="V291" i="1"/>
  <c r="O292" i="1"/>
  <c r="P292" i="1"/>
  <c r="T292" i="1"/>
  <c r="V292" i="1"/>
  <c r="O293" i="1"/>
  <c r="P293" i="1"/>
  <c r="T293" i="1"/>
  <c r="V293" i="1"/>
  <c r="O294" i="1"/>
  <c r="P294" i="1"/>
  <c r="T294" i="1"/>
  <c r="V294" i="1"/>
  <c r="O295" i="1"/>
  <c r="P295" i="1"/>
  <c r="T295" i="1"/>
  <c r="V295" i="1"/>
  <c r="O296" i="1"/>
  <c r="P296" i="1"/>
  <c r="T296" i="1"/>
  <c r="V296" i="1"/>
  <c r="O297" i="1"/>
  <c r="P297" i="1"/>
  <c r="T297" i="1"/>
  <c r="V297" i="1"/>
  <c r="O298" i="1"/>
  <c r="P298" i="1"/>
  <c r="T298" i="1"/>
  <c r="V298" i="1"/>
  <c r="O299" i="1"/>
  <c r="P299" i="1"/>
  <c r="T299" i="1"/>
  <c r="V299" i="1"/>
  <c r="O300" i="1"/>
  <c r="P300" i="1"/>
  <c r="T300" i="1"/>
  <c r="V300" i="1"/>
  <c r="O301" i="1"/>
  <c r="P301" i="1"/>
  <c r="T301" i="1"/>
  <c r="V301" i="1"/>
  <c r="O302" i="1"/>
  <c r="P302" i="1"/>
  <c r="T302" i="1"/>
  <c r="V302" i="1"/>
  <c r="O303" i="1"/>
  <c r="P303" i="1"/>
  <c r="T303" i="1"/>
  <c r="V303" i="1"/>
  <c r="O304" i="1"/>
  <c r="P304" i="1"/>
  <c r="T304" i="1"/>
  <c r="V304" i="1"/>
  <c r="O305" i="1"/>
  <c r="P305" i="1"/>
  <c r="T305" i="1"/>
  <c r="V305" i="1"/>
  <c r="O306" i="1"/>
  <c r="P306" i="1"/>
  <c r="T306" i="1"/>
  <c r="V306" i="1"/>
  <c r="O307" i="1"/>
  <c r="P307" i="1"/>
  <c r="T307" i="1"/>
  <c r="V307" i="1"/>
  <c r="O308" i="1"/>
  <c r="P308" i="1"/>
  <c r="T308" i="1"/>
  <c r="V308" i="1"/>
  <c r="O309" i="1"/>
  <c r="P309" i="1"/>
  <c r="T309" i="1"/>
  <c r="V309" i="1"/>
  <c r="O310" i="1"/>
  <c r="P310" i="1"/>
  <c r="T310" i="1"/>
  <c r="V310" i="1"/>
  <c r="O311" i="1"/>
  <c r="P311" i="1"/>
  <c r="T311" i="1"/>
  <c r="V311" i="1"/>
  <c r="O312" i="1"/>
  <c r="P312" i="1"/>
  <c r="T312" i="1"/>
  <c r="V312" i="1"/>
  <c r="O313" i="1"/>
  <c r="P313" i="1"/>
  <c r="T313" i="1"/>
  <c r="V313" i="1"/>
  <c r="O314" i="1"/>
  <c r="P314" i="1"/>
  <c r="T314" i="1"/>
  <c r="V314" i="1"/>
  <c r="O315" i="1"/>
  <c r="P315" i="1"/>
  <c r="T315" i="1"/>
  <c r="V315" i="1"/>
  <c r="O316" i="1"/>
  <c r="P316" i="1"/>
  <c r="T316" i="1"/>
  <c r="V316" i="1"/>
  <c r="O317" i="1"/>
  <c r="P317" i="1"/>
  <c r="T317" i="1"/>
  <c r="V317" i="1"/>
  <c r="O318" i="1"/>
  <c r="P318" i="1"/>
  <c r="T318" i="1"/>
  <c r="V318" i="1"/>
  <c r="O319" i="1"/>
  <c r="P319" i="1"/>
  <c r="T319" i="1"/>
  <c r="V319" i="1"/>
  <c r="O320" i="1"/>
  <c r="P320" i="1"/>
  <c r="T320" i="1"/>
  <c r="V320" i="1"/>
  <c r="O321" i="1"/>
  <c r="P321" i="1"/>
  <c r="T321" i="1"/>
  <c r="V321" i="1"/>
  <c r="O322" i="1"/>
  <c r="P322" i="1"/>
  <c r="T322" i="1"/>
  <c r="V322" i="1"/>
  <c r="O323" i="1"/>
  <c r="P323" i="1"/>
  <c r="T323" i="1"/>
  <c r="V323" i="1"/>
  <c r="O324" i="1"/>
  <c r="P324" i="1"/>
  <c r="T324" i="1"/>
  <c r="V324" i="1"/>
  <c r="O325" i="1"/>
  <c r="P325" i="1"/>
  <c r="T325" i="1"/>
  <c r="V325" i="1"/>
  <c r="O326" i="1"/>
  <c r="P326" i="1"/>
  <c r="T326" i="1"/>
  <c r="V326" i="1"/>
  <c r="O327" i="1"/>
  <c r="P327" i="1"/>
  <c r="T327" i="1"/>
  <c r="V327" i="1"/>
  <c r="O328" i="1"/>
  <c r="P328" i="1"/>
  <c r="T328" i="1"/>
  <c r="V328" i="1"/>
  <c r="O329" i="1"/>
  <c r="P329" i="1"/>
  <c r="T329" i="1"/>
  <c r="V329" i="1"/>
  <c r="O330" i="1"/>
  <c r="P330" i="1"/>
  <c r="T330" i="1"/>
  <c r="V330" i="1"/>
  <c r="O331" i="1"/>
  <c r="P331" i="1"/>
  <c r="T331" i="1"/>
  <c r="V331" i="1"/>
  <c r="O332" i="1"/>
  <c r="P332" i="1"/>
  <c r="T332" i="1"/>
  <c r="V332" i="1"/>
  <c r="O333" i="1"/>
  <c r="P333" i="1"/>
  <c r="T333" i="1"/>
  <c r="V333" i="1"/>
  <c r="O334" i="1"/>
  <c r="P334" i="1"/>
  <c r="T334" i="1"/>
  <c r="V334" i="1"/>
  <c r="O335" i="1"/>
  <c r="P335" i="1"/>
  <c r="T335" i="1"/>
  <c r="V335" i="1"/>
  <c r="O336" i="1"/>
  <c r="P336" i="1"/>
  <c r="T336" i="1"/>
  <c r="V336" i="1"/>
  <c r="O337" i="1"/>
  <c r="P337" i="1"/>
  <c r="T337" i="1"/>
  <c r="V337" i="1"/>
  <c r="O338" i="1"/>
  <c r="P338" i="1"/>
  <c r="T338" i="1"/>
  <c r="V338" i="1"/>
  <c r="O339" i="1"/>
  <c r="P339" i="1"/>
  <c r="T339" i="1"/>
  <c r="V339" i="1"/>
  <c r="O340" i="1"/>
  <c r="P340" i="1"/>
  <c r="T340" i="1"/>
  <c r="V340" i="1"/>
  <c r="O341" i="1"/>
  <c r="P341" i="1"/>
  <c r="T341" i="1"/>
  <c r="V341" i="1"/>
  <c r="O342" i="1"/>
  <c r="P342" i="1"/>
  <c r="T342" i="1"/>
  <c r="V342" i="1"/>
  <c r="O343" i="1"/>
  <c r="P343" i="1"/>
  <c r="T343" i="1"/>
  <c r="V343" i="1"/>
  <c r="O344" i="1"/>
  <c r="P344" i="1"/>
  <c r="T344" i="1"/>
  <c r="V344" i="1"/>
  <c r="O345" i="1"/>
  <c r="P345" i="1"/>
  <c r="T345" i="1"/>
  <c r="V345" i="1"/>
  <c r="O346" i="1"/>
  <c r="P346" i="1"/>
  <c r="T346" i="1"/>
  <c r="V346" i="1"/>
  <c r="O347" i="1"/>
  <c r="P347" i="1"/>
  <c r="T347" i="1"/>
  <c r="V347" i="1"/>
  <c r="O348" i="1"/>
  <c r="P348" i="1"/>
  <c r="T348" i="1"/>
  <c r="V348" i="1"/>
  <c r="O349" i="1"/>
  <c r="P349" i="1"/>
  <c r="T349" i="1"/>
  <c r="V349" i="1"/>
  <c r="O350" i="1"/>
  <c r="P350" i="1"/>
  <c r="T350" i="1"/>
  <c r="V350" i="1"/>
  <c r="O351" i="1"/>
  <c r="P351" i="1"/>
  <c r="T351" i="1"/>
  <c r="V351" i="1"/>
  <c r="O352" i="1"/>
  <c r="P352" i="1"/>
  <c r="T352" i="1"/>
  <c r="V352" i="1"/>
  <c r="O353" i="1"/>
  <c r="P353" i="1"/>
  <c r="T353" i="1"/>
  <c r="V353" i="1"/>
  <c r="O354" i="1"/>
  <c r="P354" i="1"/>
  <c r="T354" i="1"/>
  <c r="V354" i="1"/>
  <c r="O355" i="1"/>
  <c r="P355" i="1"/>
  <c r="T355" i="1"/>
  <c r="V355" i="1"/>
  <c r="O356" i="1"/>
  <c r="P356" i="1"/>
  <c r="T356" i="1"/>
  <c r="V356" i="1"/>
  <c r="O357" i="1"/>
  <c r="P357" i="1"/>
  <c r="T357" i="1"/>
  <c r="V357" i="1"/>
  <c r="O358" i="1"/>
  <c r="P358" i="1"/>
  <c r="T358" i="1"/>
  <c r="V358" i="1"/>
  <c r="O359" i="1"/>
  <c r="P359" i="1"/>
  <c r="T359" i="1"/>
  <c r="V359" i="1"/>
  <c r="O360" i="1"/>
  <c r="P360" i="1"/>
  <c r="T360" i="1"/>
  <c r="V360" i="1"/>
  <c r="O361" i="1"/>
  <c r="P361" i="1"/>
  <c r="T361" i="1"/>
  <c r="V361" i="1"/>
  <c r="O362" i="1"/>
  <c r="P362" i="1"/>
  <c r="T362" i="1"/>
  <c r="V362" i="1"/>
  <c r="O363" i="1"/>
  <c r="P363" i="1"/>
  <c r="T363" i="1"/>
  <c r="V363" i="1"/>
  <c r="O364" i="1"/>
  <c r="P364" i="1"/>
  <c r="T364" i="1"/>
  <c r="V364" i="1"/>
  <c r="O365" i="1"/>
  <c r="P365" i="1"/>
  <c r="T365" i="1"/>
  <c r="V365" i="1"/>
  <c r="O366" i="1"/>
  <c r="P366" i="1"/>
  <c r="T366" i="1"/>
  <c r="V366" i="1"/>
  <c r="O367" i="1"/>
  <c r="P367" i="1"/>
  <c r="T367" i="1"/>
  <c r="V367" i="1"/>
  <c r="O368" i="1"/>
  <c r="P368" i="1"/>
  <c r="T368" i="1"/>
  <c r="V368" i="1"/>
  <c r="O369" i="1"/>
  <c r="P369" i="1"/>
  <c r="T369" i="1"/>
  <c r="V369" i="1"/>
  <c r="O370" i="1"/>
  <c r="P370" i="1"/>
  <c r="T370" i="1"/>
  <c r="V370" i="1"/>
  <c r="O371" i="1"/>
  <c r="P371" i="1"/>
  <c r="T371" i="1"/>
  <c r="V371" i="1"/>
  <c r="O372" i="1"/>
  <c r="P372" i="1"/>
  <c r="T372" i="1"/>
  <c r="V372" i="1"/>
  <c r="O373" i="1"/>
  <c r="P373" i="1"/>
  <c r="T373" i="1"/>
  <c r="V373" i="1"/>
  <c r="O374" i="1"/>
  <c r="P374" i="1"/>
  <c r="T374" i="1"/>
  <c r="V374" i="1"/>
  <c r="O375" i="1"/>
  <c r="P375" i="1"/>
  <c r="T375" i="1"/>
  <c r="V375" i="1"/>
  <c r="O376" i="1"/>
  <c r="P376" i="1"/>
  <c r="T376" i="1"/>
  <c r="V376" i="1"/>
  <c r="O377" i="1"/>
  <c r="P377" i="1"/>
  <c r="T377" i="1"/>
  <c r="V377" i="1"/>
  <c r="O378" i="1"/>
  <c r="P378" i="1"/>
  <c r="T378" i="1"/>
  <c r="V378" i="1"/>
  <c r="O379" i="1"/>
  <c r="P379" i="1"/>
  <c r="T379" i="1"/>
  <c r="V379" i="1"/>
  <c r="O380" i="1"/>
  <c r="P380" i="1"/>
  <c r="T380" i="1"/>
  <c r="V380" i="1"/>
  <c r="O381" i="1"/>
  <c r="P381" i="1"/>
  <c r="T381" i="1"/>
  <c r="V381" i="1"/>
  <c r="O382" i="1"/>
  <c r="P382" i="1"/>
  <c r="T382" i="1"/>
  <c r="V382" i="1"/>
  <c r="O383" i="1"/>
  <c r="P383" i="1"/>
  <c r="T383" i="1"/>
  <c r="V383" i="1"/>
  <c r="O384" i="1"/>
  <c r="P384" i="1"/>
  <c r="T384" i="1"/>
  <c r="V384" i="1"/>
  <c r="O385" i="1"/>
  <c r="P385" i="1"/>
  <c r="T385" i="1"/>
  <c r="V385" i="1"/>
  <c r="O386" i="1"/>
  <c r="P386" i="1"/>
  <c r="T386" i="1"/>
  <c r="V386" i="1"/>
  <c r="O387" i="1"/>
  <c r="P387" i="1"/>
  <c r="T387" i="1"/>
  <c r="V387" i="1"/>
  <c r="O388" i="1"/>
  <c r="P388" i="1"/>
  <c r="T388" i="1"/>
  <c r="V388" i="1"/>
  <c r="O389" i="1"/>
  <c r="P389" i="1"/>
  <c r="T389" i="1"/>
  <c r="V389" i="1"/>
  <c r="O390" i="1"/>
  <c r="P390" i="1"/>
  <c r="T390" i="1"/>
  <c r="V390" i="1"/>
  <c r="O391" i="1"/>
  <c r="P391" i="1"/>
  <c r="T391" i="1"/>
  <c r="V391" i="1"/>
  <c r="O392" i="1"/>
  <c r="P392" i="1"/>
  <c r="T392" i="1"/>
  <c r="V392" i="1"/>
  <c r="O393" i="1"/>
  <c r="P393" i="1"/>
  <c r="T393" i="1"/>
  <c r="V393" i="1"/>
  <c r="O394" i="1"/>
  <c r="P394" i="1"/>
  <c r="T394" i="1"/>
  <c r="V394" i="1"/>
  <c r="O395" i="1"/>
  <c r="P395" i="1"/>
  <c r="T395" i="1"/>
  <c r="V395" i="1"/>
  <c r="O396" i="1"/>
  <c r="P396" i="1"/>
  <c r="T396" i="1"/>
  <c r="V396" i="1"/>
  <c r="O397" i="1"/>
  <c r="P397" i="1"/>
  <c r="T397" i="1"/>
  <c r="V397" i="1"/>
  <c r="O398" i="1"/>
  <c r="P398" i="1"/>
  <c r="T398" i="1"/>
  <c r="V398" i="1"/>
  <c r="O399" i="1"/>
  <c r="P399" i="1"/>
  <c r="T399" i="1"/>
  <c r="V399" i="1"/>
  <c r="O400" i="1"/>
  <c r="P400" i="1"/>
  <c r="T400" i="1"/>
  <c r="V400" i="1"/>
  <c r="O401" i="1"/>
  <c r="P401" i="1"/>
  <c r="T401" i="1"/>
  <c r="V401" i="1"/>
  <c r="O402" i="1"/>
  <c r="P402" i="1"/>
  <c r="T402" i="1"/>
  <c r="V402" i="1"/>
  <c r="O403" i="1"/>
  <c r="P403" i="1"/>
  <c r="T403" i="1"/>
  <c r="V403" i="1"/>
  <c r="O404" i="1"/>
  <c r="P404" i="1"/>
  <c r="T404" i="1"/>
  <c r="V404" i="1"/>
  <c r="O405" i="1"/>
  <c r="P405" i="1"/>
  <c r="T405" i="1"/>
  <c r="V405" i="1"/>
  <c r="O406" i="1"/>
  <c r="P406" i="1"/>
  <c r="T406" i="1"/>
  <c r="V406" i="1"/>
  <c r="O407" i="1"/>
  <c r="P407" i="1"/>
  <c r="T407" i="1"/>
  <c r="V407" i="1"/>
  <c r="O408" i="1"/>
  <c r="P408" i="1"/>
  <c r="T408" i="1"/>
  <c r="V408" i="1"/>
  <c r="O409" i="1"/>
  <c r="P409" i="1"/>
  <c r="T409" i="1"/>
  <c r="V409" i="1"/>
  <c r="O410" i="1"/>
  <c r="P410" i="1"/>
  <c r="T410" i="1"/>
  <c r="V410" i="1"/>
  <c r="O411" i="1"/>
  <c r="P411" i="1"/>
  <c r="T411" i="1"/>
  <c r="V411" i="1"/>
  <c r="O412" i="1"/>
  <c r="P412" i="1"/>
  <c r="T412" i="1"/>
  <c r="V412" i="1"/>
  <c r="O413" i="1"/>
  <c r="P413" i="1"/>
  <c r="T413" i="1"/>
  <c r="V413" i="1"/>
  <c r="O414" i="1"/>
  <c r="P414" i="1"/>
  <c r="T414" i="1"/>
  <c r="V414" i="1"/>
  <c r="O415" i="1"/>
  <c r="P415" i="1"/>
  <c r="T415" i="1"/>
  <c r="V415" i="1"/>
  <c r="O416" i="1"/>
  <c r="P416" i="1"/>
  <c r="T416" i="1"/>
  <c r="V416" i="1"/>
  <c r="O417" i="1"/>
  <c r="P417" i="1"/>
  <c r="T417" i="1"/>
  <c r="V417" i="1"/>
  <c r="O418" i="1"/>
  <c r="P418" i="1"/>
  <c r="T418" i="1"/>
  <c r="V418" i="1"/>
  <c r="O419" i="1"/>
  <c r="P419" i="1"/>
  <c r="T419" i="1"/>
  <c r="V419" i="1"/>
  <c r="O420" i="1"/>
  <c r="P420" i="1"/>
  <c r="T420" i="1"/>
  <c r="V420" i="1"/>
  <c r="O421" i="1"/>
  <c r="P421" i="1"/>
  <c r="T421" i="1"/>
  <c r="V421" i="1"/>
  <c r="O422" i="1"/>
  <c r="P422" i="1"/>
  <c r="T422" i="1"/>
  <c r="V422" i="1"/>
  <c r="O423" i="1"/>
  <c r="P423" i="1"/>
  <c r="T423" i="1"/>
  <c r="V423" i="1"/>
  <c r="O424" i="1"/>
  <c r="P424" i="1"/>
  <c r="T424" i="1"/>
  <c r="V424" i="1"/>
  <c r="O425" i="1"/>
  <c r="P425" i="1"/>
  <c r="T425" i="1"/>
  <c r="V425" i="1"/>
  <c r="O426" i="1"/>
  <c r="P426" i="1"/>
  <c r="T426" i="1"/>
  <c r="V426" i="1"/>
  <c r="O427" i="1"/>
  <c r="P427" i="1"/>
  <c r="T427" i="1"/>
  <c r="V427" i="1"/>
  <c r="O428" i="1"/>
  <c r="P428" i="1"/>
  <c r="T428" i="1"/>
  <c r="V428" i="1"/>
  <c r="O429" i="1"/>
  <c r="P429" i="1"/>
  <c r="T429" i="1"/>
  <c r="V429" i="1"/>
  <c r="O430" i="1"/>
  <c r="P430" i="1"/>
  <c r="T430" i="1"/>
  <c r="V430" i="1"/>
  <c r="O431" i="1"/>
  <c r="P431" i="1"/>
  <c r="T431" i="1"/>
  <c r="V431" i="1"/>
  <c r="O432" i="1"/>
  <c r="P432" i="1"/>
  <c r="T432" i="1"/>
  <c r="V432" i="1"/>
  <c r="O433" i="1"/>
  <c r="P433" i="1"/>
  <c r="T433" i="1"/>
  <c r="V433" i="1"/>
  <c r="O434" i="1"/>
  <c r="P434" i="1"/>
  <c r="T434" i="1"/>
  <c r="V434" i="1"/>
  <c r="O435" i="1"/>
  <c r="P435" i="1"/>
  <c r="T435" i="1"/>
  <c r="V435" i="1"/>
  <c r="O436" i="1"/>
  <c r="P436" i="1"/>
  <c r="T436" i="1"/>
  <c r="V436" i="1"/>
  <c r="O437" i="1"/>
  <c r="P437" i="1"/>
  <c r="T437" i="1"/>
  <c r="V437" i="1"/>
  <c r="O438" i="1"/>
  <c r="P438" i="1"/>
  <c r="T438" i="1"/>
  <c r="V438" i="1"/>
  <c r="O439" i="1"/>
  <c r="P439" i="1"/>
  <c r="T439" i="1"/>
  <c r="V439" i="1"/>
  <c r="O440" i="1"/>
  <c r="P440" i="1"/>
  <c r="T440" i="1"/>
  <c r="V440" i="1"/>
  <c r="O441" i="1"/>
  <c r="P441" i="1"/>
  <c r="T441" i="1"/>
  <c r="V441" i="1"/>
  <c r="O442" i="1"/>
  <c r="P442" i="1"/>
  <c r="T442" i="1"/>
  <c r="V442" i="1"/>
  <c r="O443" i="1"/>
  <c r="P443" i="1"/>
  <c r="T443" i="1"/>
  <c r="V443" i="1"/>
  <c r="O444" i="1"/>
  <c r="P444" i="1"/>
  <c r="T444" i="1"/>
  <c r="V444" i="1"/>
  <c r="O445" i="1"/>
  <c r="P445" i="1"/>
  <c r="T445" i="1"/>
  <c r="V445" i="1"/>
  <c r="O446" i="1"/>
  <c r="P446" i="1"/>
  <c r="T446" i="1"/>
  <c r="V446" i="1"/>
  <c r="O447" i="1"/>
  <c r="P447" i="1"/>
  <c r="T447" i="1"/>
  <c r="V447" i="1"/>
  <c r="O448" i="1"/>
  <c r="P448" i="1"/>
  <c r="T448" i="1"/>
  <c r="V448" i="1"/>
  <c r="O449" i="1"/>
  <c r="P449" i="1"/>
  <c r="T449" i="1"/>
  <c r="V449" i="1"/>
  <c r="O450" i="1"/>
  <c r="P450" i="1"/>
  <c r="T450" i="1"/>
  <c r="V450" i="1"/>
  <c r="O451" i="1"/>
  <c r="P451" i="1"/>
  <c r="T451" i="1"/>
  <c r="V451" i="1"/>
  <c r="O452" i="1"/>
  <c r="P452" i="1"/>
  <c r="T452" i="1"/>
  <c r="V452" i="1"/>
  <c r="O453" i="1"/>
  <c r="P453" i="1"/>
  <c r="T453" i="1"/>
  <c r="V453" i="1"/>
  <c r="O454" i="1"/>
  <c r="P454" i="1"/>
  <c r="T454" i="1"/>
  <c r="V454" i="1"/>
  <c r="O455" i="1"/>
  <c r="P455" i="1"/>
  <c r="T455" i="1"/>
  <c r="V455" i="1"/>
  <c r="O456" i="1"/>
  <c r="P456" i="1"/>
  <c r="T456" i="1"/>
  <c r="V456" i="1"/>
  <c r="O457" i="1"/>
  <c r="P457" i="1"/>
  <c r="T457" i="1"/>
  <c r="V457" i="1"/>
  <c r="O458" i="1"/>
  <c r="P458" i="1"/>
  <c r="T458" i="1"/>
  <c r="V458" i="1"/>
  <c r="O459" i="1"/>
  <c r="P459" i="1"/>
  <c r="T459" i="1"/>
  <c r="V459" i="1"/>
  <c r="O460" i="1"/>
  <c r="P460" i="1"/>
  <c r="T460" i="1"/>
  <c r="V460" i="1"/>
  <c r="O461" i="1"/>
  <c r="P461" i="1"/>
  <c r="T461" i="1"/>
  <c r="V461" i="1"/>
  <c r="O462" i="1"/>
  <c r="P462" i="1"/>
  <c r="T462" i="1"/>
  <c r="V462" i="1"/>
  <c r="O463" i="1"/>
  <c r="P463" i="1"/>
  <c r="T463" i="1"/>
  <c r="V463" i="1"/>
  <c r="O464" i="1"/>
  <c r="P464" i="1"/>
  <c r="T464" i="1"/>
  <c r="V464" i="1"/>
  <c r="O465" i="1"/>
  <c r="P465" i="1"/>
  <c r="T465" i="1"/>
  <c r="V465" i="1"/>
  <c r="O466" i="1"/>
  <c r="P466" i="1"/>
  <c r="T466" i="1"/>
  <c r="V466" i="1"/>
  <c r="O467" i="1"/>
  <c r="P467" i="1"/>
  <c r="T467" i="1"/>
  <c r="V467" i="1"/>
  <c r="O468" i="1"/>
  <c r="P468" i="1"/>
  <c r="T468" i="1"/>
  <c r="V468" i="1"/>
  <c r="O469" i="1"/>
  <c r="P469" i="1"/>
  <c r="T469" i="1"/>
  <c r="V469" i="1"/>
  <c r="O470" i="1"/>
  <c r="P470" i="1"/>
  <c r="T470" i="1"/>
  <c r="V470" i="1"/>
  <c r="O471" i="1"/>
  <c r="P471" i="1"/>
  <c r="T471" i="1"/>
  <c r="V471" i="1"/>
  <c r="O472" i="1"/>
  <c r="P472" i="1"/>
  <c r="T472" i="1"/>
  <c r="V472" i="1"/>
  <c r="O473" i="1"/>
  <c r="P473" i="1"/>
  <c r="T473" i="1"/>
  <c r="V473" i="1"/>
  <c r="O474" i="1"/>
  <c r="P474" i="1"/>
  <c r="T474" i="1"/>
  <c r="V474" i="1"/>
  <c r="O475" i="1"/>
  <c r="P475" i="1"/>
  <c r="T475" i="1"/>
  <c r="V475" i="1"/>
  <c r="O476" i="1"/>
  <c r="P476" i="1"/>
  <c r="T476" i="1"/>
  <c r="V476" i="1"/>
  <c r="O477" i="1"/>
  <c r="P477" i="1"/>
  <c r="T477" i="1"/>
  <c r="V477" i="1"/>
  <c r="O478" i="1"/>
  <c r="P478" i="1"/>
  <c r="T478" i="1"/>
  <c r="V478" i="1"/>
  <c r="O479" i="1"/>
  <c r="P479" i="1"/>
  <c r="T479" i="1"/>
  <c r="V479" i="1"/>
  <c r="O480" i="1"/>
  <c r="P480" i="1"/>
  <c r="T480" i="1"/>
  <c r="V480" i="1"/>
  <c r="O481" i="1"/>
  <c r="P481" i="1"/>
  <c r="T481" i="1"/>
  <c r="V481" i="1"/>
  <c r="O482" i="1"/>
  <c r="P482" i="1"/>
  <c r="T482" i="1"/>
  <c r="V482" i="1"/>
  <c r="O483" i="1"/>
  <c r="P483" i="1"/>
  <c r="T483" i="1"/>
  <c r="V483" i="1"/>
  <c r="O484" i="1"/>
  <c r="P484" i="1"/>
  <c r="T484" i="1"/>
  <c r="V484" i="1"/>
  <c r="O485" i="1"/>
  <c r="P485" i="1"/>
  <c r="T485" i="1"/>
  <c r="V485" i="1"/>
  <c r="O486" i="1"/>
  <c r="P486" i="1"/>
  <c r="T486" i="1"/>
  <c r="V486" i="1"/>
  <c r="O487" i="1"/>
  <c r="P487" i="1"/>
  <c r="T487" i="1"/>
  <c r="V487" i="1"/>
  <c r="O488" i="1"/>
  <c r="P488" i="1"/>
  <c r="T488" i="1"/>
  <c r="V488" i="1"/>
  <c r="O489" i="1"/>
  <c r="P489" i="1"/>
  <c r="T489" i="1"/>
  <c r="V489" i="1"/>
  <c r="O490" i="1"/>
  <c r="P490" i="1"/>
  <c r="T490" i="1"/>
  <c r="V490" i="1"/>
  <c r="O491" i="1"/>
  <c r="P491" i="1"/>
  <c r="T491" i="1"/>
  <c r="V491" i="1"/>
  <c r="O492" i="1"/>
  <c r="P492" i="1"/>
  <c r="T492" i="1"/>
  <c r="V492" i="1"/>
  <c r="O493" i="1"/>
  <c r="P493" i="1"/>
  <c r="T493" i="1"/>
  <c r="V493" i="1"/>
  <c r="O494" i="1"/>
  <c r="P494" i="1"/>
  <c r="T494" i="1"/>
  <c r="V494" i="1"/>
  <c r="O495" i="1"/>
  <c r="P495" i="1"/>
  <c r="T495" i="1"/>
  <c r="V495" i="1"/>
  <c r="O496" i="1"/>
  <c r="P496" i="1"/>
  <c r="T496" i="1"/>
  <c r="V496" i="1"/>
  <c r="O497" i="1"/>
  <c r="P497" i="1"/>
  <c r="T497" i="1"/>
  <c r="V497" i="1"/>
  <c r="O498" i="1"/>
  <c r="P498" i="1"/>
  <c r="T498" i="1"/>
  <c r="V498" i="1"/>
  <c r="O499" i="1"/>
  <c r="P499" i="1"/>
  <c r="T499" i="1"/>
  <c r="V499" i="1"/>
  <c r="O500" i="1"/>
  <c r="P500" i="1"/>
  <c r="T500" i="1"/>
  <c r="V500" i="1"/>
  <c r="O501" i="1"/>
  <c r="P501" i="1"/>
  <c r="T501" i="1"/>
  <c r="V501" i="1"/>
  <c r="O502" i="1"/>
  <c r="P502" i="1"/>
  <c r="T502" i="1"/>
  <c r="V502" i="1"/>
  <c r="O503" i="1"/>
  <c r="P503" i="1"/>
  <c r="T503" i="1"/>
  <c r="V503" i="1"/>
  <c r="O504" i="1"/>
  <c r="P504" i="1"/>
  <c r="T504" i="1"/>
  <c r="V504" i="1"/>
  <c r="O505" i="1"/>
  <c r="P505" i="1"/>
  <c r="T505" i="1"/>
  <c r="V505" i="1"/>
  <c r="O506" i="1"/>
  <c r="P506" i="1"/>
  <c r="T506" i="1"/>
  <c r="V506" i="1"/>
  <c r="O507" i="1"/>
  <c r="P507" i="1"/>
  <c r="T507" i="1"/>
  <c r="V507" i="1"/>
  <c r="O508" i="1"/>
  <c r="P508" i="1"/>
  <c r="T508" i="1"/>
  <c r="V508" i="1"/>
  <c r="O509" i="1"/>
  <c r="P509" i="1"/>
  <c r="T509" i="1"/>
  <c r="V509" i="1"/>
  <c r="O510" i="1"/>
  <c r="P510" i="1"/>
  <c r="T510" i="1"/>
  <c r="V510" i="1"/>
  <c r="O511" i="1"/>
  <c r="P511" i="1"/>
  <c r="T511" i="1"/>
  <c r="V511" i="1"/>
  <c r="O512" i="1"/>
  <c r="P512" i="1"/>
  <c r="T512" i="1"/>
  <c r="V512" i="1"/>
  <c r="O513" i="1"/>
  <c r="P513" i="1"/>
  <c r="T513" i="1"/>
  <c r="V513" i="1"/>
  <c r="O514" i="1"/>
  <c r="P514" i="1"/>
  <c r="T514" i="1"/>
  <c r="V514" i="1"/>
  <c r="O515" i="1"/>
  <c r="P515" i="1"/>
  <c r="T515" i="1"/>
  <c r="V515" i="1"/>
  <c r="O516" i="1"/>
  <c r="P516" i="1"/>
  <c r="T516" i="1"/>
  <c r="V516" i="1"/>
  <c r="O517" i="1"/>
  <c r="P517" i="1"/>
  <c r="T517" i="1"/>
  <c r="V517" i="1"/>
  <c r="O518" i="1"/>
  <c r="P518" i="1"/>
  <c r="T518" i="1"/>
  <c r="V518" i="1"/>
  <c r="O519" i="1"/>
  <c r="P519" i="1"/>
  <c r="T519" i="1"/>
  <c r="V519" i="1"/>
  <c r="O520" i="1"/>
  <c r="P520" i="1"/>
  <c r="T520" i="1"/>
  <c r="V520" i="1"/>
  <c r="O521" i="1"/>
  <c r="P521" i="1"/>
  <c r="T521" i="1"/>
  <c r="V521" i="1"/>
  <c r="O522" i="1"/>
  <c r="P522" i="1"/>
  <c r="T522" i="1"/>
  <c r="V522" i="1"/>
  <c r="O523" i="1"/>
  <c r="P523" i="1"/>
  <c r="T523" i="1"/>
  <c r="V523" i="1"/>
  <c r="O524" i="1"/>
  <c r="P524" i="1"/>
  <c r="T524" i="1"/>
  <c r="V524" i="1"/>
  <c r="O525" i="1"/>
  <c r="P525" i="1"/>
  <c r="T525" i="1"/>
  <c r="V525" i="1"/>
  <c r="O526" i="1"/>
  <c r="P526" i="1"/>
  <c r="T526" i="1"/>
  <c r="V526" i="1"/>
  <c r="O527" i="1"/>
  <c r="P527" i="1"/>
  <c r="T527" i="1"/>
  <c r="V527" i="1"/>
  <c r="O528" i="1"/>
  <c r="P528" i="1"/>
  <c r="T528" i="1"/>
  <c r="V528" i="1"/>
  <c r="O529" i="1"/>
  <c r="P529" i="1"/>
  <c r="T529" i="1"/>
  <c r="V529" i="1"/>
  <c r="O530" i="1"/>
  <c r="P530" i="1"/>
  <c r="T530" i="1"/>
  <c r="V530" i="1"/>
  <c r="O531" i="1"/>
  <c r="P531" i="1"/>
  <c r="T531" i="1"/>
  <c r="V531" i="1"/>
  <c r="O532" i="1"/>
  <c r="P532" i="1"/>
  <c r="T532" i="1"/>
  <c r="V532" i="1"/>
  <c r="O533" i="1"/>
  <c r="P533" i="1"/>
  <c r="T533" i="1"/>
  <c r="V533" i="1"/>
  <c r="O534" i="1"/>
  <c r="P534" i="1"/>
  <c r="T534" i="1"/>
  <c r="V534" i="1"/>
  <c r="O535" i="1"/>
  <c r="P535" i="1"/>
  <c r="T535" i="1"/>
  <c r="V535" i="1"/>
  <c r="O536" i="1"/>
  <c r="P536" i="1"/>
  <c r="T536" i="1"/>
  <c r="V536" i="1"/>
  <c r="O537" i="1"/>
  <c r="P537" i="1"/>
  <c r="T537" i="1"/>
  <c r="V537" i="1"/>
  <c r="O538" i="1"/>
  <c r="P538" i="1"/>
  <c r="T538" i="1"/>
  <c r="V538" i="1"/>
  <c r="O539" i="1"/>
  <c r="P539" i="1"/>
  <c r="T539" i="1"/>
  <c r="V539" i="1"/>
  <c r="O540" i="1"/>
  <c r="P540" i="1"/>
  <c r="T540" i="1"/>
  <c r="V540" i="1"/>
  <c r="O541" i="1"/>
  <c r="P541" i="1"/>
  <c r="T541" i="1"/>
  <c r="V541" i="1"/>
  <c r="O542" i="1"/>
  <c r="P542" i="1"/>
  <c r="T542" i="1"/>
  <c r="V542" i="1"/>
  <c r="O543" i="1"/>
  <c r="P543" i="1"/>
  <c r="T543" i="1"/>
  <c r="V543" i="1"/>
  <c r="O544" i="1"/>
  <c r="P544" i="1"/>
  <c r="T544" i="1"/>
  <c r="V544" i="1"/>
  <c r="O545" i="1"/>
  <c r="P545" i="1"/>
  <c r="T545" i="1"/>
  <c r="V545" i="1"/>
  <c r="O546" i="1"/>
  <c r="P546" i="1"/>
  <c r="T546" i="1"/>
  <c r="V546" i="1"/>
  <c r="O547" i="1"/>
  <c r="P547" i="1"/>
  <c r="T547" i="1"/>
  <c r="V547" i="1"/>
  <c r="O548" i="1"/>
  <c r="P548" i="1"/>
  <c r="T548" i="1"/>
  <c r="V548" i="1"/>
  <c r="O549" i="1"/>
  <c r="P549" i="1"/>
  <c r="T549" i="1"/>
  <c r="V549" i="1"/>
  <c r="O550" i="1"/>
  <c r="P550" i="1"/>
  <c r="T550" i="1"/>
  <c r="V550" i="1"/>
  <c r="O551" i="1"/>
  <c r="P551" i="1"/>
  <c r="T551" i="1"/>
  <c r="V551" i="1"/>
  <c r="O552" i="1"/>
  <c r="P552" i="1"/>
  <c r="T552" i="1"/>
  <c r="V552" i="1"/>
  <c r="O553" i="1"/>
  <c r="P553" i="1"/>
  <c r="T553" i="1"/>
  <c r="V553" i="1"/>
  <c r="O554" i="1"/>
  <c r="P554" i="1"/>
  <c r="T554" i="1"/>
  <c r="V554" i="1"/>
  <c r="O555" i="1"/>
  <c r="P555" i="1"/>
  <c r="T555" i="1"/>
  <c r="V555" i="1"/>
  <c r="O556" i="1"/>
  <c r="P556" i="1"/>
  <c r="T556" i="1"/>
  <c r="V556" i="1"/>
  <c r="O557" i="1"/>
  <c r="P557" i="1"/>
  <c r="T557" i="1"/>
  <c r="V557" i="1"/>
  <c r="O558" i="1"/>
  <c r="P558" i="1"/>
  <c r="T558" i="1"/>
  <c r="V558" i="1"/>
  <c r="O559" i="1"/>
  <c r="P559" i="1"/>
  <c r="T559" i="1"/>
  <c r="V559" i="1"/>
  <c r="O560" i="1"/>
  <c r="P560" i="1"/>
  <c r="T560" i="1"/>
  <c r="V560" i="1"/>
  <c r="O561" i="1"/>
  <c r="P561" i="1"/>
  <c r="T561" i="1"/>
  <c r="V561" i="1"/>
  <c r="O562" i="1"/>
  <c r="P562" i="1"/>
  <c r="T562" i="1"/>
  <c r="V562" i="1"/>
  <c r="O563" i="1"/>
  <c r="P563" i="1"/>
  <c r="T563" i="1"/>
  <c r="V563" i="1"/>
  <c r="O564" i="1"/>
  <c r="P564" i="1"/>
  <c r="T564" i="1"/>
  <c r="V564" i="1"/>
  <c r="O565" i="1"/>
  <c r="P565" i="1"/>
  <c r="T565" i="1"/>
  <c r="V565" i="1"/>
  <c r="O566" i="1"/>
  <c r="P566" i="1"/>
  <c r="T566" i="1"/>
  <c r="V566" i="1"/>
  <c r="O567" i="1"/>
  <c r="P567" i="1"/>
  <c r="T567" i="1"/>
  <c r="V567" i="1"/>
  <c r="O568" i="1"/>
  <c r="P568" i="1"/>
  <c r="T568" i="1"/>
  <c r="V568" i="1"/>
  <c r="O569" i="1"/>
  <c r="P569" i="1"/>
  <c r="T569" i="1"/>
  <c r="V569" i="1"/>
  <c r="O570" i="1"/>
  <c r="P570" i="1"/>
  <c r="T570" i="1"/>
  <c r="V570" i="1"/>
  <c r="O571" i="1"/>
  <c r="P571" i="1"/>
  <c r="T571" i="1"/>
  <c r="V571" i="1"/>
  <c r="O572" i="1"/>
  <c r="P572" i="1"/>
  <c r="T572" i="1"/>
  <c r="V572" i="1"/>
  <c r="O573" i="1"/>
  <c r="P573" i="1"/>
  <c r="T573" i="1"/>
  <c r="V573" i="1"/>
  <c r="O574" i="1"/>
  <c r="P574" i="1"/>
  <c r="T574" i="1"/>
  <c r="V574" i="1"/>
  <c r="O575" i="1"/>
  <c r="P575" i="1"/>
  <c r="T575" i="1"/>
  <c r="V575" i="1"/>
  <c r="O576" i="1"/>
  <c r="P576" i="1"/>
  <c r="T576" i="1"/>
  <c r="V576" i="1"/>
  <c r="O577" i="1"/>
  <c r="P577" i="1"/>
  <c r="T577" i="1"/>
  <c r="V577" i="1"/>
  <c r="O578" i="1"/>
  <c r="P578" i="1"/>
  <c r="T578" i="1"/>
  <c r="V578" i="1"/>
  <c r="O579" i="1"/>
  <c r="P579" i="1"/>
  <c r="T579" i="1"/>
  <c r="V579" i="1"/>
  <c r="O580" i="1"/>
  <c r="P580" i="1"/>
  <c r="T580" i="1"/>
  <c r="V580" i="1"/>
  <c r="O581" i="1"/>
  <c r="P581" i="1"/>
  <c r="T581" i="1"/>
  <c r="V581" i="1"/>
  <c r="O582" i="1"/>
  <c r="P582" i="1"/>
  <c r="T582" i="1"/>
  <c r="V582" i="1"/>
  <c r="O583" i="1"/>
  <c r="P583" i="1"/>
  <c r="T583" i="1"/>
  <c r="V583" i="1"/>
  <c r="O584" i="1"/>
  <c r="P584" i="1"/>
  <c r="T584" i="1"/>
  <c r="V584" i="1"/>
  <c r="O585" i="1"/>
  <c r="P585" i="1"/>
  <c r="T585" i="1"/>
  <c r="V585" i="1"/>
  <c r="O586" i="1"/>
  <c r="P586" i="1"/>
  <c r="T586" i="1"/>
  <c r="V586" i="1"/>
  <c r="O587" i="1"/>
  <c r="P587" i="1"/>
  <c r="T587" i="1"/>
  <c r="V587" i="1"/>
  <c r="O588" i="1"/>
  <c r="P588" i="1"/>
  <c r="T588" i="1"/>
  <c r="V588" i="1"/>
  <c r="O589" i="1"/>
  <c r="P589" i="1"/>
  <c r="T589" i="1"/>
  <c r="V589" i="1"/>
  <c r="O590" i="1"/>
  <c r="P590" i="1"/>
  <c r="T590" i="1"/>
  <c r="V590" i="1"/>
  <c r="O591" i="1"/>
  <c r="P591" i="1"/>
  <c r="T591" i="1"/>
  <c r="V591" i="1"/>
  <c r="O592" i="1"/>
  <c r="P592" i="1"/>
  <c r="T592" i="1"/>
  <c r="V592" i="1"/>
  <c r="O593" i="1"/>
  <c r="P593" i="1"/>
  <c r="T593" i="1"/>
  <c r="V593" i="1"/>
  <c r="O594" i="1"/>
  <c r="P594" i="1"/>
  <c r="T594" i="1"/>
  <c r="V594" i="1"/>
  <c r="O595" i="1"/>
  <c r="P595" i="1"/>
  <c r="T595" i="1"/>
  <c r="V595" i="1"/>
  <c r="O596" i="1"/>
  <c r="P596" i="1"/>
  <c r="T596" i="1"/>
  <c r="V596" i="1"/>
  <c r="O597" i="1"/>
  <c r="P597" i="1"/>
  <c r="T597" i="1"/>
  <c r="V597" i="1"/>
  <c r="O598" i="1"/>
  <c r="P598" i="1"/>
  <c r="T598" i="1"/>
  <c r="V598" i="1"/>
  <c r="O599" i="1"/>
  <c r="P599" i="1"/>
  <c r="T599" i="1"/>
  <c r="V599" i="1"/>
  <c r="K39" i="1"/>
  <c r="K38" i="1"/>
  <c r="K37" i="1"/>
  <c r="K36" i="1"/>
  <c r="K35" i="1"/>
  <c r="K34" i="1"/>
  <c r="K33" i="1"/>
  <c r="K32" i="1"/>
  <c r="K31" i="1"/>
  <c r="Z31" i="1" s="1" a="1"/>
  <c r="Z31" i="1" s="1"/>
  <c r="K30" i="1"/>
  <c r="AA30" i="1" s="1" a="1"/>
  <c r="AA30" i="1" s="1"/>
  <c r="K29" i="1"/>
  <c r="Z29" i="1" s="1" a="1"/>
  <c r="Z29" i="1" s="1"/>
  <c r="K28" i="1"/>
  <c r="K27" i="1"/>
  <c r="K26" i="1"/>
  <c r="Z26" i="1" s="1" a="1"/>
  <c r="Z26" i="1" s="1"/>
  <c r="K25" i="1"/>
  <c r="K24" i="1"/>
  <c r="K23" i="1"/>
  <c r="K22" i="1"/>
  <c r="K21" i="1"/>
  <c r="K20" i="1"/>
  <c r="Z20" i="1" s="1" a="1"/>
  <c r="Z20" i="1" s="1"/>
  <c r="K19" i="1"/>
  <c r="K18" i="1"/>
  <c r="Z18" i="1" s="1" a="1"/>
  <c r="Z18" i="1" s="1"/>
  <c r="K17" i="1"/>
  <c r="K16" i="1"/>
  <c r="Z16" i="1" s="1" a="1"/>
  <c r="Z16" i="1" s="1"/>
  <c r="K15" i="1"/>
  <c r="K14" i="1"/>
  <c r="Z14" i="1" s="1" a="1"/>
  <c r="Z14" i="1" s="1"/>
  <c r="K13" i="1"/>
  <c r="K12" i="1"/>
  <c r="K11" i="1"/>
  <c r="AA11" i="1" s="1" a="1"/>
  <c r="AA11" i="1" s="1"/>
  <c r="K10" i="1"/>
  <c r="AC10" i="1" s="1" a="1"/>
  <c r="AC10" i="1" s="1"/>
  <c r="K9" i="1"/>
  <c r="K8" i="1"/>
  <c r="K7" i="1"/>
  <c r="AA7" i="1" s="1" a="1"/>
  <c r="AA7" i="1" s="1"/>
  <c r="K6" i="1"/>
  <c r="K5" i="1"/>
  <c r="K4" i="1"/>
  <c r="K3" i="1"/>
  <c r="Z3" i="1" s="1" a="1"/>
  <c r="Z3" i="1" s="1"/>
  <c r="K2" i="1"/>
  <c r="Y2" i="1"/>
  <c r="AD921" i="1" l="1"/>
  <c r="Q732" i="1"/>
  <c r="AB597" i="1" a="1"/>
  <c r="AB597" i="1" s="1"/>
  <c r="AD597" i="1"/>
  <c r="AB592" i="1" a="1"/>
  <c r="AB592" i="1" s="1"/>
  <c r="AC592" i="1" a="1"/>
  <c r="AC592" i="1" s="1"/>
  <c r="AC447" i="1" a="1"/>
  <c r="AC447" i="1" s="1"/>
  <c r="AB381" i="1" a="1"/>
  <c r="AB381" i="1" s="1"/>
  <c r="AA381" i="1" a="1"/>
  <c r="AA381" i="1" s="1"/>
  <c r="AC381" i="1" a="1"/>
  <c r="AC381" i="1" s="1"/>
  <c r="AC368" i="1" a="1"/>
  <c r="AC368" i="1" s="1"/>
  <c r="AA368" i="1" a="1"/>
  <c r="AA368" i="1" s="1"/>
  <c r="AD368" i="1"/>
  <c r="AD244" i="1"/>
  <c r="AB244" i="1" a="1"/>
  <c r="AB244" i="1" s="1"/>
  <c r="AC244" i="1" a="1"/>
  <c r="AC244" i="1" s="1"/>
  <c r="AA216" i="1" a="1"/>
  <c r="AA216" i="1" s="1"/>
  <c r="AB216" i="1" a="1"/>
  <c r="AB216" i="1" s="1"/>
  <c r="AC124" i="1" a="1"/>
  <c r="AC124" i="1" s="1"/>
  <c r="AA124" i="1" a="1"/>
  <c r="AA124" i="1" s="1"/>
  <c r="AA107" i="1" a="1"/>
  <c r="AA107" i="1" s="1"/>
  <c r="AD107" i="1"/>
  <c r="AB38" i="1" a="1"/>
  <c r="AB38" i="1" s="1"/>
  <c r="AB22" i="1" a="1"/>
  <c r="AB22" i="1" s="1"/>
  <c r="AB13" i="1" a="1"/>
  <c r="AB13" i="1" s="1"/>
  <c r="AB546" i="1" a="1"/>
  <c r="AB546" i="1" s="1"/>
  <c r="AA546" i="1" a="1"/>
  <c r="AA546" i="1" s="1"/>
  <c r="AD546" i="1"/>
  <c r="AB931" i="1" a="1"/>
  <c r="AB931" i="1" s="1"/>
  <c r="AA924" i="1" a="1"/>
  <c r="AA924" i="1" s="1"/>
  <c r="AB921" i="1" a="1"/>
  <c r="AB921" i="1" s="1"/>
  <c r="AB876" i="1" a="1"/>
  <c r="AB876" i="1" s="1"/>
  <c r="AB873" i="1" a="1"/>
  <c r="AB873" i="1" s="1"/>
  <c r="AD848" i="1"/>
  <c r="AC820" i="1" a="1"/>
  <c r="AC820" i="1" s="1"/>
  <c r="AD794" i="1"/>
  <c r="AD776" i="1"/>
  <c r="AB756" i="1" a="1"/>
  <c r="AB756" i="1" s="1"/>
  <c r="AC745" i="1" a="1"/>
  <c r="AC745" i="1" s="1"/>
  <c r="AD738" i="1"/>
  <c r="AA689" i="1" a="1"/>
  <c r="AA689" i="1" s="1"/>
  <c r="AB689" i="1" a="1"/>
  <c r="AB689" i="1" s="1"/>
  <c r="AD570" i="1"/>
  <c r="AB570" i="1" a="1"/>
  <c r="AB570" i="1" s="1"/>
  <c r="AA555" i="1" a="1"/>
  <c r="AA555" i="1" s="1"/>
  <c r="AD555" i="1"/>
  <c r="AC456" i="1" a="1"/>
  <c r="AC456" i="1" s="1"/>
  <c r="AA456" i="1" a="1"/>
  <c r="AA456" i="1" s="1"/>
  <c r="AD297" i="1"/>
  <c r="AB297" i="1" a="1"/>
  <c r="AB297" i="1" s="1"/>
  <c r="AC297" i="1" a="1"/>
  <c r="AC297" i="1" s="1"/>
  <c r="AB170" i="1" a="1"/>
  <c r="AB170" i="1" s="1"/>
  <c r="AC85" i="1" a="1"/>
  <c r="AC85" i="1" s="1"/>
  <c r="AA85" i="1" a="1"/>
  <c r="AA85" i="1" s="1"/>
  <c r="AB85" i="1" a="1"/>
  <c r="AB85" i="1" s="1"/>
  <c r="AD85" i="1"/>
  <c r="AA29" i="1" a="1"/>
  <c r="AA29" i="1" s="1"/>
  <c r="AB20" i="1" a="1"/>
  <c r="AB20" i="1" s="1"/>
  <c r="AB927" i="1" a="1"/>
  <c r="AB927" i="1" s="1"/>
  <c r="AA882" i="1" a="1"/>
  <c r="AA882" i="1" s="1"/>
  <c r="Q882" i="1" s="1"/>
  <c r="AA876" i="1" a="1"/>
  <c r="AA876" i="1" s="1"/>
  <c r="AA873" i="1" a="1"/>
  <c r="AA873" i="1" s="1"/>
  <c r="AA864" i="1" a="1"/>
  <c r="AA864" i="1" s="1"/>
  <c r="AA852" i="1" a="1"/>
  <c r="AA852" i="1" s="1"/>
  <c r="AB823" i="1" a="1"/>
  <c r="AB823" i="1" s="1"/>
  <c r="AB820" i="1" a="1"/>
  <c r="AB820" i="1" s="1"/>
  <c r="AD804" i="1"/>
  <c r="AA783" i="1" a="1"/>
  <c r="AA783" i="1" s="1"/>
  <c r="AA756" i="1" a="1"/>
  <c r="AA756" i="1" s="1"/>
  <c r="AA745" i="1" a="1"/>
  <c r="AA745" i="1" s="1"/>
  <c r="Q745" i="1" s="1"/>
  <c r="AA684" i="1" a="1"/>
  <c r="AA684" i="1" s="1"/>
  <c r="AB684" i="1" a="1"/>
  <c r="AB684" i="1" s="1"/>
  <c r="AD585" i="1"/>
  <c r="AA545" i="1" a="1"/>
  <c r="AA545" i="1" s="1"/>
  <c r="AB545" i="1" a="1"/>
  <c r="AB545" i="1" s="1"/>
  <c r="AD408" i="1"/>
  <c r="AA408" i="1" a="1"/>
  <c r="AA408" i="1" s="1"/>
  <c r="AB375" i="1" a="1"/>
  <c r="AB375" i="1" s="1"/>
  <c r="AB162" i="1" a="1"/>
  <c r="AB162" i="1" s="1"/>
  <c r="AA162" i="1" a="1"/>
  <c r="AA162" i="1" s="1"/>
  <c r="AC162" i="1" a="1"/>
  <c r="AC162" i="1" s="1"/>
  <c r="AD162" i="1"/>
  <c r="AC142" i="1" a="1"/>
  <c r="AC142" i="1" s="1"/>
  <c r="AB142" i="1" a="1"/>
  <c r="AB142" i="1" s="1"/>
  <c r="AA110" i="1" a="1"/>
  <c r="AA110" i="1" s="1"/>
  <c r="AB110" i="1" a="1"/>
  <c r="AB110" i="1" s="1"/>
  <c r="AC110" i="1" a="1"/>
  <c r="AC110" i="1" s="1"/>
  <c r="AD110" i="1"/>
  <c r="AC80" i="1" a="1"/>
  <c r="AC80" i="1" s="1"/>
  <c r="Z36" i="1" a="1"/>
  <c r="Z36" i="1" s="1"/>
  <c r="AD36" i="1"/>
  <c r="AB610" i="1" a="1"/>
  <c r="AB610" i="1" s="1"/>
  <c r="AD478" i="1"/>
  <c r="AA194" i="1" a="1"/>
  <c r="AA194" i="1" s="1"/>
  <c r="AC194" i="1" a="1"/>
  <c r="AC194" i="1" s="1"/>
  <c r="AB10" i="1" a="1"/>
  <c r="AB10" i="1" s="1"/>
  <c r="AD10" i="1"/>
  <c r="AC636" i="1" a="1"/>
  <c r="AC636" i="1" s="1"/>
  <c r="AB636" i="1" a="1"/>
  <c r="AB636" i="1" s="1"/>
  <c r="AA524" i="1" a="1"/>
  <c r="AA524" i="1" s="1"/>
  <c r="AD524" i="1"/>
  <c r="AD930" i="1"/>
  <c r="AB693" i="1" a="1"/>
  <c r="AB693" i="1" s="1"/>
  <c r="AC693" i="1" a="1"/>
  <c r="AC693" i="1" s="1"/>
  <c r="AD693" i="1"/>
  <c r="AB559" i="1" a="1"/>
  <c r="AB559" i="1" s="1"/>
  <c r="AD559" i="1"/>
  <c r="AC436" i="1" a="1"/>
  <c r="AC436" i="1" s="1"/>
  <c r="AA436" i="1" a="1"/>
  <c r="AA436" i="1" s="1"/>
  <c r="AB389" i="1" a="1"/>
  <c r="AB389" i="1" s="1"/>
  <c r="AD389" i="1"/>
  <c r="AC180" i="1" a="1"/>
  <c r="AC180" i="1" s="1"/>
  <c r="AD180" i="1"/>
  <c r="AA175" i="1" a="1"/>
  <c r="AA175" i="1" s="1"/>
  <c r="AC175" i="1" a="1"/>
  <c r="AC175" i="1" s="1"/>
  <c r="AD175" i="1"/>
  <c r="AC97" i="1" a="1"/>
  <c r="AC97" i="1" s="1"/>
  <c r="AA97" i="1" a="1"/>
  <c r="AA97" i="1" s="1"/>
  <c r="AD97" i="1"/>
  <c r="AC57" i="1" a="1"/>
  <c r="AC57" i="1" s="1"/>
  <c r="AD57" i="1"/>
  <c r="Z43" i="1" a="1"/>
  <c r="Z43" i="1" s="1"/>
  <c r="AC930" i="1" a="1"/>
  <c r="AC930" i="1" s="1"/>
  <c r="AD858" i="1"/>
  <c r="AC778" i="1" a="1"/>
  <c r="AC778" i="1" s="1"/>
  <c r="Q738" i="1"/>
  <c r="AC730" i="1" a="1"/>
  <c r="AC730" i="1" s="1"/>
  <c r="AA687" i="1" a="1"/>
  <c r="AA687" i="1" s="1"/>
  <c r="AC687" i="1" a="1"/>
  <c r="AC687" i="1" s="1"/>
  <c r="AD687" i="1"/>
  <c r="AC670" i="1" a="1"/>
  <c r="AC670" i="1" s="1"/>
  <c r="AD564" i="1"/>
  <c r="AA564" i="1" a="1"/>
  <c r="AA564" i="1" s="1"/>
  <c r="AD355" i="1"/>
  <c r="AA355" i="1" a="1"/>
  <c r="AA355" i="1" s="1"/>
  <c r="AC341" i="1" a="1"/>
  <c r="AC341" i="1" s="1"/>
  <c r="AB341" i="1" a="1"/>
  <c r="AB341" i="1" s="1"/>
  <c r="AD341" i="1"/>
  <c r="AA305" i="1" a="1"/>
  <c r="AA305" i="1" s="1"/>
  <c r="AD305" i="1"/>
  <c r="AA18" i="1" a="1"/>
  <c r="AA18" i="1" s="1"/>
  <c r="AA712" i="1" a="1"/>
  <c r="AA712" i="1" s="1"/>
  <c r="AB712" i="1" a="1"/>
  <c r="AB712" i="1" s="1"/>
  <c r="AA930" i="1" a="1"/>
  <c r="AA930" i="1" s="1"/>
  <c r="Q930" i="1" s="1"/>
  <c r="AB903" i="1" a="1"/>
  <c r="AB903" i="1" s="1"/>
  <c r="AD881" i="1"/>
  <c r="AD828" i="1"/>
  <c r="AB778" i="1" a="1"/>
  <c r="AB778" i="1" s="1"/>
  <c r="AC741" i="1" a="1"/>
  <c r="AC741" i="1" s="1"/>
  <c r="AA741" i="1" a="1"/>
  <c r="AA741" i="1" s="1"/>
  <c r="AC618" i="1" a="1"/>
  <c r="AC618" i="1" s="1"/>
  <c r="AD618" i="1"/>
  <c r="AD594" i="1"/>
  <c r="AC594" i="1" a="1"/>
  <c r="AC594" i="1" s="1"/>
  <c r="AC585" i="1" a="1"/>
  <c r="AC585" i="1" s="1"/>
  <c r="AA585" i="1" a="1"/>
  <c r="AA585" i="1" s="1"/>
  <c r="AC572" i="1" a="1"/>
  <c r="AC572" i="1" s="1"/>
  <c r="AD572" i="1"/>
  <c r="AB345" i="1" a="1"/>
  <c r="AB345" i="1" s="1"/>
  <c r="AA345" i="1" a="1"/>
  <c r="AA345" i="1" s="1"/>
  <c r="AC345" i="1" a="1"/>
  <c r="AC345" i="1" s="1"/>
  <c r="AD345" i="1"/>
  <c r="AD309" i="1"/>
  <c r="AC309" i="1" a="1"/>
  <c r="AC309" i="1" s="1"/>
  <c r="AD278" i="1"/>
  <c r="AB278" i="1" a="1"/>
  <c r="AB278" i="1" s="1"/>
  <c r="AC278" i="1" a="1"/>
  <c r="AC278" i="1" s="1"/>
  <c r="AA269" i="1" a="1"/>
  <c r="AA269" i="1" s="1"/>
  <c r="AA183" i="1" a="1"/>
  <c r="AA183" i="1" s="1"/>
  <c r="AB183" i="1" a="1"/>
  <c r="AB183" i="1" s="1"/>
  <c r="AC183" i="1" a="1"/>
  <c r="AC183" i="1" s="1"/>
  <c r="AC26" i="1" a="1"/>
  <c r="AC26" i="1" s="1"/>
  <c r="AA903" i="1" a="1"/>
  <c r="AA903" i="1" s="1"/>
  <c r="AB899" i="1" a="1"/>
  <c r="AB899" i="1" s="1"/>
  <c r="AC881" i="1" a="1"/>
  <c r="AC881" i="1" s="1"/>
  <c r="AB867" i="1" a="1"/>
  <c r="AB867" i="1" s="1"/>
  <c r="AC858" i="1" a="1"/>
  <c r="AC858" i="1" s="1"/>
  <c r="AC828" i="1" a="1"/>
  <c r="AC828" i="1" s="1"/>
  <c r="AC792" i="1" a="1"/>
  <c r="AC792" i="1" s="1"/>
  <c r="AB781" i="1" a="1"/>
  <c r="AB781" i="1" s="1"/>
  <c r="Q781" i="1" s="1"/>
  <c r="AA778" i="1" a="1"/>
  <c r="AA778" i="1" s="1"/>
  <c r="AB755" i="1" a="1"/>
  <c r="AB755" i="1" s="1"/>
  <c r="AA755" i="1" a="1"/>
  <c r="AA755" i="1" s="1"/>
  <c r="AC666" i="1" a="1"/>
  <c r="AC666" i="1" s="1"/>
  <c r="AB666" i="1" a="1"/>
  <c r="AB666" i="1" s="1"/>
  <c r="AD444" i="1"/>
  <c r="AA444" i="1" a="1"/>
  <c r="AA444" i="1" s="1"/>
  <c r="AC444" i="1" a="1"/>
  <c r="AC444" i="1" s="1"/>
  <c r="AB378" i="1" a="1"/>
  <c r="AB378" i="1" s="1"/>
  <c r="AA378" i="1" a="1"/>
  <c r="AA378" i="1" s="1"/>
  <c r="AC378" i="1" a="1"/>
  <c r="AC378" i="1" s="1"/>
  <c r="AD378" i="1"/>
  <c r="AA198" i="1" a="1"/>
  <c r="AA198" i="1" s="1"/>
  <c r="AD198" i="1"/>
  <c r="AA120" i="1" a="1"/>
  <c r="AA120" i="1" s="1"/>
  <c r="AC120" i="1" a="1"/>
  <c r="AC120" i="1" s="1"/>
  <c r="AD103" i="1"/>
  <c r="AC103" i="1" a="1"/>
  <c r="AC103" i="1" s="1"/>
  <c r="AB409" i="1" a="1"/>
  <c r="AB409" i="1" s="1"/>
  <c r="AC409" i="1" a="1"/>
  <c r="AC409" i="1" s="1"/>
  <c r="AD888" i="1"/>
  <c r="AD874" i="1"/>
  <c r="AC841" i="1" a="1"/>
  <c r="AC841" i="1" s="1"/>
  <c r="AB828" i="1" a="1"/>
  <c r="AB828" i="1" s="1"/>
  <c r="Q828" i="1" s="1"/>
  <c r="AD798" i="1"/>
  <c r="AB792" i="1" a="1"/>
  <c r="AB792" i="1" s="1"/>
  <c r="AA781" i="1" a="1"/>
  <c r="AA781" i="1" s="1"/>
  <c r="AC757" i="1" a="1"/>
  <c r="AC757" i="1" s="1"/>
  <c r="AD736" i="1"/>
  <c r="AD712" i="1"/>
  <c r="AA670" i="1" a="1"/>
  <c r="AA670" i="1" s="1"/>
  <c r="AD670" i="1"/>
  <c r="AB517" i="1" a="1"/>
  <c r="AB517" i="1" s="1"/>
  <c r="AA369" i="1" a="1"/>
  <c r="AA369" i="1" s="1"/>
  <c r="AB369" i="1" a="1"/>
  <c r="AB369" i="1" s="1"/>
  <c r="AC369" i="1" a="1"/>
  <c r="AC369" i="1" s="1"/>
  <c r="AD369" i="1"/>
  <c r="AC364" i="1" a="1"/>
  <c r="AC364" i="1" s="1"/>
  <c r="AD364" i="1"/>
  <c r="AB319" i="1" a="1"/>
  <c r="AB319" i="1" s="1"/>
  <c r="AC319" i="1" a="1"/>
  <c r="AC319" i="1" s="1"/>
  <c r="AD319" i="1"/>
  <c r="AD290" i="1"/>
  <c r="AC290" i="1" a="1"/>
  <c r="AC290" i="1" s="1"/>
  <c r="AA192" i="1" a="1"/>
  <c r="AA192" i="1" s="1"/>
  <c r="Z63" i="1" a="1"/>
  <c r="Z63" i="1" s="1"/>
  <c r="AB16" i="1" a="1"/>
  <c r="AB16" i="1" s="1"/>
  <c r="AC16" i="1" a="1"/>
  <c r="AC16" i="1" s="1"/>
  <c r="AA16" i="1" a="1"/>
  <c r="AA16" i="1" s="1"/>
  <c r="AB888" i="1" a="1"/>
  <c r="AB888" i="1" s="1"/>
  <c r="AD853" i="1"/>
  <c r="AC736" i="1" a="1"/>
  <c r="AC736" i="1" s="1"/>
  <c r="AC712" i="1" a="1"/>
  <c r="AC712" i="1" s="1"/>
  <c r="AD698" i="1"/>
  <c r="AD694" i="1"/>
  <c r="AC685" i="1" a="1"/>
  <c r="AC685" i="1" s="1"/>
  <c r="AA685" i="1" a="1"/>
  <c r="AA685" i="1" s="1"/>
  <c r="AA673" i="1" a="1"/>
  <c r="AA673" i="1" s="1"/>
  <c r="AA612" i="1" a="1"/>
  <c r="AA612" i="1" s="1"/>
  <c r="AC609" i="1" a="1"/>
  <c r="AC609" i="1" s="1"/>
  <c r="AB609" i="1" a="1"/>
  <c r="AB609" i="1" s="1"/>
  <c r="AD609" i="1"/>
  <c r="AA588" i="1" a="1"/>
  <c r="AA588" i="1" s="1"/>
  <c r="AD588" i="1"/>
  <c r="AA571" i="1" a="1"/>
  <c r="AA571" i="1" s="1"/>
  <c r="AB571" i="1" a="1"/>
  <c r="AB571" i="1" s="1"/>
  <c r="AD571" i="1"/>
  <c r="AD562" i="1"/>
  <c r="AA562" i="1" a="1"/>
  <c r="AA562" i="1" s="1"/>
  <c r="AB562" i="1" a="1"/>
  <c r="AB562" i="1" s="1"/>
  <c r="AB453" i="1" a="1"/>
  <c r="AB453" i="1" s="1"/>
  <c r="AA453" i="1" a="1"/>
  <c r="AA453" i="1" s="1"/>
  <c r="AC402" i="1" a="1"/>
  <c r="AC402" i="1" s="1"/>
  <c r="AA402" i="1" a="1"/>
  <c r="AA402" i="1" s="1"/>
  <c r="AA167" i="1" a="1"/>
  <c r="AA167" i="1" s="1"/>
  <c r="AB167" i="1" a="1"/>
  <c r="AB167" i="1" s="1"/>
  <c r="AC167" i="1" a="1"/>
  <c r="AC167" i="1" s="1"/>
  <c r="AA139" i="1" a="1"/>
  <c r="AA139" i="1" s="1"/>
  <c r="AB139" i="1" a="1"/>
  <c r="AB139" i="1" s="1"/>
  <c r="AC139" i="1" a="1"/>
  <c r="AC139" i="1" s="1"/>
  <c r="AD139" i="1"/>
  <c r="AB77" i="1" a="1"/>
  <c r="AB77" i="1" s="1"/>
  <c r="AA77" i="1" a="1"/>
  <c r="AA77" i="1" s="1"/>
  <c r="AA32" i="1" a="1"/>
  <c r="AA32" i="1" s="1"/>
  <c r="AB853" i="1" a="1"/>
  <c r="AB853" i="1" s="1"/>
  <c r="AD817" i="1"/>
  <c r="AD802" i="1"/>
  <c r="AB788" i="1" a="1"/>
  <c r="AB788" i="1" s="1"/>
  <c r="AD684" i="1"/>
  <c r="AB584" i="1" a="1"/>
  <c r="AB584" i="1" s="1"/>
  <c r="AA584" i="1" a="1"/>
  <c r="AA584" i="1" s="1"/>
  <c r="AC524" i="1" a="1"/>
  <c r="AC524" i="1" s="1"/>
  <c r="AA495" i="1" a="1"/>
  <c r="AA495" i="1" s="1"/>
  <c r="AD318" i="1"/>
  <c r="AA318" i="1" a="1"/>
  <c r="AA318" i="1" s="1"/>
  <c r="AA294" i="1" a="1"/>
  <c r="AA294" i="1" s="1"/>
  <c r="AD294" i="1"/>
  <c r="AD88" i="1"/>
  <c r="AA88" i="1" a="1"/>
  <c r="AA88" i="1" s="1"/>
  <c r="AC88" i="1" a="1"/>
  <c r="AC88" i="1" s="1"/>
  <c r="AA31" i="1" a="1"/>
  <c r="AA31" i="1" s="1"/>
  <c r="AB31" i="1" a="1"/>
  <c r="AB31" i="1" s="1"/>
  <c r="AC20" i="1" a="1"/>
  <c r="AC20" i="1" s="1"/>
  <c r="AA459" i="1" a="1"/>
  <c r="AA459" i="1" s="1"/>
  <c r="AD450" i="1"/>
  <c r="AD424" i="1"/>
  <c r="AB415" i="1" a="1"/>
  <c r="AB415" i="1" s="1"/>
  <c r="AC391" i="1" a="1"/>
  <c r="AC391" i="1" s="1"/>
  <c r="AA377" i="1" a="1"/>
  <c r="AA377" i="1" s="1"/>
  <c r="AA374" i="1" a="1"/>
  <c r="AA374" i="1" s="1"/>
  <c r="AB269" i="1" a="1"/>
  <c r="AB269" i="1" s="1"/>
  <c r="AB215" i="1" a="1"/>
  <c r="AB215" i="1" s="1"/>
  <c r="AD144" i="1"/>
  <c r="AD122" i="1"/>
  <c r="AD86" i="1"/>
  <c r="AA55" i="1" a="1"/>
  <c r="AA55" i="1" s="1"/>
  <c r="AB35" i="1" a="1"/>
  <c r="AB35" i="1" s="1"/>
  <c r="AB30" i="1" a="1"/>
  <c r="AB30" i="1" s="1"/>
  <c r="Z15" i="1" a="1"/>
  <c r="Z15" i="1" s="1"/>
  <c r="Z9" i="1" a="1"/>
  <c r="Z9" i="1" s="1"/>
  <c r="AC659" i="1" a="1"/>
  <c r="AC659" i="1" s="1"/>
  <c r="AA507" i="1" a="1"/>
  <c r="AA507" i="1" s="1"/>
  <c r="AC462" i="1" a="1"/>
  <c r="AC462" i="1" s="1"/>
  <c r="AA400" i="1" a="1"/>
  <c r="AA400" i="1" s="1"/>
  <c r="AD387" i="1"/>
  <c r="AD342" i="1"/>
  <c r="AA293" i="1" a="1"/>
  <c r="AA293" i="1" s="1"/>
  <c r="AB144" i="1" a="1"/>
  <c r="AB144" i="1" s="1"/>
  <c r="AB137" i="1" a="1"/>
  <c r="AB137" i="1" s="1"/>
  <c r="AA130" i="1" a="1"/>
  <c r="AA130" i="1" s="1"/>
  <c r="AB122" i="1" a="1"/>
  <c r="AB122" i="1" s="1"/>
  <c r="AC86" i="1" a="1"/>
  <c r="AC86" i="1" s="1"/>
  <c r="AA80" i="1" a="1"/>
  <c r="AA80" i="1" s="1"/>
  <c r="AD29" i="1"/>
  <c r="AA26" i="1" a="1"/>
  <c r="AA26" i="1" s="1"/>
  <c r="Z8" i="1" a="1"/>
  <c r="Z8" i="1" s="1"/>
  <c r="AD655" i="1"/>
  <c r="AB645" i="1" a="1"/>
  <c r="AB645" i="1" s="1"/>
  <c r="AC551" i="1" a="1"/>
  <c r="AC551" i="1" s="1"/>
  <c r="AB447" i="1" a="1"/>
  <c r="AB447" i="1" s="1"/>
  <c r="AB431" i="1" a="1"/>
  <c r="AB431" i="1" s="1"/>
  <c r="AC342" i="1" a="1"/>
  <c r="AC342" i="1" s="1"/>
  <c r="AA303" i="1" a="1"/>
  <c r="AA303" i="1" s="1"/>
  <c r="AB299" i="1" a="1"/>
  <c r="AB299" i="1" s="1"/>
  <c r="AB292" i="1" a="1"/>
  <c r="AB292" i="1" s="1"/>
  <c r="AC272" i="1" a="1"/>
  <c r="AC272" i="1" s="1"/>
  <c r="AC229" i="1" a="1"/>
  <c r="AC229" i="1" s="1"/>
  <c r="AA226" i="1" a="1"/>
  <c r="AA226" i="1" s="1"/>
  <c r="AA168" i="1" a="1"/>
  <c r="AA168" i="1" s="1"/>
  <c r="AD148" i="1"/>
  <c r="AA137" i="1" a="1"/>
  <c r="AA137" i="1" s="1"/>
  <c r="AA122" i="1" a="1"/>
  <c r="AA122" i="1" s="1"/>
  <c r="AD90" i="1"/>
  <c r="AB86" i="1" a="1"/>
  <c r="AB86" i="1" s="1"/>
  <c r="AC29" i="1" a="1"/>
  <c r="AC29" i="1" s="1"/>
  <c r="AD18" i="1"/>
  <c r="AA14" i="1" a="1"/>
  <c r="AA14" i="1" s="1"/>
  <c r="AB329" i="1" a="1"/>
  <c r="AB329" i="1" s="1"/>
  <c r="AB310" i="1" a="1"/>
  <c r="AB310" i="1" s="1"/>
  <c r="AB272" i="1" a="1"/>
  <c r="AB272" i="1" s="1"/>
  <c r="AB245" i="1" a="1"/>
  <c r="AB245" i="1" s="1"/>
  <c r="AB229" i="1" a="1"/>
  <c r="AB229" i="1" s="1"/>
  <c r="AD108" i="1"/>
  <c r="AA90" i="1" a="1"/>
  <c r="AA90" i="1" s="1"/>
  <c r="Z86" i="1" a="1"/>
  <c r="Z86" i="1" s="1"/>
  <c r="AC67" i="1" a="1"/>
  <c r="AC67" i="1" s="1"/>
  <c r="AD45" i="1"/>
  <c r="AB29" i="1" a="1"/>
  <c r="AB29" i="1" s="1"/>
  <c r="AB24" i="1" a="1"/>
  <c r="AB24" i="1" s="1"/>
  <c r="AC18" i="1" a="1"/>
  <c r="AC18" i="1" s="1"/>
  <c r="Z7" i="1" a="1"/>
  <c r="Z7" i="1" s="1"/>
  <c r="AA310" i="1" a="1"/>
  <c r="AA310" i="1" s="1"/>
  <c r="Z13" i="1" a="1"/>
  <c r="Z13" i="1" s="1"/>
  <c r="AC349" i="1" a="1"/>
  <c r="AC349" i="1" s="1"/>
  <c r="AC143" i="1" a="1"/>
  <c r="AC143" i="1" s="1"/>
  <c r="AB129" i="1" a="1"/>
  <c r="AB129" i="1" s="1"/>
  <c r="AA108" i="1" a="1"/>
  <c r="AA108" i="1" s="1"/>
  <c r="AA98" i="1" a="1"/>
  <c r="AA98" i="1" s="1"/>
  <c r="Z94" i="1" a="1"/>
  <c r="Z94" i="1" s="1"/>
  <c r="Z89" i="1" a="1"/>
  <c r="Z89" i="1" s="1"/>
  <c r="AA67" i="1" a="1"/>
  <c r="AA67" i="1" s="1"/>
  <c r="Z33" i="1" a="1"/>
  <c r="Z33" i="1" s="1"/>
  <c r="AB5" i="1" a="1"/>
  <c r="AB5" i="1" s="1"/>
  <c r="AB291" i="1" a="1"/>
  <c r="AB291" i="1" s="1"/>
  <c r="AC253" i="1" a="1"/>
  <c r="AC253" i="1" s="1"/>
  <c r="AB181" i="1" a="1"/>
  <c r="AB181" i="1" s="1"/>
  <c r="AA78" i="1" a="1"/>
  <c r="AA78" i="1" s="1"/>
  <c r="Z22" i="1" a="1"/>
  <c r="Z22" i="1" s="1"/>
  <c r="AB18" i="1" a="1"/>
  <c r="AB18" i="1" s="1"/>
  <c r="AB12" i="1" a="1"/>
  <c r="AB12" i="1" s="1"/>
  <c r="AA4" i="1" a="1"/>
  <c r="AA4" i="1" s="1"/>
  <c r="AC596" i="1" a="1"/>
  <c r="AC596" i="1" s="1"/>
  <c r="AB583" i="1" a="1"/>
  <c r="AB583" i="1" s="1"/>
  <c r="AA409" i="1" a="1"/>
  <c r="AA409" i="1" s="1"/>
  <c r="AC199" i="1" a="1"/>
  <c r="AC199" i="1" s="1"/>
  <c r="AC104" i="1" a="1"/>
  <c r="AC104" i="1" s="1"/>
  <c r="AA38" i="1" a="1"/>
  <c r="AA38" i="1" s="1"/>
  <c r="AB32" i="1" a="1"/>
  <c r="AB32" i="1" s="1"/>
  <c r="AB17" i="1" a="1"/>
  <c r="AB17" i="1" s="1"/>
  <c r="AA517" i="1" a="1"/>
  <c r="AA517" i="1" s="1"/>
  <c r="AD429" i="1"/>
  <c r="AD405" i="1"/>
  <c r="AC186" i="1" a="1"/>
  <c r="AC186" i="1" s="1"/>
  <c r="AB28" i="1" a="1"/>
  <c r="AB28" i="1" s="1"/>
  <c r="Z11" i="1" a="1"/>
  <c r="Z11" i="1" s="1"/>
  <c r="AB3" i="1" a="1"/>
  <c r="AB3" i="1" s="1"/>
  <c r="Q756" i="1"/>
  <c r="AD939" i="1"/>
  <c r="AD937" i="1"/>
  <c r="AD925" i="1"/>
  <c r="AA942" i="1" a="1"/>
  <c r="AA942" i="1" s="1"/>
  <c r="AB939" i="1" a="1"/>
  <c r="AB939" i="1" s="1"/>
  <c r="Q939" i="1" s="1"/>
  <c r="AA937" i="1" a="1"/>
  <c r="AA937" i="1" s="1"/>
  <c r="AC903" i="1" a="1"/>
  <c r="AC903" i="1" s="1"/>
  <c r="Q903" i="1" s="1"/>
  <c r="AB901" i="1" a="1"/>
  <c r="AB901" i="1" s="1"/>
  <c r="AB894" i="1" a="1"/>
  <c r="AB894" i="1" s="1"/>
  <c r="AB864" i="1" a="1"/>
  <c r="AB864" i="1" s="1"/>
  <c r="Q864" i="1" s="1"/>
  <c r="AA841" i="1" a="1"/>
  <c r="AA841" i="1" s="1"/>
  <c r="AD829" i="1"/>
  <c r="AC806" i="1" a="1"/>
  <c r="AC806" i="1" s="1"/>
  <c r="AD795" i="1"/>
  <c r="AB784" i="1" a="1"/>
  <c r="AB784" i="1" s="1"/>
  <c r="AA771" i="1" a="1"/>
  <c r="AA771" i="1" s="1"/>
  <c r="AA768" i="1" a="1"/>
  <c r="AA768" i="1" s="1"/>
  <c r="AA707" i="1" a="1"/>
  <c r="AA707" i="1" s="1"/>
  <c r="AC699" i="1" a="1"/>
  <c r="AC699" i="1" s="1"/>
  <c r="AB696" i="1" a="1"/>
  <c r="AB696" i="1" s="1"/>
  <c r="AB673" i="1" a="1"/>
  <c r="AB673" i="1" s="1"/>
  <c r="AA657" i="1" a="1"/>
  <c r="AA657" i="1" s="1"/>
  <c r="AB589" i="1" a="1"/>
  <c r="AB589" i="1" s="1"/>
  <c r="AC564" i="1" a="1"/>
  <c r="AC564" i="1" s="1"/>
  <c r="AD519" i="1"/>
  <c r="AD504" i="1"/>
  <c r="AD479" i="1"/>
  <c r="AB455" i="1" a="1"/>
  <c r="AB455" i="1" s="1"/>
  <c r="AA455" i="1" a="1"/>
  <c r="AA455" i="1" s="1"/>
  <c r="AC428" i="1" a="1"/>
  <c r="AC428" i="1" s="1"/>
  <c r="AA396" i="1" a="1"/>
  <c r="AA396" i="1" s="1"/>
  <c r="AB396" i="1" a="1"/>
  <c r="AB396" i="1" s="1"/>
  <c r="AC396" i="1" a="1"/>
  <c r="AC396" i="1" s="1"/>
  <c r="AA371" i="1" a="1"/>
  <c r="AA371" i="1" s="1"/>
  <c r="AB371" i="1" a="1"/>
  <c r="AB371" i="1" s="1"/>
  <c r="AD371" i="1"/>
  <c r="AA64" i="1" a="1"/>
  <c r="AA64" i="1" s="1"/>
  <c r="Z64" i="1" a="1"/>
  <c r="Z64" i="1" s="1"/>
  <c r="AB64" i="1" a="1"/>
  <c r="AB64" i="1" s="1"/>
  <c r="AC64" i="1" a="1"/>
  <c r="AC64" i="1" s="1"/>
  <c r="AB428" i="1" a="1"/>
  <c r="AB428" i="1" s="1"/>
  <c r="AA417" i="1" a="1"/>
  <c r="AA417" i="1" s="1"/>
  <c r="AB417" i="1" a="1"/>
  <c r="AB417" i="1" s="1"/>
  <c r="AC360" i="1" a="1"/>
  <c r="AC360" i="1" s="1"/>
  <c r="AA360" i="1" a="1"/>
  <c r="AA360" i="1" s="1"/>
  <c r="AB360" i="1" a="1"/>
  <c r="AB360" i="1" s="1"/>
  <c r="AD360" i="1"/>
  <c r="AC267" i="1" a="1"/>
  <c r="AC267" i="1" s="1"/>
  <c r="AA267" i="1" a="1"/>
  <c r="AA267" i="1" s="1"/>
  <c r="AB267" i="1" a="1"/>
  <c r="AB267" i="1" s="1"/>
  <c r="AA211" i="1" a="1"/>
  <c r="AA211" i="1" s="1"/>
  <c r="AB211" i="1" a="1"/>
  <c r="AB211" i="1" s="1"/>
  <c r="AC211" i="1" a="1"/>
  <c r="AC211" i="1" s="1"/>
  <c r="AD211" i="1"/>
  <c r="AD730" i="1"/>
  <c r="AD617" i="1"/>
  <c r="AB617" i="1" a="1"/>
  <c r="AB617" i="1" s="1"/>
  <c r="AB486" i="1" a="1"/>
  <c r="AB486" i="1" s="1"/>
  <c r="AC486" i="1" a="1"/>
  <c r="AC486" i="1" s="1"/>
  <c r="AA333" i="1" a="1"/>
  <c r="AA333" i="1" s="1"/>
  <c r="AC333" i="1" a="1"/>
  <c r="AC333" i="1" s="1"/>
  <c r="AD333" i="1"/>
  <c r="AC437" i="1" a="1"/>
  <c r="AC437" i="1" s="1"/>
  <c r="AB437" i="1" a="1"/>
  <c r="AB437" i="1" s="1"/>
  <c r="AB730" i="1" a="1"/>
  <c r="AB730" i="1" s="1"/>
  <c r="Q730" i="1" s="1"/>
  <c r="AD645" i="1"/>
  <c r="AA645" i="1" a="1"/>
  <c r="AA645" i="1" s="1"/>
  <c r="AB526" i="1" a="1"/>
  <c r="AB526" i="1" s="1"/>
  <c r="AA526" i="1" a="1"/>
  <c r="AA526" i="1" s="1"/>
  <c r="AB504" i="1" a="1"/>
  <c r="AB504" i="1" s="1"/>
  <c r="AC504" i="1" a="1"/>
  <c r="AC504" i="1" s="1"/>
  <c r="AC457" i="1" a="1"/>
  <c r="AC457" i="1" s="1"/>
  <c r="AB457" i="1" a="1"/>
  <c r="AB457" i="1" s="1"/>
  <c r="AA424" i="1" a="1"/>
  <c r="AA424" i="1" s="1"/>
  <c r="AB424" i="1" a="1"/>
  <c r="AB424" i="1" s="1"/>
  <c r="AA341" i="1" a="1"/>
  <c r="AA341" i="1" s="1"/>
  <c r="AB328" i="1" a="1"/>
  <c r="AB328" i="1" s="1"/>
  <c r="AA328" i="1" a="1"/>
  <c r="AA328" i="1" s="1"/>
  <c r="AC328" i="1" a="1"/>
  <c r="AC328" i="1" s="1"/>
  <c r="AA251" i="1" a="1"/>
  <c r="AA251" i="1" s="1"/>
  <c r="AD251" i="1"/>
  <c r="AB251" i="1" a="1"/>
  <c r="AB251" i="1" s="1"/>
  <c r="AB61" i="1" a="1"/>
  <c r="AB61" i="1" s="1"/>
  <c r="AA61" i="1" a="1"/>
  <c r="AA61" i="1" s="1"/>
  <c r="AC61" i="1" a="1"/>
  <c r="AC61" i="1" s="1"/>
  <c r="AD61" i="1"/>
  <c r="AB258" i="1" a="1"/>
  <c r="AB258" i="1" s="1"/>
  <c r="AC258" i="1" a="1"/>
  <c r="AC258" i="1" s="1"/>
  <c r="AB775" i="1" a="1"/>
  <c r="AB775" i="1" s="1"/>
  <c r="Q775" i="1" s="1"/>
  <c r="AD695" i="1"/>
  <c r="AB938" i="1" a="1"/>
  <c r="AB938" i="1" s="1"/>
  <c r="Q938" i="1" s="1"/>
  <c r="AB936" i="1" a="1"/>
  <c r="AB936" i="1" s="1"/>
  <c r="AC932" i="1" a="1"/>
  <c r="AC932" i="1" s="1"/>
  <c r="AD902" i="1"/>
  <c r="AC900" i="1" a="1"/>
  <c r="AC900" i="1" s="1"/>
  <c r="AD863" i="1"/>
  <c r="AB845" i="1" a="1"/>
  <c r="AB845" i="1" s="1"/>
  <c r="AC835" i="1" a="1"/>
  <c r="AC835" i="1" s="1"/>
  <c r="AA817" i="1" a="1"/>
  <c r="AA817" i="1" s="1"/>
  <c r="AA808" i="1" a="1"/>
  <c r="AA808" i="1" s="1"/>
  <c r="AA805" i="1" a="1"/>
  <c r="AA805" i="1" s="1"/>
  <c r="Q805" i="1" s="1"/>
  <c r="AC802" i="1" a="1"/>
  <c r="AC802" i="1" s="1"/>
  <c r="AD780" i="1"/>
  <c r="AB736" i="1" a="1"/>
  <c r="AB736" i="1" s="1"/>
  <c r="Q736" i="1" s="1"/>
  <c r="AC722" i="1" a="1"/>
  <c r="AC722" i="1" s="1"/>
  <c r="AD709" i="1"/>
  <c r="AD678" i="1"/>
  <c r="AD672" i="1"/>
  <c r="AD666" i="1"/>
  <c r="AA664" i="1" a="1"/>
  <c r="AA664" i="1" s="1"/>
  <c r="AD658" i="1"/>
  <c r="AA638" i="1" a="1"/>
  <c r="AA638" i="1" s="1"/>
  <c r="AC635" i="1" a="1"/>
  <c r="AC635" i="1" s="1"/>
  <c r="AC628" i="1" a="1"/>
  <c r="AC628" i="1" s="1"/>
  <c r="AB618" i="1" a="1"/>
  <c r="AB618" i="1" s="1"/>
  <c r="AB594" i="1" a="1"/>
  <c r="AB594" i="1" s="1"/>
  <c r="AB588" i="1" a="1"/>
  <c r="AB588" i="1" s="1"/>
  <c r="AA570" i="1" a="1"/>
  <c r="AA570" i="1" s="1"/>
  <c r="AC567" i="1" a="1"/>
  <c r="AC567" i="1" s="1"/>
  <c r="AD567" i="1"/>
  <c r="AB535" i="1" a="1"/>
  <c r="AB535" i="1" s="1"/>
  <c r="AC492" i="1" a="1"/>
  <c r="AC492" i="1" s="1"/>
  <c r="AB489" i="1" a="1"/>
  <c r="AB489" i="1" s="1"/>
  <c r="AC489" i="1" a="1"/>
  <c r="AC489" i="1" s="1"/>
  <c r="AC468" i="1" a="1"/>
  <c r="AC468" i="1" s="1"/>
  <c r="AA468" i="1" a="1"/>
  <c r="AA468" i="1" s="1"/>
  <c r="AC459" i="1" a="1"/>
  <c r="AC459" i="1" s="1"/>
  <c r="AB450" i="1" a="1"/>
  <c r="AB450" i="1" s="1"/>
  <c r="AC450" i="1" a="1"/>
  <c r="AC450" i="1" s="1"/>
  <c r="AD393" i="1"/>
  <c r="AA391" i="1" a="1"/>
  <c r="AA391" i="1" s="1"/>
  <c r="AD391" i="1"/>
  <c r="AA383" i="1" a="1"/>
  <c r="AA383" i="1" s="1"/>
  <c r="AB383" i="1" a="1"/>
  <c r="AB383" i="1" s="1"/>
  <c r="AD383" i="1"/>
  <c r="AA239" i="1" a="1"/>
  <c r="AA239" i="1" s="1"/>
  <c r="AB239" i="1" a="1"/>
  <c r="AB239" i="1" s="1"/>
  <c r="AC239" i="1" a="1"/>
  <c r="AC239" i="1" s="1"/>
  <c r="AD239" i="1"/>
  <c r="AB399" i="1" a="1"/>
  <c r="AB399" i="1" s="1"/>
  <c r="AA399" i="1" a="1"/>
  <c r="AA399" i="1" s="1"/>
  <c r="AC399" i="1" a="1"/>
  <c r="AC399" i="1" s="1"/>
  <c r="AD943" i="1"/>
  <c r="AA938" i="1" a="1"/>
  <c r="AA938" i="1" s="1"/>
  <c r="AB932" i="1" a="1"/>
  <c r="AB932" i="1" s="1"/>
  <c r="AB902" i="1" a="1"/>
  <c r="AB902" i="1" s="1"/>
  <c r="AA900" i="1" a="1"/>
  <c r="AA900" i="1" s="1"/>
  <c r="AA888" i="1" a="1"/>
  <c r="AA888" i="1" s="1"/>
  <c r="AC869" i="1" a="1"/>
  <c r="AC869" i="1" s="1"/>
  <c r="Q869" i="1" s="1"/>
  <c r="AD865" i="1"/>
  <c r="AC863" i="1" a="1"/>
  <c r="AC863" i="1" s="1"/>
  <c r="Q863" i="1" s="1"/>
  <c r="AB858" i="1" a="1"/>
  <c r="AB858" i="1" s="1"/>
  <c r="AC851" i="1" a="1"/>
  <c r="AC851" i="1" s="1"/>
  <c r="AC847" i="1" a="1"/>
  <c r="AC847" i="1" s="1"/>
  <c r="AA845" i="1" a="1"/>
  <c r="AA845" i="1" s="1"/>
  <c r="AB835" i="1" a="1"/>
  <c r="AB835" i="1" s="1"/>
  <c r="AD822" i="1"/>
  <c r="AB802" i="1" a="1"/>
  <c r="AB802" i="1" s="1"/>
  <c r="AC799" i="1" a="1"/>
  <c r="AC799" i="1" s="1"/>
  <c r="AC763" i="1" a="1"/>
  <c r="AC763" i="1" s="1"/>
  <c r="Q763" i="1" s="1"/>
  <c r="AA747" i="1" a="1"/>
  <c r="AA747" i="1" s="1"/>
  <c r="AA709" i="1" a="1"/>
  <c r="AA709" i="1" s="1"/>
  <c r="AB695" i="1" a="1"/>
  <c r="AB695" i="1" s="1"/>
  <c r="AD688" i="1"/>
  <c r="AB686" i="1" a="1"/>
  <c r="AB686" i="1" s="1"/>
  <c r="AC681" i="1" a="1"/>
  <c r="AC681" i="1" s="1"/>
  <c r="AD674" i="1"/>
  <c r="AC672" i="1" a="1"/>
  <c r="AC672" i="1" s="1"/>
  <c r="AC649" i="1" a="1"/>
  <c r="AC649" i="1" s="1"/>
  <c r="AB641" i="1" a="1"/>
  <c r="AB641" i="1" s="1"/>
  <c r="AB635" i="1" a="1"/>
  <c r="AB635" i="1" s="1"/>
  <c r="AA628" i="1" a="1"/>
  <c r="AA628" i="1" s="1"/>
  <c r="AA621" i="1" a="1"/>
  <c r="AA621" i="1" s="1"/>
  <c r="AA618" i="1" a="1"/>
  <c r="AA618" i="1" s="1"/>
  <c r="AA594" i="1" a="1"/>
  <c r="AA594" i="1" s="1"/>
  <c r="AB492" i="1" a="1"/>
  <c r="AB492" i="1" s="1"/>
  <c r="AB427" i="1" a="1"/>
  <c r="AB427" i="1" s="1"/>
  <c r="AA427" i="1" a="1"/>
  <c r="AA427" i="1" s="1"/>
  <c r="AC269" i="1" a="1"/>
  <c r="AC269" i="1" s="1"/>
  <c r="AD269" i="1"/>
  <c r="AB185" i="1" a="1"/>
  <c r="AB185" i="1" s="1"/>
  <c r="AA185" i="1" a="1"/>
  <c r="AA185" i="1" s="1"/>
  <c r="AA177" i="1" a="1"/>
  <c r="AA177" i="1" s="1"/>
  <c r="AB177" i="1" a="1"/>
  <c r="AB177" i="1" s="1"/>
  <c r="AC177" i="1" a="1"/>
  <c r="AC177" i="1" s="1"/>
  <c r="AD177" i="1"/>
  <c r="AD112" i="1"/>
  <c r="AB112" i="1" a="1"/>
  <c r="AB112" i="1" s="1"/>
  <c r="AB100" i="1" a="1"/>
  <c r="AB100" i="1" s="1"/>
  <c r="AC100" i="1" a="1"/>
  <c r="AC100" i="1" s="1"/>
  <c r="AD100" i="1"/>
  <c r="AA34" i="1" a="1"/>
  <c r="AA34" i="1" s="1"/>
  <c r="AD34" i="1"/>
  <c r="AA530" i="1" a="1"/>
  <c r="AA530" i="1" s="1"/>
  <c r="AC530" i="1" a="1"/>
  <c r="AC530" i="1" s="1"/>
  <c r="AA380" i="1" a="1"/>
  <c r="AA380" i="1" s="1"/>
  <c r="AB380" i="1" a="1"/>
  <c r="AB380" i="1" s="1"/>
  <c r="AD235" i="1"/>
  <c r="AC235" i="1" a="1"/>
  <c r="AC235" i="1" s="1"/>
  <c r="AD799" i="1"/>
  <c r="AA902" i="1" a="1"/>
  <c r="AA902" i="1" s="1"/>
  <c r="AA869" i="1" a="1"/>
  <c r="AA869" i="1" s="1"/>
  <c r="AA865" i="1" a="1"/>
  <c r="AA865" i="1" s="1"/>
  <c r="AB863" i="1" a="1"/>
  <c r="AB863" i="1" s="1"/>
  <c r="AD859" i="1"/>
  <c r="AA851" i="1" a="1"/>
  <c r="AA851" i="1" s="1"/>
  <c r="AD841" i="1"/>
  <c r="AA835" i="1" a="1"/>
  <c r="AA835" i="1" s="1"/>
  <c r="Q835" i="1" s="1"/>
  <c r="AC822" i="1" a="1"/>
  <c r="AC822" i="1" s="1"/>
  <c r="AD793" i="1"/>
  <c r="AD787" i="1"/>
  <c r="AA782" i="1" a="1"/>
  <c r="AA782" i="1" s="1"/>
  <c r="AB780" i="1" a="1"/>
  <c r="AB780" i="1" s="1"/>
  <c r="AD769" i="1"/>
  <c r="AD753" i="1"/>
  <c r="AD715" i="1"/>
  <c r="AC688" i="1" a="1"/>
  <c r="AC688" i="1" s="1"/>
  <c r="AC674" i="1" a="1"/>
  <c r="AC674" i="1" s="1"/>
  <c r="AA672" i="1" a="1"/>
  <c r="AA672" i="1" s="1"/>
  <c r="AD660" i="1"/>
  <c r="AA649" i="1" a="1"/>
  <c r="AA649" i="1" s="1"/>
  <c r="AA492" i="1" a="1"/>
  <c r="AA492" i="1" s="1"/>
  <c r="AC485" i="1" a="1"/>
  <c r="AC485" i="1" s="1"/>
  <c r="AB485" i="1" a="1"/>
  <c r="AB485" i="1" s="1"/>
  <c r="AC422" i="1" a="1"/>
  <c r="AC422" i="1" s="1"/>
  <c r="AC401" i="1" a="1"/>
  <c r="AC401" i="1" s="1"/>
  <c r="AD401" i="1"/>
  <c r="AD390" i="1"/>
  <c r="AB390" i="1" a="1"/>
  <c r="AB390" i="1" s="1"/>
  <c r="AC390" i="1" a="1"/>
  <c r="AC390" i="1" s="1"/>
  <c r="AC362" i="1" a="1"/>
  <c r="AC362" i="1" s="1"/>
  <c r="AB362" i="1" a="1"/>
  <c r="AB362" i="1" s="1"/>
  <c r="AD362" i="1"/>
  <c r="AC323" i="1" a="1"/>
  <c r="AC323" i="1" s="1"/>
  <c r="AA323" i="1" a="1"/>
  <c r="AA323" i="1" s="1"/>
  <c r="AA313" i="1" a="1"/>
  <c r="AA313" i="1" s="1"/>
  <c r="AC23" i="1" a="1"/>
  <c r="AC23" i="1" s="1"/>
  <c r="AB23" i="1" a="1"/>
  <c r="AB23" i="1" s="1"/>
  <c r="Z6" i="1" a="1"/>
  <c r="Z6" i="1" s="1"/>
  <c r="AD6" i="1"/>
  <c r="AD928" i="1"/>
  <c r="AD816" i="1"/>
  <c r="AC787" i="1" a="1"/>
  <c r="AC787" i="1" s="1"/>
  <c r="AA674" i="1" a="1"/>
  <c r="AA674" i="1" s="1"/>
  <c r="AC663" i="1" a="1"/>
  <c r="AC663" i="1" s="1"/>
  <c r="AA660" i="1" a="1"/>
  <c r="AA660" i="1" s="1"/>
  <c r="AD657" i="1"/>
  <c r="AD643" i="1"/>
  <c r="AD573" i="1"/>
  <c r="AC498" i="1" a="1"/>
  <c r="AC498" i="1" s="1"/>
  <c r="AB488" i="1" a="1"/>
  <c r="AB488" i="1" s="1"/>
  <c r="AC488" i="1" a="1"/>
  <c r="AC488" i="1" s="1"/>
  <c r="AA478" i="1" a="1"/>
  <c r="AA478" i="1" s="1"/>
  <c r="AB478" i="1" a="1"/>
  <c r="AB478" i="1" s="1"/>
  <c r="AD474" i="1"/>
  <c r="AB456" i="1" a="1"/>
  <c r="AB456" i="1" s="1"/>
  <c r="AD456" i="1"/>
  <c r="AA404" i="1" a="1"/>
  <c r="AA404" i="1" s="1"/>
  <c r="AC404" i="1" a="1"/>
  <c r="AC404" i="1" s="1"/>
  <c r="AD400" i="1"/>
  <c r="AD353" i="1"/>
  <c r="AA327" i="1" a="1"/>
  <c r="AA327" i="1" s="1"/>
  <c r="AC327" i="1" a="1"/>
  <c r="AC327" i="1" s="1"/>
  <c r="AD327" i="1"/>
  <c r="AA302" i="1" a="1"/>
  <c r="AA302" i="1" s="1"/>
  <c r="AB302" i="1" a="1"/>
  <c r="AB302" i="1" s="1"/>
  <c r="AD302" i="1"/>
  <c r="AC871" i="1" a="1"/>
  <c r="AC871" i="1" s="1"/>
  <c r="AD846" i="1"/>
  <c r="AD844" i="1"/>
  <c r="AB819" i="1" a="1"/>
  <c r="AB819" i="1" s="1"/>
  <c r="AD771" i="1"/>
  <c r="AB688" i="1" a="1"/>
  <c r="AB688" i="1" s="1"/>
  <c r="AB663" i="1" a="1"/>
  <c r="AB663" i="1" s="1"/>
  <c r="AC657" i="1" a="1"/>
  <c r="AC657" i="1" s="1"/>
  <c r="AC643" i="1" a="1"/>
  <c r="AC643" i="1" s="1"/>
  <c r="AB498" i="1" a="1"/>
  <c r="AB498" i="1" s="1"/>
  <c r="AD477" i="1"/>
  <c r="AC474" i="1" a="1"/>
  <c r="AC474" i="1" s="1"/>
  <c r="AC455" i="1" a="1"/>
  <c r="AC455" i="1" s="1"/>
  <c r="AC445" i="1" a="1"/>
  <c r="AC445" i="1" s="1"/>
  <c r="AD434" i="1"/>
  <c r="AD417" i="1"/>
  <c r="AB400" i="1" a="1"/>
  <c r="AB400" i="1" s="1"/>
  <c r="AB386" i="1" a="1"/>
  <c r="AB386" i="1" s="1"/>
  <c r="AC386" i="1" a="1"/>
  <c r="AC386" i="1" s="1"/>
  <c r="AD386" i="1"/>
  <c r="AB365" i="1" a="1"/>
  <c r="AB365" i="1" s="1"/>
  <c r="AC365" i="1" a="1"/>
  <c r="AC365" i="1" s="1"/>
  <c r="AC353" i="1" a="1"/>
  <c r="AC353" i="1" s="1"/>
  <c r="AC335" i="1" a="1"/>
  <c r="AC335" i="1" s="1"/>
  <c r="AA335" i="1" a="1"/>
  <c r="AA335" i="1" s="1"/>
  <c r="AD335" i="1"/>
  <c r="AA322" i="1" a="1"/>
  <c r="AA322" i="1" s="1"/>
  <c r="AB322" i="1" a="1"/>
  <c r="AB322" i="1" s="1"/>
  <c r="AA121" i="1" a="1"/>
  <c r="AA121" i="1" s="1"/>
  <c r="AC121" i="1" a="1"/>
  <c r="AC121" i="1" s="1"/>
  <c r="AD121" i="1"/>
  <c r="AD901" i="1"/>
  <c r="AC887" i="1" a="1"/>
  <c r="AC887" i="1" s="1"/>
  <c r="AB871" i="1" a="1"/>
  <c r="AB871" i="1" s="1"/>
  <c r="AD864" i="1"/>
  <c r="AD862" i="1"/>
  <c r="AB859" i="1" a="1"/>
  <c r="AB859" i="1" s="1"/>
  <c r="AA844" i="1" a="1"/>
  <c r="AA844" i="1" s="1"/>
  <c r="AC834" i="1" a="1"/>
  <c r="AC834" i="1" s="1"/>
  <c r="AA819" i="1" a="1"/>
  <c r="AA819" i="1" s="1"/>
  <c r="AA816" i="1" a="1"/>
  <c r="AA816" i="1" s="1"/>
  <c r="AA810" i="1" a="1"/>
  <c r="AA810" i="1" s="1"/>
  <c r="AB787" i="1" a="1"/>
  <c r="AB787" i="1" s="1"/>
  <c r="AD784" i="1"/>
  <c r="AD781" i="1"/>
  <c r="AA774" i="1" a="1"/>
  <c r="AA774" i="1" s="1"/>
  <c r="AB765" i="1" a="1"/>
  <c r="AB765" i="1" s="1"/>
  <c r="AA752" i="1" a="1"/>
  <c r="AA752" i="1" s="1"/>
  <c r="AD696" i="1"/>
  <c r="AC676" i="1" a="1"/>
  <c r="AC676" i="1" s="1"/>
  <c r="AB671" i="1" a="1"/>
  <c r="AB671" i="1" s="1"/>
  <c r="AC668" i="1" a="1"/>
  <c r="AC668" i="1" s="1"/>
  <c r="AA663" i="1" a="1"/>
  <c r="AA663" i="1" s="1"/>
  <c r="AB643" i="1" a="1"/>
  <c r="AB643" i="1" s="1"/>
  <c r="AB634" i="1" a="1"/>
  <c r="AB634" i="1" s="1"/>
  <c r="AB627" i="1" a="1"/>
  <c r="AB627" i="1" s="1"/>
  <c r="AB603" i="1" a="1"/>
  <c r="AB603" i="1" s="1"/>
  <c r="AB573" i="1" a="1"/>
  <c r="AB573" i="1" s="1"/>
  <c r="AC541" i="1" a="1"/>
  <c r="AC541" i="1" s="1"/>
  <c r="AC502" i="1" a="1"/>
  <c r="AC502" i="1" s="1"/>
  <c r="AB502" i="1" a="1"/>
  <c r="AB502" i="1" s="1"/>
  <c r="AC477" i="1" a="1"/>
  <c r="AC477" i="1" s="1"/>
  <c r="AA474" i="1" a="1"/>
  <c r="AA474" i="1" s="1"/>
  <c r="AD465" i="1"/>
  <c r="AB448" i="1" a="1"/>
  <c r="AB448" i="1" s="1"/>
  <c r="AB445" i="1" a="1"/>
  <c r="AB445" i="1" s="1"/>
  <c r="AA422" i="1" a="1"/>
  <c r="AA422" i="1" s="1"/>
  <c r="AD422" i="1"/>
  <c r="AC417" i="1" a="1"/>
  <c r="AC417" i="1" s="1"/>
  <c r="AC393" i="1" a="1"/>
  <c r="AC393" i="1" s="1"/>
  <c r="AA393" i="1" a="1"/>
  <c r="AA393" i="1" s="1"/>
  <c r="AA357" i="1" a="1"/>
  <c r="AA357" i="1" s="1"/>
  <c r="AB357" i="1" a="1"/>
  <c r="AB357" i="1" s="1"/>
  <c r="AD357" i="1"/>
  <c r="AB353" i="1" a="1"/>
  <c r="AB353" i="1" s="1"/>
  <c r="AD267" i="1"/>
  <c r="AC859" i="1" a="1"/>
  <c r="AC859" i="1" s="1"/>
  <c r="AD819" i="1"/>
  <c r="AD810" i="1"/>
  <c r="AC928" i="1" a="1"/>
  <c r="AC928" i="1" s="1"/>
  <c r="AD942" i="1"/>
  <c r="AC937" i="1" a="1"/>
  <c r="AC937" i="1" s="1"/>
  <c r="AB928" i="1" a="1"/>
  <c r="AB928" i="1" s="1"/>
  <c r="AC942" i="1" a="1"/>
  <c r="AC942" i="1" s="1"/>
  <c r="AC925" i="1" a="1"/>
  <c r="AC925" i="1" s="1"/>
  <c r="AA887" i="1" a="1"/>
  <c r="AA887" i="1" s="1"/>
  <c r="AA871" i="1" a="1"/>
  <c r="AA871" i="1" s="1"/>
  <c r="AA862" i="1" a="1"/>
  <c r="AA862" i="1" s="1"/>
  <c r="AA846" i="1" a="1"/>
  <c r="AA846" i="1" s="1"/>
  <c r="AB837" i="1" a="1"/>
  <c r="AB837" i="1" s="1"/>
  <c r="AD792" i="1"/>
  <c r="AC784" i="1" a="1"/>
  <c r="AC784" i="1" s="1"/>
  <c r="AB771" i="1" a="1"/>
  <c r="AB771" i="1" s="1"/>
  <c r="AA765" i="1" a="1"/>
  <c r="AA765" i="1" s="1"/>
  <c r="AC742" i="1" a="1"/>
  <c r="AC742" i="1" s="1"/>
  <c r="AB707" i="1" a="1"/>
  <c r="AB707" i="1" s="1"/>
  <c r="AB676" i="1" a="1"/>
  <c r="AB676" i="1" s="1"/>
  <c r="AD673" i="1"/>
  <c r="AB668" i="1" a="1"/>
  <c r="AB668" i="1" s="1"/>
  <c r="AA630" i="1" a="1"/>
  <c r="AA630" i="1" s="1"/>
  <c r="AA627" i="1" a="1"/>
  <c r="AA627" i="1" s="1"/>
  <c r="AB622" i="1" a="1"/>
  <c r="AB622" i="1" s="1"/>
  <c r="AA617" i="1" a="1"/>
  <c r="AA617" i="1" s="1"/>
  <c r="AD607" i="1"/>
  <c r="AA603" i="1" a="1"/>
  <c r="AA603" i="1" s="1"/>
  <c r="AD589" i="1"/>
  <c r="AA573" i="1" a="1"/>
  <c r="AA573" i="1" s="1"/>
  <c r="AA548" i="1" a="1"/>
  <c r="AA548" i="1" s="1"/>
  <c r="AD548" i="1"/>
  <c r="AC509" i="1" a="1"/>
  <c r="AC509" i="1" s="1"/>
  <c r="AB509" i="1" a="1"/>
  <c r="AB509" i="1" s="1"/>
  <c r="AD486" i="1"/>
  <c r="AA480" i="1" a="1"/>
  <c r="AA480" i="1" s="1"/>
  <c r="AB480" i="1" a="1"/>
  <c r="AB480" i="1" s="1"/>
  <c r="AA477" i="1" a="1"/>
  <c r="AA477" i="1" s="1"/>
  <c r="AC465" i="1" a="1"/>
  <c r="AC465" i="1" s="1"/>
  <c r="AA432" i="1" a="1"/>
  <c r="AA432" i="1" s="1"/>
  <c r="AD432" i="1"/>
  <c r="AC414" i="1" a="1"/>
  <c r="AC414" i="1" s="1"/>
  <c r="AD414" i="1"/>
  <c r="AC334" i="1" a="1"/>
  <c r="AC334" i="1" s="1"/>
  <c r="AD334" i="1"/>
  <c r="AD321" i="1"/>
  <c r="AC321" i="1" a="1"/>
  <c r="AC321" i="1" s="1"/>
  <c r="AD208" i="1"/>
  <c r="AA208" i="1" a="1"/>
  <c r="AA208" i="1" s="1"/>
  <c r="AD171" i="1"/>
  <c r="AA171" i="1" a="1"/>
  <c r="AA171" i="1" s="1"/>
  <c r="AB171" i="1" a="1"/>
  <c r="AB171" i="1" s="1"/>
  <c r="AC92" i="1" a="1"/>
  <c r="AC92" i="1" s="1"/>
  <c r="Z92" i="1" a="1"/>
  <c r="Z92" i="1" s="1"/>
  <c r="AA92" i="1" a="1"/>
  <c r="AA92" i="1" s="1"/>
  <c r="AB92" i="1" a="1"/>
  <c r="AB92" i="1" s="1"/>
  <c r="AD92" i="1"/>
  <c r="AA37" i="1" a="1"/>
  <c r="AA37" i="1" s="1"/>
  <c r="AC37" i="1" a="1"/>
  <c r="AC37" i="1" s="1"/>
  <c r="AC207" i="1" a="1"/>
  <c r="AC207" i="1" s="1"/>
  <c r="AC193" i="1" a="1"/>
  <c r="AC193" i="1" s="1"/>
  <c r="AC12" i="1" a="1"/>
  <c r="AC12" i="1" s="1"/>
  <c r="Z10" i="1" a="1"/>
  <c r="Z10" i="1" s="1"/>
  <c r="Z5" i="1" a="1"/>
  <c r="Z5" i="1" s="1"/>
  <c r="AA297" i="1" a="1"/>
  <c r="AA297" i="1" s="1"/>
  <c r="AB275" i="1" a="1"/>
  <c r="AB275" i="1" s="1"/>
  <c r="AA257" i="1" a="1"/>
  <c r="AA257" i="1" s="1"/>
  <c r="AA193" i="1" a="1"/>
  <c r="AA193" i="1" s="1"/>
  <c r="AA170" i="1" a="1"/>
  <c r="AA170" i="1" s="1"/>
  <c r="AD59" i="1"/>
  <c r="AD53" i="1"/>
  <c r="AA12" i="1" a="1"/>
  <c r="AA12" i="1" s="1"/>
  <c r="AB364" i="1" a="1"/>
  <c r="AB364" i="1" s="1"/>
  <c r="AC337" i="1" a="1"/>
  <c r="AC337" i="1" s="1"/>
  <c r="AD310" i="1"/>
  <c r="AA278" i="1" a="1"/>
  <c r="AA278" i="1" s="1"/>
  <c r="AD216" i="1"/>
  <c r="AA210" i="1" a="1"/>
  <c r="AA210" i="1" s="1"/>
  <c r="AD189" i="1"/>
  <c r="AB186" i="1" a="1"/>
  <c r="AB186" i="1" s="1"/>
  <c r="AD183" i="1"/>
  <c r="AA144" i="1" a="1"/>
  <c r="AA144" i="1" s="1"/>
  <c r="AB103" i="1" a="1"/>
  <c r="AB103" i="1" s="1"/>
  <c r="AD94" i="1"/>
  <c r="Z85" i="1" a="1"/>
  <c r="Z85" i="1" s="1"/>
  <c r="AC78" i="1" a="1"/>
  <c r="AC78" i="1" s="1"/>
  <c r="AB70" i="1" a="1"/>
  <c r="AB70" i="1" s="1"/>
  <c r="Z67" i="1" a="1"/>
  <c r="Z67" i="1" s="1"/>
  <c r="AD62" i="1"/>
  <c r="AC59" i="1" a="1"/>
  <c r="AC59" i="1" s="1"/>
  <c r="AC53" i="1" a="1"/>
  <c r="AC53" i="1" s="1"/>
  <c r="Z41" i="1" a="1"/>
  <c r="Z41" i="1" s="1"/>
  <c r="AD32" i="1"/>
  <c r="AC14" i="1" a="1"/>
  <c r="AC14" i="1" s="1"/>
  <c r="Z12" i="1" a="1"/>
  <c r="Z12" i="1" s="1"/>
  <c r="AD4" i="1"/>
  <c r="AD202" i="1"/>
  <c r="AD172" i="1"/>
  <c r="AC128" i="1" a="1"/>
  <c r="AC128" i="1" s="1"/>
  <c r="AC62" i="1" a="1"/>
  <c r="AC62" i="1" s="1"/>
  <c r="AB59" i="1" a="1"/>
  <c r="AB59" i="1" s="1"/>
  <c r="AB53" i="1" a="1"/>
  <c r="AB53" i="1" s="1"/>
  <c r="AD35" i="1"/>
  <c r="AC25" i="1" a="1"/>
  <c r="AC25" i="1" s="1"/>
  <c r="AD17" i="1"/>
  <c r="AC223" i="1" a="1"/>
  <c r="AC223" i="1" s="1"/>
  <c r="AC219" i="1" a="1"/>
  <c r="AC219" i="1" s="1"/>
  <c r="AC198" i="1" a="1"/>
  <c r="AC198" i="1" s="1"/>
  <c r="AC172" i="1" a="1"/>
  <c r="AC172" i="1" s="1"/>
  <c r="AB128" i="1" a="1"/>
  <c r="AB128" i="1" s="1"/>
  <c r="AB62" i="1" a="1"/>
  <c r="AB62" i="1" s="1"/>
  <c r="AA59" i="1" a="1"/>
  <c r="AA59" i="1" s="1"/>
  <c r="AA53" i="1" a="1"/>
  <c r="AA53" i="1" s="1"/>
  <c r="AD47" i="1"/>
  <c r="AC35" i="1" a="1"/>
  <c r="AC35" i="1" s="1"/>
  <c r="AB25" i="1" a="1"/>
  <c r="AB25" i="1" s="1"/>
  <c r="AC17" i="1" a="1"/>
  <c r="AC17" i="1" s="1"/>
  <c r="AD11" i="1"/>
  <c r="AD7" i="1"/>
  <c r="AC4" i="1" a="1"/>
  <c r="AC4" i="1" s="1"/>
  <c r="AB202" i="1" a="1"/>
  <c r="AB202" i="1" s="1"/>
  <c r="AB175" i="1" a="1"/>
  <c r="AB175" i="1" s="1"/>
  <c r="AB172" i="1" a="1"/>
  <c r="AB172" i="1" s="1"/>
  <c r="AC153" i="1" a="1"/>
  <c r="AC153" i="1" s="1"/>
  <c r="AA128" i="1" a="1"/>
  <c r="AA128" i="1" s="1"/>
  <c r="AD77" i="1"/>
  <c r="AD73" i="1"/>
  <c r="AD65" i="1"/>
  <c r="AA62" i="1" a="1"/>
  <c r="AA62" i="1" s="1"/>
  <c r="AD55" i="1"/>
  <c r="AC47" i="1" a="1"/>
  <c r="AC47" i="1" s="1"/>
  <c r="AA35" i="1" a="1"/>
  <c r="AA35" i="1" s="1"/>
  <c r="AD31" i="1"/>
  <c r="AA25" i="1" a="1"/>
  <c r="AA25" i="1" s="1"/>
  <c r="AA17" i="1" a="1"/>
  <c r="AA17" i="1" s="1"/>
  <c r="AD13" i="1"/>
  <c r="AC11" i="1" a="1"/>
  <c r="AC11" i="1" s="1"/>
  <c r="AC7" i="1" a="1"/>
  <c r="AC7" i="1" s="1"/>
  <c r="AB4" i="1" a="1"/>
  <c r="AB4" i="1" s="1"/>
  <c r="AD277" i="1"/>
  <c r="AD194" i="1"/>
  <c r="AB168" i="1" a="1"/>
  <c r="AB168" i="1" s="1"/>
  <c r="AB153" i="1" a="1"/>
  <c r="AB153" i="1" s="1"/>
  <c r="AD143" i="1"/>
  <c r="AA134" i="1" a="1"/>
  <c r="AA134" i="1" s="1"/>
  <c r="AB80" i="1" a="1"/>
  <c r="AB80" i="1" s="1"/>
  <c r="AC77" i="1" a="1"/>
  <c r="AC77" i="1" s="1"/>
  <c r="AC73" i="1" a="1"/>
  <c r="AC73" i="1" s="1"/>
  <c r="AB65" i="1" a="1"/>
  <c r="AB65" i="1" s="1"/>
  <c r="AB55" i="1" a="1"/>
  <c r="AB55" i="1" s="1"/>
  <c r="AB47" i="1" a="1"/>
  <c r="AB47" i="1" s="1"/>
  <c r="AC38" i="1" a="1"/>
  <c r="AC38" i="1" s="1"/>
  <c r="Z35" i="1" a="1"/>
  <c r="Z35" i="1" s="1"/>
  <c r="AC31" i="1" a="1"/>
  <c r="AC31" i="1" s="1"/>
  <c r="Z25" i="1" a="1"/>
  <c r="Z25" i="1" s="1"/>
  <c r="AA20" i="1" a="1"/>
  <c r="AA20" i="1" s="1"/>
  <c r="Z17" i="1" a="1"/>
  <c r="Z17" i="1" s="1"/>
  <c r="AC13" i="1" a="1"/>
  <c r="AC13" i="1" s="1"/>
  <c r="AB11" i="1" a="1"/>
  <c r="AB11" i="1" s="1"/>
  <c r="AB7" i="1" a="1"/>
  <c r="AB7" i="1" s="1"/>
  <c r="Z4" i="1" a="1"/>
  <c r="Z4" i="1" s="1"/>
  <c r="AB499" i="1" a="1"/>
  <c r="AB499" i="1" s="1"/>
  <c r="AA342" i="1" a="1"/>
  <c r="AA342" i="1" s="1"/>
  <c r="AC316" i="1" a="1"/>
  <c r="AC316" i="1" s="1"/>
  <c r="AC305" i="1" a="1"/>
  <c r="AC305" i="1" s="1"/>
  <c r="AD264" i="1"/>
  <c r="AD257" i="1"/>
  <c r="AB194" i="1" a="1"/>
  <c r="AB194" i="1" s="1"/>
  <c r="AB180" i="1" a="1"/>
  <c r="AB180" i="1" s="1"/>
  <c r="AC165" i="1" a="1"/>
  <c r="AC165" i="1" s="1"/>
  <c r="AB143" i="1" a="1"/>
  <c r="AB143" i="1" s="1"/>
  <c r="AD127" i="1"/>
  <c r="AC109" i="1" a="1"/>
  <c r="AC109" i="1" s="1"/>
  <c r="AC107" i="1" a="1"/>
  <c r="AC107" i="1" s="1"/>
  <c r="Z77" i="1" a="1"/>
  <c r="Z77" i="1" s="1"/>
  <c r="Z73" i="1" a="1"/>
  <c r="Z73" i="1" s="1"/>
  <c r="AA68" i="1" a="1"/>
  <c r="AA68" i="1" s="1"/>
  <c r="AD58" i="1"/>
  <c r="Z55" i="1" a="1"/>
  <c r="Z55" i="1" s="1"/>
  <c r="AD52" i="1"/>
  <c r="Z38" i="1" a="1"/>
  <c r="Z38" i="1" s="1"/>
  <c r="AA28" i="1" a="1"/>
  <c r="AA28" i="1" s="1"/>
  <c r="AD24" i="1"/>
  <c r="AD16" i="1"/>
  <c r="AA13" i="1" a="1"/>
  <c r="AA13" i="1" s="1"/>
  <c r="AA3" i="1" a="1"/>
  <c r="AA3" i="1" s="1"/>
  <c r="AD347" i="1"/>
  <c r="AD292" i="1"/>
  <c r="AC289" i="1" a="1"/>
  <c r="AC289" i="1" s="1"/>
  <c r="AB228" i="1" a="1"/>
  <c r="AB228" i="1" s="1"/>
  <c r="AB165" i="1" a="1"/>
  <c r="AB165" i="1" s="1"/>
  <c r="AB107" i="1" a="1"/>
  <c r="AB107" i="1" s="1"/>
  <c r="AC347" i="1" a="1"/>
  <c r="AC347" i="1" s="1"/>
  <c r="AD311" i="1"/>
  <c r="AC292" i="1" a="1"/>
  <c r="AC292" i="1" s="1"/>
  <c r="AB289" i="1" a="1"/>
  <c r="AB289" i="1" s="1"/>
  <c r="AC260" i="1" a="1"/>
  <c r="AC260" i="1" s="1"/>
  <c r="AB190" i="1" a="1"/>
  <c r="AB190" i="1" s="1"/>
  <c r="AD182" i="1"/>
  <c r="AA180" i="1" a="1"/>
  <c r="AA180" i="1" s="1"/>
  <c r="AB127" i="1" a="1"/>
  <c r="AB127" i="1" s="1"/>
  <c r="AD95" i="1"/>
  <c r="AB79" i="1" a="1"/>
  <c r="AB79" i="1" s="1"/>
  <c r="AB76" i="1" a="1"/>
  <c r="AB76" i="1" s="1"/>
  <c r="AD54" i="1"/>
  <c r="AD46" i="1"/>
  <c r="AC891" i="1" a="1"/>
  <c r="AC891" i="1" s="1"/>
  <c r="AA891" i="1" a="1"/>
  <c r="AA891" i="1" s="1"/>
  <c r="Q891" i="1" s="1"/>
  <c r="AB891" i="1" a="1"/>
  <c r="AB891" i="1" s="1"/>
  <c r="AC866" i="1" a="1"/>
  <c r="AC866" i="1" s="1"/>
  <c r="AB866" i="1" a="1"/>
  <c r="AB866" i="1" s="1"/>
  <c r="AD866" i="1"/>
  <c r="AA912" i="1" a="1"/>
  <c r="AA912" i="1" s="1"/>
  <c r="AD912" i="1"/>
  <c r="AC884" i="1" a="1"/>
  <c r="AC884" i="1" s="1"/>
  <c r="AA884" i="1" a="1"/>
  <c r="AA884" i="1" s="1"/>
  <c r="AB884" i="1" a="1"/>
  <c r="AB884" i="1" s="1"/>
  <c r="AD884" i="1"/>
  <c r="AA870" i="1" a="1"/>
  <c r="AA870" i="1" s="1"/>
  <c r="AB870" i="1" a="1"/>
  <c r="AB870" i="1" s="1"/>
  <c r="Q870" i="1" s="1"/>
  <c r="AD870" i="1"/>
  <c r="AB758" i="1" a="1"/>
  <c r="AB758" i="1" s="1"/>
  <c r="AA758" i="1" a="1"/>
  <c r="AA758" i="1" s="1"/>
  <c r="AC758" i="1" a="1"/>
  <c r="AC758" i="1" s="1"/>
  <c r="AC642" i="1" a="1"/>
  <c r="AC642" i="1" s="1"/>
  <c r="AD642" i="1"/>
  <c r="AD549" i="1"/>
  <c r="AA549" i="1" a="1"/>
  <c r="AA549" i="1" s="1"/>
  <c r="AC883" i="1" a="1"/>
  <c r="AC883" i="1" s="1"/>
  <c r="AD883" i="1"/>
  <c r="AA883" i="1" a="1"/>
  <c r="AA883" i="1" s="1"/>
  <c r="AB883" i="1" a="1"/>
  <c r="AB883" i="1" s="1"/>
  <c r="AA878" i="1" a="1"/>
  <c r="AA878" i="1" s="1"/>
  <c r="AB878" i="1" a="1"/>
  <c r="AB878" i="1" s="1"/>
  <c r="AC878" i="1" a="1"/>
  <c r="AC878" i="1" s="1"/>
  <c r="AD878" i="1"/>
  <c r="AA860" i="1" a="1"/>
  <c r="AA860" i="1" s="1"/>
  <c r="AD860" i="1"/>
  <c r="AB860" i="1" a="1"/>
  <c r="AB860" i="1" s="1"/>
  <c r="AC860" i="1" a="1"/>
  <c r="AC860" i="1" s="1"/>
  <c r="AB840" i="1" a="1"/>
  <c r="AB840" i="1" s="1"/>
  <c r="AC840" i="1" a="1"/>
  <c r="AC840" i="1" s="1"/>
  <c r="AD840" i="1"/>
  <c r="AA840" i="1" a="1"/>
  <c r="AA840" i="1" s="1"/>
  <c r="AB833" i="1" a="1"/>
  <c r="AB833" i="1" s="1"/>
  <c r="AC833" i="1" a="1"/>
  <c r="AC833" i="1" s="1"/>
  <c r="AA833" i="1" a="1"/>
  <c r="AA833" i="1" s="1"/>
  <c r="Q823" i="1"/>
  <c r="AB762" i="1" a="1"/>
  <c r="AB762" i="1" s="1"/>
  <c r="AC762" i="1" a="1"/>
  <c r="AC762" i="1" s="1"/>
  <c r="AD762" i="1"/>
  <c r="AA762" i="1" a="1"/>
  <c r="AA762" i="1" s="1"/>
  <c r="Q942" i="1"/>
  <c r="AD935" i="1"/>
  <c r="AC935" i="1" a="1"/>
  <c r="AC935" i="1" s="1"/>
  <c r="AC809" i="1" a="1"/>
  <c r="AC809" i="1" s="1"/>
  <c r="AD809" i="1"/>
  <c r="AA809" i="1" a="1"/>
  <c r="AA809" i="1" s="1"/>
  <c r="AB809" i="1" a="1"/>
  <c r="AB809" i="1" s="1"/>
  <c r="AB711" i="1" a="1"/>
  <c r="AB711" i="1" s="1"/>
  <c r="AD711" i="1"/>
  <c r="AA711" i="1" a="1"/>
  <c r="AA711" i="1" s="1"/>
  <c r="AA918" i="1" a="1"/>
  <c r="AA918" i="1" s="1"/>
  <c r="AB918" i="1" a="1"/>
  <c r="AB918" i="1" s="1"/>
  <c r="AC918" i="1" a="1"/>
  <c r="AC918" i="1" s="1"/>
  <c r="AD918" i="1"/>
  <c r="AA914" i="1" a="1"/>
  <c r="AA914" i="1" s="1"/>
  <c r="AC914" i="1" a="1"/>
  <c r="AC914" i="1" s="1"/>
  <c r="AD914" i="1"/>
  <c r="AD598" i="1"/>
  <c r="AA598" i="1" a="1"/>
  <c r="AA598" i="1" s="1"/>
  <c r="AB598" i="1" a="1"/>
  <c r="AB598" i="1" s="1"/>
  <c r="AC598" i="1" a="1"/>
  <c r="AC598" i="1" s="1"/>
  <c r="AD373" i="1"/>
  <c r="AA373" i="1" a="1"/>
  <c r="AA373" i="1" s="1"/>
  <c r="AB373" i="1" a="1"/>
  <c r="AB373" i="1" s="1"/>
  <c r="AC373" i="1" a="1"/>
  <c r="AC373" i="1" s="1"/>
  <c r="AD346" i="1"/>
  <c r="AA346" i="1" a="1"/>
  <c r="AA346" i="1" s="1"/>
  <c r="AB346" i="1" a="1"/>
  <c r="AB346" i="1" s="1"/>
  <c r="AC346" i="1" a="1"/>
  <c r="AC346" i="1" s="1"/>
  <c r="AB934" i="1" a="1"/>
  <c r="AB934" i="1" s="1"/>
  <c r="AA934" i="1" a="1"/>
  <c r="AA934" i="1" s="1"/>
  <c r="AD917" i="1"/>
  <c r="AC877" i="1" a="1"/>
  <c r="AC877" i="1" s="1"/>
  <c r="AD877" i="1"/>
  <c r="AB877" i="1" a="1"/>
  <c r="AB877" i="1" s="1"/>
  <c r="AB702" i="1" a="1"/>
  <c r="AB702" i="1" s="1"/>
  <c r="AA702" i="1" a="1"/>
  <c r="AA702" i="1" s="1"/>
  <c r="AC702" i="1" a="1"/>
  <c r="AC702" i="1" s="1"/>
  <c r="AD702" i="1"/>
  <c r="AC579" i="1" a="1"/>
  <c r="AC579" i="1" s="1"/>
  <c r="AA579" i="1" a="1"/>
  <c r="AA579" i="1" s="1"/>
  <c r="AD579" i="1"/>
  <c r="AB579" i="1" a="1"/>
  <c r="AB579" i="1" s="1"/>
  <c r="AB941" i="1" a="1"/>
  <c r="AB941" i="1" s="1"/>
  <c r="AA941" i="1" a="1"/>
  <c r="AA941" i="1" s="1"/>
  <c r="AB910" i="1" a="1"/>
  <c r="AB910" i="1" s="1"/>
  <c r="Q910" i="1" s="1"/>
  <c r="AC910" i="1" a="1"/>
  <c r="AC910" i="1" s="1"/>
  <c r="AA894" i="1" a="1"/>
  <c r="AA894" i="1" s="1"/>
  <c r="Q894" i="1" s="1"/>
  <c r="AD894" i="1"/>
  <c r="AB889" i="1" a="1"/>
  <c r="AB889" i="1" s="1"/>
  <c r="AC889" i="1" a="1"/>
  <c r="AC889" i="1" s="1"/>
  <c r="AD889" i="1"/>
  <c r="AB907" i="1" a="1"/>
  <c r="AB907" i="1" s="1"/>
  <c r="AC907" i="1" a="1"/>
  <c r="AC907" i="1" s="1"/>
  <c r="AD907" i="1"/>
  <c r="AA913" i="1" a="1"/>
  <c r="AA913" i="1" s="1"/>
  <c r="AC913" i="1" a="1"/>
  <c r="AC913" i="1" s="1"/>
  <c r="AD913" i="1"/>
  <c r="AC726" i="1" a="1"/>
  <c r="AC726" i="1" s="1"/>
  <c r="AD726" i="1"/>
  <c r="AA726" i="1" a="1"/>
  <c r="AA726" i="1" s="1"/>
  <c r="AB726" i="1" a="1"/>
  <c r="AB726" i="1" s="1"/>
  <c r="AC909" i="1" a="1"/>
  <c r="AC909" i="1" s="1"/>
  <c r="AA909" i="1" a="1"/>
  <c r="AA909" i="1" s="1"/>
  <c r="Q909" i="1" s="1"/>
  <c r="AB909" i="1" a="1"/>
  <c r="AB909" i="1" s="1"/>
  <c r="Q888" i="1"/>
  <c r="AB791" i="1" a="1"/>
  <c r="AB791" i="1" s="1"/>
  <c r="AC791" i="1" a="1"/>
  <c r="AC791" i="1" s="1"/>
  <c r="AD791" i="1"/>
  <c r="AA791" i="1" a="1"/>
  <c r="AA791" i="1" s="1"/>
  <c r="AA943" i="1" a="1"/>
  <c r="AA943" i="1" s="1"/>
  <c r="AB943" i="1" a="1"/>
  <c r="AB943" i="1" s="1"/>
  <c r="AB917" i="1" a="1"/>
  <c r="AB917" i="1" s="1"/>
  <c r="AC917" i="1" a="1"/>
  <c r="AC917" i="1" s="1"/>
  <c r="AD936" i="1"/>
  <c r="AA936" i="1" a="1"/>
  <c r="AA936" i="1" s="1"/>
  <c r="Q936" i="1" s="1"/>
  <c r="Q927" i="1"/>
  <c r="AB912" i="1" a="1"/>
  <c r="AB912" i="1" s="1"/>
  <c r="AC885" i="1" a="1"/>
  <c r="AC885" i="1" s="1"/>
  <c r="AD885" i="1"/>
  <c r="AA885" i="1" a="1"/>
  <c r="AA885" i="1" s="1"/>
  <c r="Q885" i="1" s="1"/>
  <c r="AB885" i="1" a="1"/>
  <c r="AB885" i="1" s="1"/>
  <c r="AC830" i="1" a="1"/>
  <c r="AC830" i="1" s="1"/>
  <c r="AA830" i="1" a="1"/>
  <c r="AA830" i="1" s="1"/>
  <c r="Q830" i="1" s="1"/>
  <c r="AD830" i="1"/>
  <c r="AC582" i="1" a="1"/>
  <c r="AC582" i="1" s="1"/>
  <c r="AB582" i="1" a="1"/>
  <c r="AB582" i="1" s="1"/>
  <c r="AD582" i="1"/>
  <c r="AA582" i="1" a="1"/>
  <c r="AA582" i="1" s="1"/>
  <c r="AA931" i="1" a="1"/>
  <c r="AA931" i="1" s="1"/>
  <c r="AD931" i="1"/>
  <c r="AB935" i="1" a="1"/>
  <c r="AB935" i="1" s="1"/>
  <c r="Q935" i="1" s="1"/>
  <c r="AA896" i="1" a="1"/>
  <c r="AA896" i="1" s="1"/>
  <c r="AC896" i="1" a="1"/>
  <c r="AC896" i="1" s="1"/>
  <c r="Q896" i="1" s="1"/>
  <c r="AD896" i="1"/>
  <c r="AD856" i="1"/>
  <c r="AC856" i="1" a="1"/>
  <c r="AC856" i="1" s="1"/>
  <c r="AA856" i="1" a="1"/>
  <c r="AA856" i="1" s="1"/>
  <c r="AB856" i="1" a="1"/>
  <c r="AB856" i="1" s="1"/>
  <c r="Q856" i="1" s="1"/>
  <c r="AA824" i="1" a="1"/>
  <c r="AA824" i="1" s="1"/>
  <c r="AC824" i="1" a="1"/>
  <c r="AC824" i="1" s="1"/>
  <c r="AD824" i="1"/>
  <c r="AC661" i="1" a="1"/>
  <c r="AC661" i="1" s="1"/>
  <c r="AA661" i="1" a="1"/>
  <c r="AA661" i="1" s="1"/>
  <c r="AB661" i="1" a="1"/>
  <c r="AB661" i="1" s="1"/>
  <c r="AD661" i="1"/>
  <c r="AA513" i="1" a="1"/>
  <c r="AA513" i="1" s="1"/>
  <c r="AD513" i="1"/>
  <c r="AB513" i="1" a="1"/>
  <c r="AB513" i="1" s="1"/>
  <c r="AC513" i="1" a="1"/>
  <c r="AC513" i="1" s="1"/>
  <c r="AA935" i="1" a="1"/>
  <c r="AA935" i="1" s="1"/>
  <c r="AA907" i="1" a="1"/>
  <c r="AA907" i="1" s="1"/>
  <c r="AB892" i="1" a="1"/>
  <c r="AB892" i="1" s="1"/>
  <c r="AD892" i="1"/>
  <c r="AC892" i="1" a="1"/>
  <c r="AC892" i="1" s="1"/>
  <c r="Q892" i="1" s="1"/>
  <c r="AA866" i="1" a="1"/>
  <c r="AA866" i="1" s="1"/>
  <c r="AD849" i="1"/>
  <c r="AB849" i="1" a="1"/>
  <c r="AB849" i="1" s="1"/>
  <c r="Q849" i="1" s="1"/>
  <c r="AC849" i="1" a="1"/>
  <c r="AC849" i="1" s="1"/>
  <c r="AC827" i="1" a="1"/>
  <c r="AC827" i="1" s="1"/>
  <c r="AD827" i="1"/>
  <c r="AA827" i="1" a="1"/>
  <c r="AA827" i="1" s="1"/>
  <c r="AB827" i="1" a="1"/>
  <c r="AB827" i="1" s="1"/>
  <c r="AD708" i="1"/>
  <c r="AC708" i="1" a="1"/>
  <c r="AC708" i="1" s="1"/>
  <c r="AA708" i="1" a="1"/>
  <c r="AA708" i="1" s="1"/>
  <c r="AB708" i="1" a="1"/>
  <c r="AB708" i="1" s="1"/>
  <c r="AA613" i="1" a="1"/>
  <c r="AA613" i="1" s="1"/>
  <c r="AC613" i="1" a="1"/>
  <c r="AC613" i="1" s="1"/>
  <c r="Q906" i="1"/>
  <c r="Q798" i="1"/>
  <c r="AD788" i="1"/>
  <c r="AD782" i="1"/>
  <c r="AA767" i="1" a="1"/>
  <c r="AA767" i="1" s="1"/>
  <c r="AD767" i="1"/>
  <c r="AC750" i="1" a="1"/>
  <c r="AC750" i="1" s="1"/>
  <c r="AA750" i="1" a="1"/>
  <c r="AA750" i="1" s="1"/>
  <c r="AD750" i="1"/>
  <c r="AD729" i="1"/>
  <c r="AC729" i="1" a="1"/>
  <c r="AC729" i="1" s="1"/>
  <c r="AD718" i="1"/>
  <c r="AA680" i="1" a="1"/>
  <c r="AA680" i="1" s="1"/>
  <c r="AB680" i="1" a="1"/>
  <c r="AB680" i="1" s="1"/>
  <c r="AA625" i="1" a="1"/>
  <c r="AA625" i="1" s="1"/>
  <c r="AB625" i="1" a="1"/>
  <c r="AB625" i="1" s="1"/>
  <c r="AC625" i="1" a="1"/>
  <c r="AC625" i="1" s="1"/>
  <c r="AD625" i="1"/>
  <c r="AB614" i="1" a="1"/>
  <c r="AB614" i="1" s="1"/>
  <c r="AA614" i="1" a="1"/>
  <c r="AA614" i="1" s="1"/>
  <c r="AB606" i="1" a="1"/>
  <c r="AB606" i="1" s="1"/>
  <c r="AC606" i="1" a="1"/>
  <c r="AC606" i="1" s="1"/>
  <c r="AA593" i="1" a="1"/>
  <c r="AA593" i="1" s="1"/>
  <c r="AC593" i="1" a="1"/>
  <c r="AC593" i="1" s="1"/>
  <c r="AA520" i="1" a="1"/>
  <c r="AA520" i="1" s="1"/>
  <c r="AB520" i="1" a="1"/>
  <c r="AB520" i="1" s="1"/>
  <c r="AA510" i="1" a="1"/>
  <c r="AA510" i="1" s="1"/>
  <c r="AC510" i="1" a="1"/>
  <c r="AC510" i="1" s="1"/>
  <c r="AD510" i="1"/>
  <c r="AC423" i="1" a="1"/>
  <c r="AC423" i="1" s="1"/>
  <c r="AA423" i="1" a="1"/>
  <c r="AA423" i="1" s="1"/>
  <c r="AB423" i="1" a="1"/>
  <c r="AB423" i="1" s="1"/>
  <c r="AD423" i="1"/>
  <c r="AB133" i="1" a="1"/>
  <c r="AB133" i="1" s="1"/>
  <c r="AA133" i="1" a="1"/>
  <c r="AA133" i="1" s="1"/>
  <c r="AB925" i="1" a="1"/>
  <c r="AB925" i="1" s="1"/>
  <c r="AD899" i="1"/>
  <c r="AB847" i="1" a="1"/>
  <c r="AB847" i="1" s="1"/>
  <c r="Q841" i="1"/>
  <c r="AA837" i="1" a="1"/>
  <c r="AA837" i="1" s="1"/>
  <c r="AB812" i="1" a="1"/>
  <c r="AB812" i="1" s="1"/>
  <c r="AD806" i="1"/>
  <c r="AC801" i="1" a="1"/>
  <c r="AC801" i="1" s="1"/>
  <c r="AD801" i="1"/>
  <c r="AB794" i="1" a="1"/>
  <c r="AB794" i="1" s="1"/>
  <c r="AD774" i="1"/>
  <c r="AD768" i="1"/>
  <c r="AB754" i="1" a="1"/>
  <c r="AB754" i="1" s="1"/>
  <c r="AD752" i="1"/>
  <c r="AB731" i="1" a="1"/>
  <c r="AB731" i="1" s="1"/>
  <c r="AC731" i="1" a="1"/>
  <c r="AC731" i="1" s="1"/>
  <c r="AD731" i="1"/>
  <c r="AC706" i="1" a="1"/>
  <c r="AC706" i="1" s="1"/>
  <c r="AD706" i="1"/>
  <c r="AA700" i="1" a="1"/>
  <c r="AA700" i="1" s="1"/>
  <c r="AB700" i="1" a="1"/>
  <c r="AB700" i="1" s="1"/>
  <c r="AC665" i="1" a="1"/>
  <c r="AC665" i="1" s="1"/>
  <c r="AB652" i="1" a="1"/>
  <c r="AB652" i="1" s="1"/>
  <c r="AC652" i="1" a="1"/>
  <c r="AC652" i="1" s="1"/>
  <c r="AD644" i="1"/>
  <c r="AB632" i="1" a="1"/>
  <c r="AB632" i="1" s="1"/>
  <c r="AA632" i="1" a="1"/>
  <c r="AA632" i="1" s="1"/>
  <c r="AA565" i="1" a="1"/>
  <c r="AA565" i="1" s="1"/>
  <c r="AB565" i="1" a="1"/>
  <c r="AB565" i="1" s="1"/>
  <c r="AC565" i="1" a="1"/>
  <c r="AC565" i="1" s="1"/>
  <c r="AD565" i="1"/>
  <c r="AC899" i="1" a="1"/>
  <c r="AC899" i="1" s="1"/>
  <c r="AC853" i="1" a="1"/>
  <c r="AC853" i="1" s="1"/>
  <c r="Q853" i="1" s="1"/>
  <c r="AA847" i="1" a="1"/>
  <c r="AA847" i="1" s="1"/>
  <c r="AD834" i="1"/>
  <c r="AB816" i="1" a="1"/>
  <c r="AB816" i="1" s="1"/>
  <c r="AC810" i="1" a="1"/>
  <c r="AC810" i="1" s="1"/>
  <c r="AA794" i="1" a="1"/>
  <c r="AA794" i="1" s="1"/>
  <c r="AC788" i="1" a="1"/>
  <c r="AC788" i="1" s="1"/>
  <c r="AB782" i="1" a="1"/>
  <c r="AB782" i="1" s="1"/>
  <c r="AC774" i="1" a="1"/>
  <c r="AC774" i="1" s="1"/>
  <c r="Q774" i="1" s="1"/>
  <c r="AA773" i="1" a="1"/>
  <c r="AA773" i="1" s="1"/>
  <c r="AB773" i="1" a="1"/>
  <c r="AB773" i="1" s="1"/>
  <c r="AA770" i="1" a="1"/>
  <c r="AA770" i="1" s="1"/>
  <c r="Q770" i="1" s="1"/>
  <c r="AC768" i="1" a="1"/>
  <c r="AC768" i="1" s="1"/>
  <c r="AB752" i="1" a="1"/>
  <c r="AB752" i="1" s="1"/>
  <c r="Q752" i="1" s="1"/>
  <c r="AC748" i="1" a="1"/>
  <c r="AC748" i="1" s="1"/>
  <c r="Q748" i="1" s="1"/>
  <c r="AD748" i="1"/>
  <c r="AB742" i="1" a="1"/>
  <c r="AB742" i="1" s="1"/>
  <c r="Q742" i="1" s="1"/>
  <c r="AA728" i="1" a="1"/>
  <c r="AA728" i="1" s="1"/>
  <c r="AA695" i="1" a="1"/>
  <c r="AA695" i="1" s="1"/>
  <c r="AD683" i="1"/>
  <c r="AB681" i="1" a="1"/>
  <c r="AB681" i="1" s="1"/>
  <c r="AA676" i="1" a="1"/>
  <c r="AA676" i="1" s="1"/>
  <c r="AD640" i="1"/>
  <c r="AB640" i="1" a="1"/>
  <c r="AB640" i="1" s="1"/>
  <c r="AC640" i="1" a="1"/>
  <c r="AC640" i="1" s="1"/>
  <c r="AA637" i="1" a="1"/>
  <c r="AA637" i="1" s="1"/>
  <c r="AD637" i="1"/>
  <c r="AB608" i="1" a="1"/>
  <c r="AB608" i="1" s="1"/>
  <c r="AA608" i="1" a="1"/>
  <c r="AA608" i="1" s="1"/>
  <c r="AA605" i="1" a="1"/>
  <c r="AA605" i="1" s="1"/>
  <c r="AB605" i="1" a="1"/>
  <c r="AB605" i="1" s="1"/>
  <c r="AD605" i="1"/>
  <c r="AA595" i="1" a="1"/>
  <c r="AA595" i="1" s="1"/>
  <c r="AC595" i="1" a="1"/>
  <c r="AC595" i="1" s="1"/>
  <c r="AD576" i="1"/>
  <c r="AA576" i="1" a="1"/>
  <c r="AA576" i="1" s="1"/>
  <c r="AA552" i="1" a="1"/>
  <c r="AA552" i="1" s="1"/>
  <c r="AB552" i="1" a="1"/>
  <c r="AB552" i="1" s="1"/>
  <c r="AC552" i="1" a="1"/>
  <c r="AC552" i="1" s="1"/>
  <c r="AD552" i="1"/>
  <c r="AC503" i="1" a="1"/>
  <c r="AC503" i="1" s="1"/>
  <c r="AB503" i="1" a="1"/>
  <c r="AB503" i="1" s="1"/>
  <c r="AD503" i="1"/>
  <c r="AA503" i="1" a="1"/>
  <c r="AA503" i="1" s="1"/>
  <c r="AB481" i="1" a="1"/>
  <c r="AB481" i="1" s="1"/>
  <c r="AC481" i="1" a="1"/>
  <c r="AC481" i="1" s="1"/>
  <c r="AD481" i="1"/>
  <c r="AA481" i="1" a="1"/>
  <c r="AA481" i="1" s="1"/>
  <c r="AC332" i="1" a="1"/>
  <c r="AC332" i="1" s="1"/>
  <c r="AA332" i="1" a="1"/>
  <c r="AA332" i="1" s="1"/>
  <c r="AB332" i="1" a="1"/>
  <c r="AB332" i="1" s="1"/>
  <c r="AD332" i="1"/>
  <c r="AA905" i="1" a="1"/>
  <c r="AA905" i="1" s="1"/>
  <c r="AD855" i="1"/>
  <c r="AD826" i="1"/>
  <c r="AC812" i="1" a="1"/>
  <c r="AC812" i="1" s="1"/>
  <c r="AD812" i="1"/>
  <c r="AD808" i="1"/>
  <c r="AB806" i="1" a="1"/>
  <c r="AB806" i="1" s="1"/>
  <c r="Q806" i="1" s="1"/>
  <c r="AC780" i="1" a="1"/>
  <c r="AC780" i="1" s="1"/>
  <c r="Q780" i="1" s="1"/>
  <c r="AB776" i="1" a="1"/>
  <c r="AB776" i="1" s="1"/>
  <c r="AC776" i="1" a="1"/>
  <c r="AC776" i="1" s="1"/>
  <c r="AA737" i="1" a="1"/>
  <c r="AA737" i="1" s="1"/>
  <c r="AB733" i="1" a="1"/>
  <c r="AB733" i="1" s="1"/>
  <c r="Q733" i="1" s="1"/>
  <c r="AC733" i="1" a="1"/>
  <c r="AC733" i="1" s="1"/>
  <c r="AD733" i="1"/>
  <c r="AC715" i="1" a="1"/>
  <c r="AC715" i="1" s="1"/>
  <c r="AA678" i="1" a="1"/>
  <c r="AA678" i="1" s="1"/>
  <c r="AC669" i="1" a="1"/>
  <c r="AC669" i="1" s="1"/>
  <c r="AA665" i="1" a="1"/>
  <c r="AA665" i="1" s="1"/>
  <c r="AD665" i="1"/>
  <c r="AB654" i="1" a="1"/>
  <c r="AB654" i="1" s="1"/>
  <c r="AD654" i="1"/>
  <c r="AD641" i="1"/>
  <c r="AD592" i="1"/>
  <c r="AA592" i="1" a="1"/>
  <c r="AA592" i="1" s="1"/>
  <c r="AA587" i="1" a="1"/>
  <c r="AA587" i="1" s="1"/>
  <c r="AC587" i="1" a="1"/>
  <c r="AC587" i="1" s="1"/>
  <c r="AD587" i="1"/>
  <c r="AC418" i="1" a="1"/>
  <c r="AC418" i="1" s="1"/>
  <c r="AA418" i="1" a="1"/>
  <c r="AA418" i="1" s="1"/>
  <c r="AB418" i="1" a="1"/>
  <c r="AB418" i="1" s="1"/>
  <c r="AD418" i="1"/>
  <c r="Q788" i="1"/>
  <c r="AA740" i="1" a="1"/>
  <c r="AA740" i="1" s="1"/>
  <c r="AD740" i="1"/>
  <c r="AA718" i="1" a="1"/>
  <c r="AA718" i="1" s="1"/>
  <c r="AB718" i="1" a="1"/>
  <c r="AB718" i="1" s="1"/>
  <c r="AB667" i="1" a="1"/>
  <c r="AB667" i="1" s="1"/>
  <c r="AD667" i="1"/>
  <c r="AA644" i="1" a="1"/>
  <c r="AA644" i="1" s="1"/>
  <c r="AB644" i="1" a="1"/>
  <c r="AB644" i="1" s="1"/>
  <c r="AD575" i="1"/>
  <c r="AA575" i="1" a="1"/>
  <c r="AA575" i="1" s="1"/>
  <c r="AB575" i="1" a="1"/>
  <c r="AB575" i="1" s="1"/>
  <c r="AC575" i="1" a="1"/>
  <c r="AC575" i="1" s="1"/>
  <c r="AD473" i="1"/>
  <c r="AA473" i="1" a="1"/>
  <c r="AA473" i="1" s="1"/>
  <c r="AB473" i="1" a="1"/>
  <c r="AB473" i="1" s="1"/>
  <c r="AC473" i="1" a="1"/>
  <c r="AC473" i="1" s="1"/>
  <c r="AB233" i="1" a="1"/>
  <c r="AB233" i="1" s="1"/>
  <c r="AC233" i="1" a="1"/>
  <c r="AC233" i="1" s="1"/>
  <c r="AD233" i="1"/>
  <c r="AA233" i="1" a="1"/>
  <c r="AA233" i="1" s="1"/>
  <c r="AD895" i="1"/>
  <c r="AD734" i="1"/>
  <c r="AC689" i="1" a="1"/>
  <c r="AC689" i="1" s="1"/>
  <c r="AD689" i="1"/>
  <c r="AB685" i="1" a="1"/>
  <c r="AB685" i="1" s="1"/>
  <c r="AD685" i="1"/>
  <c r="AB669" i="1" a="1"/>
  <c r="AB669" i="1" s="1"/>
  <c r="AA658" i="1" a="1"/>
  <c r="AA658" i="1" s="1"/>
  <c r="AB658" i="1" a="1"/>
  <c r="AB658" i="1" s="1"/>
  <c r="AA607" i="1" a="1"/>
  <c r="AA607" i="1" s="1"/>
  <c r="AB607" i="1" a="1"/>
  <c r="AB607" i="1" s="1"/>
  <c r="AC561" i="1" a="1"/>
  <c r="AC561" i="1" s="1"/>
  <c r="AA561" i="1" a="1"/>
  <c r="AA561" i="1" s="1"/>
  <c r="AB561" i="1" a="1"/>
  <c r="AB561" i="1" s="1"/>
  <c r="AD561" i="1"/>
  <c r="AA539" i="1" a="1"/>
  <c r="AA539" i="1" s="1"/>
  <c r="AB539" i="1" a="1"/>
  <c r="AB539" i="1" s="1"/>
  <c r="AA916" i="1" a="1"/>
  <c r="AA916" i="1" s="1"/>
  <c r="Q912" i="1"/>
  <c r="AC895" i="1" a="1"/>
  <c r="AC895" i="1" s="1"/>
  <c r="AB874" i="1" a="1"/>
  <c r="AB874" i="1" s="1"/>
  <c r="AC865" i="1" a="1"/>
  <c r="AC865" i="1" s="1"/>
  <c r="AD852" i="1"/>
  <c r="AC846" i="1" a="1"/>
  <c r="AC846" i="1" s="1"/>
  <c r="Q846" i="1" s="1"/>
  <c r="AB838" i="1" a="1"/>
  <c r="AB838" i="1" s="1"/>
  <c r="AC829" i="1" a="1"/>
  <c r="AC829" i="1" s="1"/>
  <c r="AB822" i="1" a="1"/>
  <c r="AB822" i="1" s="1"/>
  <c r="Q822" i="1" s="1"/>
  <c r="Q820" i="1"/>
  <c r="AC817" i="1" a="1"/>
  <c r="AC817" i="1" s="1"/>
  <c r="AC813" i="1" a="1"/>
  <c r="AC813" i="1" s="1"/>
  <c r="AB804" i="1" a="1"/>
  <c r="AB804" i="1" s="1"/>
  <c r="Q804" i="1" s="1"/>
  <c r="Q802" i="1"/>
  <c r="AB795" i="1" a="1"/>
  <c r="AB795" i="1" s="1"/>
  <c r="AB786" i="1" a="1"/>
  <c r="AB786" i="1" s="1"/>
  <c r="Q786" i="1" s="1"/>
  <c r="AC769" i="1" a="1"/>
  <c r="AC769" i="1" s="1"/>
  <c r="AC753" i="1" a="1"/>
  <c r="AC753" i="1" s="1"/>
  <c r="AD743" i="1"/>
  <c r="AC734" i="1" a="1"/>
  <c r="AC734" i="1" s="1"/>
  <c r="AC705" i="1" a="1"/>
  <c r="AC705" i="1" s="1"/>
  <c r="AA705" i="1" a="1"/>
  <c r="AA705" i="1" s="1"/>
  <c r="AB705" i="1" a="1"/>
  <c r="AB705" i="1" s="1"/>
  <c r="AB687" i="1" a="1"/>
  <c r="AB687" i="1" s="1"/>
  <c r="AC671" i="1" a="1"/>
  <c r="AC671" i="1" s="1"/>
  <c r="AD671" i="1"/>
  <c r="AA669" i="1" a="1"/>
  <c r="AA669" i="1" s="1"/>
  <c r="AD662" i="1"/>
  <c r="AB656" i="1" a="1"/>
  <c r="AB656" i="1" s="1"/>
  <c r="AD656" i="1"/>
  <c r="AA636" i="1" a="1"/>
  <c r="AA636" i="1" s="1"/>
  <c r="AD636" i="1"/>
  <c r="AD614" i="1"/>
  <c r="AD606" i="1"/>
  <c r="AC558" i="1" a="1"/>
  <c r="AC558" i="1" s="1"/>
  <c r="AA558" i="1" a="1"/>
  <c r="AA558" i="1" s="1"/>
  <c r="AA542" i="1" a="1"/>
  <c r="AA542" i="1" s="1"/>
  <c r="AC542" i="1" a="1"/>
  <c r="AC542" i="1" s="1"/>
  <c r="AD542" i="1"/>
  <c r="AC366" i="1" a="1"/>
  <c r="AC366" i="1" s="1"/>
  <c r="AA366" i="1" a="1"/>
  <c r="AA366" i="1" s="1"/>
  <c r="AB366" i="1" a="1"/>
  <c r="AB366" i="1" s="1"/>
  <c r="AD366" i="1"/>
  <c r="AC317" i="1" a="1"/>
  <c r="AC317" i="1" s="1"/>
  <c r="AA317" i="1" a="1"/>
  <c r="AA317" i="1" s="1"/>
  <c r="AB317" i="1" a="1"/>
  <c r="AB317" i="1" s="1"/>
  <c r="AD317" i="1"/>
  <c r="AD867" i="1"/>
  <c r="AA855" i="1" a="1"/>
  <c r="AA855" i="1" s="1"/>
  <c r="Q855" i="1" s="1"/>
  <c r="AA834" i="1" a="1"/>
  <c r="AA834" i="1" s="1"/>
  <c r="AD831" i="1"/>
  <c r="AD932" i="1"/>
  <c r="AA898" i="1" a="1"/>
  <c r="AA898" i="1" s="1"/>
  <c r="AD880" i="1"/>
  <c r="AC867" i="1" a="1"/>
  <c r="AC867" i="1" s="1"/>
  <c r="Q867" i="1" s="1"/>
  <c r="AC852" i="1" a="1"/>
  <c r="AC852" i="1" s="1"/>
  <c r="Q852" i="1" s="1"/>
  <c r="AA838" i="1" a="1"/>
  <c r="AA838" i="1" s="1"/>
  <c r="Q838" i="1" s="1"/>
  <c r="AC831" i="1" a="1"/>
  <c r="AC831" i="1" s="1"/>
  <c r="AC815" i="1" a="1"/>
  <c r="AC815" i="1" s="1"/>
  <c r="Q815" i="1" s="1"/>
  <c r="AA799" i="1" a="1"/>
  <c r="AA799" i="1" s="1"/>
  <c r="Q799" i="1" s="1"/>
  <c r="AC797" i="1" a="1"/>
  <c r="AC797" i="1" s="1"/>
  <c r="AA795" i="1" a="1"/>
  <c r="AA795" i="1" s="1"/>
  <c r="AA793" i="1" a="1"/>
  <c r="AA793" i="1" s="1"/>
  <c r="Q793" i="1" s="1"/>
  <c r="AB790" i="1" a="1"/>
  <c r="AB790" i="1" s="1"/>
  <c r="AD790" i="1"/>
  <c r="Q784" i="1"/>
  <c r="AB769" i="1" a="1"/>
  <c r="AB769" i="1" s="1"/>
  <c r="Q769" i="1" s="1"/>
  <c r="AA757" i="1" a="1"/>
  <c r="AA757" i="1" s="1"/>
  <c r="AB757" i="1" a="1"/>
  <c r="AB757" i="1" s="1"/>
  <c r="Q757" i="1" s="1"/>
  <c r="AD755" i="1"/>
  <c r="AC755" i="1" a="1"/>
  <c r="AC755" i="1" s="1"/>
  <c r="Q755" i="1" s="1"/>
  <c r="AD746" i="1"/>
  <c r="AA746" i="1" a="1"/>
  <c r="AA746" i="1" s="1"/>
  <c r="AC746" i="1" a="1"/>
  <c r="AC746" i="1" s="1"/>
  <c r="AB734" i="1" a="1"/>
  <c r="AB734" i="1" s="1"/>
  <c r="AB727" i="1" a="1"/>
  <c r="AB727" i="1" s="1"/>
  <c r="AC727" i="1" a="1"/>
  <c r="AC727" i="1" s="1"/>
  <c r="AC724" i="1" a="1"/>
  <c r="AC724" i="1" s="1"/>
  <c r="AB719" i="1" a="1"/>
  <c r="AB719" i="1" s="1"/>
  <c r="AD692" i="1"/>
  <c r="AC692" i="1" a="1"/>
  <c r="AC692" i="1" s="1"/>
  <c r="AD680" i="1"/>
  <c r="AC653" i="1" a="1"/>
  <c r="AC653" i="1" s="1"/>
  <c r="AA653" i="1" a="1"/>
  <c r="AA653" i="1" s="1"/>
  <c r="AA648" i="1" a="1"/>
  <c r="AA648" i="1" s="1"/>
  <c r="AB648" i="1" a="1"/>
  <c r="AB648" i="1" s="1"/>
  <c r="AD632" i="1"/>
  <c r="AC597" i="1" a="1"/>
  <c r="AC597" i="1" s="1"/>
  <c r="AA597" i="1" a="1"/>
  <c r="AA597" i="1" s="1"/>
  <c r="AC591" i="1" a="1"/>
  <c r="AC591" i="1" s="1"/>
  <c r="AB591" i="1" a="1"/>
  <c r="AB591" i="1" s="1"/>
  <c r="AC588" i="1" a="1"/>
  <c r="AC588" i="1" s="1"/>
  <c r="AA518" i="1" a="1"/>
  <c r="AA518" i="1" s="1"/>
  <c r="AB518" i="1" a="1"/>
  <c r="AB518" i="1" s="1"/>
  <c r="AC518" i="1" a="1"/>
  <c r="AC518" i="1" s="1"/>
  <c r="AD518" i="1"/>
  <c r="AA351" i="1" a="1"/>
  <c r="AA351" i="1" s="1"/>
  <c r="AB351" i="1" a="1"/>
  <c r="AB351" i="1" s="1"/>
  <c r="AC351" i="1" a="1"/>
  <c r="AC351" i="1" s="1"/>
  <c r="AD351" i="1"/>
  <c r="AA842" i="1" a="1"/>
  <c r="AA842" i="1" s="1"/>
  <c r="AC842" i="1" a="1"/>
  <c r="AC842" i="1" s="1"/>
  <c r="AB831" i="1" a="1"/>
  <c r="AB831" i="1" s="1"/>
  <c r="Q817" i="1"/>
  <c r="Q795" i="1"/>
  <c r="Q787" i="1"/>
  <c r="AD754" i="1"/>
  <c r="AB753" i="1" a="1"/>
  <c r="AB753" i="1" s="1"/>
  <c r="AB729" i="1" a="1"/>
  <c r="AB729" i="1" s="1"/>
  <c r="AB724" i="1" a="1"/>
  <c r="AB724" i="1" s="1"/>
  <c r="AC691" i="1" a="1"/>
  <c r="AC691" i="1" s="1"/>
  <c r="AC680" i="1" a="1"/>
  <c r="AC680" i="1" s="1"/>
  <c r="AA677" i="1" a="1"/>
  <c r="AA677" i="1" s="1"/>
  <c r="AB677" i="1" a="1"/>
  <c r="AB677" i="1" s="1"/>
  <c r="AC677" i="1" a="1"/>
  <c r="AC677" i="1" s="1"/>
  <c r="AD622" i="1"/>
  <c r="AA622" i="1" a="1"/>
  <c r="AA622" i="1" s="1"/>
  <c r="AC614" i="1" a="1"/>
  <c r="AC614" i="1" s="1"/>
  <c r="AA606" i="1" a="1"/>
  <c r="AA606" i="1" s="1"/>
  <c r="AB510" i="1" a="1"/>
  <c r="AB510" i="1" s="1"/>
  <c r="AA460" i="1" a="1"/>
  <c r="AA460" i="1" s="1"/>
  <c r="AC460" i="1" a="1"/>
  <c r="AC460" i="1" s="1"/>
  <c r="AD460" i="1"/>
  <c r="Q865" i="1"/>
  <c r="AC848" i="1" a="1"/>
  <c r="AC848" i="1" s="1"/>
  <c r="AA848" i="1" a="1"/>
  <c r="AA848" i="1" s="1"/>
  <c r="Q848" i="1" s="1"/>
  <c r="AA815" i="1" a="1"/>
  <c r="AA815" i="1" s="1"/>
  <c r="Q813" i="1"/>
  <c r="AA801" i="1" a="1"/>
  <c r="AA801" i="1" s="1"/>
  <c r="Q801" i="1" s="1"/>
  <c r="AA797" i="1" a="1"/>
  <c r="AA797" i="1" s="1"/>
  <c r="Q797" i="1" s="1"/>
  <c r="AB764" i="1" a="1"/>
  <c r="AB764" i="1" s="1"/>
  <c r="Q764" i="1" s="1"/>
  <c r="AC764" i="1" a="1"/>
  <c r="AC764" i="1" s="1"/>
  <c r="AA729" i="1" a="1"/>
  <c r="AA729" i="1" s="1"/>
  <c r="AA724" i="1" a="1"/>
  <c r="AA724" i="1" s="1"/>
  <c r="AB722" i="1" a="1"/>
  <c r="AB722" i="1" s="1"/>
  <c r="AD722" i="1"/>
  <c r="AC700" i="1" a="1"/>
  <c r="AC700" i="1" s="1"/>
  <c r="AA698" i="1" a="1"/>
  <c r="AA698" i="1" s="1"/>
  <c r="AB698" i="1" a="1"/>
  <c r="AB698" i="1" s="1"/>
  <c r="AB694" i="1" a="1"/>
  <c r="AB694" i="1" s="1"/>
  <c r="AC694" i="1" a="1"/>
  <c r="AC694" i="1" s="1"/>
  <c r="AC637" i="1" a="1"/>
  <c r="AC637" i="1" s="1"/>
  <c r="AA626" i="1" a="1"/>
  <c r="AA626" i="1" s="1"/>
  <c r="AC626" i="1" a="1"/>
  <c r="AC626" i="1" s="1"/>
  <c r="AA619" i="1" a="1"/>
  <c r="AA619" i="1" s="1"/>
  <c r="AD619" i="1"/>
  <c r="AD580" i="1"/>
  <c r="AA580" i="1" a="1"/>
  <c r="AA580" i="1" s="1"/>
  <c r="AB580" i="1" a="1"/>
  <c r="AB580" i="1" s="1"/>
  <c r="AC580" i="1" a="1"/>
  <c r="AC580" i="1" s="1"/>
  <c r="AC576" i="1" a="1"/>
  <c r="AC576" i="1" s="1"/>
  <c r="AB544" i="1" a="1"/>
  <c r="AB544" i="1" s="1"/>
  <c r="AC501" i="1" a="1"/>
  <c r="AC501" i="1" s="1"/>
  <c r="AB501" i="1" a="1"/>
  <c r="AB501" i="1" s="1"/>
  <c r="AA501" i="1" a="1"/>
  <c r="AA501" i="1" s="1"/>
  <c r="AD501" i="1"/>
  <c r="Q876" i="1"/>
  <c r="AD837" i="1"/>
  <c r="AC754" i="1" a="1"/>
  <c r="AC754" i="1" s="1"/>
  <c r="AD742" i="1"/>
  <c r="Q741" i="1"/>
  <c r="AA731" i="1" a="1"/>
  <c r="AA731" i="1" s="1"/>
  <c r="Q729" i="1"/>
  <c r="AA706" i="1" a="1"/>
  <c r="AA706" i="1" s="1"/>
  <c r="AC675" i="1" a="1"/>
  <c r="AC675" i="1" s="1"/>
  <c r="AD675" i="1"/>
  <c r="AA662" i="1" a="1"/>
  <c r="AA662" i="1" s="1"/>
  <c r="AB662" i="1" a="1"/>
  <c r="AB662" i="1" s="1"/>
  <c r="AA652" i="1" a="1"/>
  <c r="AA652" i="1" s="1"/>
  <c r="AA467" i="1" a="1"/>
  <c r="AA467" i="1" s="1"/>
  <c r="AD467" i="1"/>
  <c r="AA463" i="1" a="1"/>
  <c r="AA463" i="1" s="1"/>
  <c r="AC463" i="1" a="1"/>
  <c r="AC463" i="1" s="1"/>
  <c r="AD339" i="1"/>
  <c r="AA339" i="1" a="1"/>
  <c r="AA339" i="1" s="1"/>
  <c r="AB339" i="1" a="1"/>
  <c r="AB339" i="1" s="1"/>
  <c r="AC339" i="1" a="1"/>
  <c r="AC339" i="1" s="1"/>
  <c r="AA282" i="1" a="1"/>
  <c r="AA282" i="1" s="1"/>
  <c r="AB282" i="1" a="1"/>
  <c r="AB282" i="1" s="1"/>
  <c r="AC282" i="1" a="1"/>
  <c r="AC282" i="1" s="1"/>
  <c r="AD282" i="1"/>
  <c r="AB538" i="1" a="1"/>
  <c r="AB538" i="1" s="1"/>
  <c r="AC475" i="1" a="1"/>
  <c r="AC475" i="1" s="1"/>
  <c r="AA475" i="1" a="1"/>
  <c r="AA475" i="1" s="1"/>
  <c r="AC388" i="1" a="1"/>
  <c r="AC388" i="1" s="1"/>
  <c r="AD356" i="1"/>
  <c r="AB356" i="1" a="1"/>
  <c r="AB356" i="1" s="1"/>
  <c r="AC285" i="1" a="1"/>
  <c r="AC285" i="1" s="1"/>
  <c r="AB285" i="1" a="1"/>
  <c r="AB285" i="1" s="1"/>
  <c r="AA236" i="1" a="1"/>
  <c r="AA236" i="1" s="1"/>
  <c r="AD236" i="1"/>
  <c r="AA159" i="1" a="1"/>
  <c r="AA159" i="1" s="1"/>
  <c r="AB159" i="1" a="1"/>
  <c r="AB159" i="1" s="1"/>
  <c r="AC159" i="1" a="1"/>
  <c r="AC159" i="1" s="1"/>
  <c r="AD159" i="1"/>
  <c r="AD123" i="1"/>
  <c r="AB123" i="1" a="1"/>
  <c r="AB123" i="1" s="1"/>
  <c r="AA123" i="1" a="1"/>
  <c r="AA123" i="1" s="1"/>
  <c r="AC123" i="1" a="1"/>
  <c r="AC123" i="1" s="1"/>
  <c r="AB420" i="1" a="1"/>
  <c r="AB420" i="1" s="1"/>
  <c r="AA420" i="1" a="1"/>
  <c r="AA420" i="1" s="1"/>
  <c r="AA363" i="1" a="1"/>
  <c r="AA363" i="1" s="1"/>
  <c r="AD363" i="1"/>
  <c r="AC348" i="1" a="1"/>
  <c r="AC348" i="1" s="1"/>
  <c r="AD348" i="1"/>
  <c r="AD336" i="1"/>
  <c r="AB336" i="1" a="1"/>
  <c r="AB336" i="1" s="1"/>
  <c r="AC336" i="1" a="1"/>
  <c r="AC336" i="1" s="1"/>
  <c r="AA179" i="1" a="1"/>
  <c r="AA179" i="1" s="1"/>
  <c r="AB179" i="1" a="1"/>
  <c r="AB179" i="1" s="1"/>
  <c r="AC179" i="1" a="1"/>
  <c r="AC179" i="1" s="1"/>
  <c r="AC111" i="1" a="1"/>
  <c r="AC111" i="1" s="1"/>
  <c r="AD111" i="1"/>
  <c r="AA338" i="1" a="1"/>
  <c r="AA338" i="1" s="1"/>
  <c r="AB338" i="1" a="1"/>
  <c r="AB338" i="1" s="1"/>
  <c r="AC338" i="1" a="1"/>
  <c r="AC338" i="1" s="1"/>
  <c r="AA498" i="1" a="1"/>
  <c r="AA498" i="1" s="1"/>
  <c r="AC491" i="1" a="1"/>
  <c r="AC491" i="1" s="1"/>
  <c r="AA479" i="1" a="1"/>
  <c r="AA479" i="1" s="1"/>
  <c r="AB479" i="1" a="1"/>
  <c r="AB479" i="1" s="1"/>
  <c r="AB404" i="1" a="1"/>
  <c r="AB404" i="1" s="1"/>
  <c r="AD404" i="1"/>
  <c r="AC375" i="1" a="1"/>
  <c r="AC375" i="1" s="1"/>
  <c r="AD375" i="1"/>
  <c r="AA350" i="1" a="1"/>
  <c r="AA350" i="1" s="1"/>
  <c r="AD330" i="1"/>
  <c r="AC325" i="1" a="1"/>
  <c r="AC325" i="1" s="1"/>
  <c r="AD325" i="1"/>
  <c r="AD306" i="1"/>
  <c r="AD301" i="1"/>
  <c r="AC296" i="1" a="1"/>
  <c r="AC296" i="1" s="1"/>
  <c r="AD296" i="1"/>
  <c r="AD281" i="1"/>
  <c r="AA281" i="1" a="1"/>
  <c r="AA281" i="1" s="1"/>
  <c r="AC281" i="1" a="1"/>
  <c r="AC281" i="1" s="1"/>
  <c r="AA248" i="1" a="1"/>
  <c r="AA248" i="1" s="1"/>
  <c r="AD248" i="1"/>
  <c r="AA195" i="1" a="1"/>
  <c r="AA195" i="1" s="1"/>
  <c r="AB195" i="1" a="1"/>
  <c r="AB195" i="1" s="1"/>
  <c r="AD195" i="1"/>
  <c r="AB126" i="1" a="1"/>
  <c r="AB126" i="1" s="1"/>
  <c r="AD126" i="1"/>
  <c r="AA126" i="1" a="1"/>
  <c r="AA126" i="1" s="1"/>
  <c r="AD537" i="1"/>
  <c r="AA488" i="1" a="1"/>
  <c r="AA488" i="1" s="1"/>
  <c r="AA465" i="1" a="1"/>
  <c r="AA465" i="1" s="1"/>
  <c r="AB454" i="1" a="1"/>
  <c r="AB454" i="1" s="1"/>
  <c r="AC448" i="1" a="1"/>
  <c r="AC448" i="1" s="1"/>
  <c r="AD448" i="1"/>
  <c r="AA401" i="1" a="1"/>
  <c r="AA401" i="1" s="1"/>
  <c r="AB401" i="1" a="1"/>
  <c r="AB401" i="1" s="1"/>
  <c r="AA390" i="1" a="1"/>
  <c r="AA390" i="1" s="1"/>
  <c r="AC387" i="1" a="1"/>
  <c r="AC387" i="1" s="1"/>
  <c r="AB382" i="1" a="1"/>
  <c r="AB382" i="1" s="1"/>
  <c r="AA365" i="1" a="1"/>
  <c r="AA365" i="1" s="1"/>
  <c r="AD365" i="1"/>
  <c r="AB337" i="1" a="1"/>
  <c r="AB337" i="1" s="1"/>
  <c r="AC315" i="1" a="1"/>
  <c r="AC315" i="1" s="1"/>
  <c r="AD303" i="1"/>
  <c r="AD263" i="1"/>
  <c r="AB263" i="1" a="1"/>
  <c r="AB263" i="1" s="1"/>
  <c r="AC263" i="1" a="1"/>
  <c r="AC263" i="1" s="1"/>
  <c r="AD215" i="1"/>
  <c r="AA215" i="1" a="1"/>
  <c r="AA215" i="1" s="1"/>
  <c r="AC215" i="1" a="1"/>
  <c r="AC215" i="1" s="1"/>
  <c r="AC114" i="1" a="1"/>
  <c r="AC114" i="1" s="1"/>
  <c r="AB114" i="1" a="1"/>
  <c r="AB114" i="1" s="1"/>
  <c r="AD516" i="1"/>
  <c r="AA515" i="1" a="1"/>
  <c r="AA515" i="1" s="1"/>
  <c r="AC515" i="1" a="1"/>
  <c r="AC515" i="1" s="1"/>
  <c r="AC471" i="1" a="1"/>
  <c r="AC471" i="1" s="1"/>
  <c r="AA454" i="1" a="1"/>
  <c r="AA454" i="1" s="1"/>
  <c r="AB387" i="1" a="1"/>
  <c r="AB387" i="1" s="1"/>
  <c r="AA337" i="1" a="1"/>
  <c r="AA337" i="1" s="1"/>
  <c r="AC303" i="1" a="1"/>
  <c r="AC303" i="1" s="1"/>
  <c r="AD280" i="1"/>
  <c r="AC280" i="1" a="1"/>
  <c r="AC280" i="1" s="1"/>
  <c r="AB268" i="1" a="1"/>
  <c r="AB268" i="1" s="1"/>
  <c r="AD238" i="1"/>
  <c r="AC238" i="1" a="1"/>
  <c r="AC238" i="1" s="1"/>
  <c r="AB119" i="1" a="1"/>
  <c r="AB119" i="1" s="1"/>
  <c r="AA119" i="1" a="1"/>
  <c r="AA119" i="1" s="1"/>
  <c r="AC119" i="1" a="1"/>
  <c r="AC119" i="1" s="1"/>
  <c r="AD521" i="1"/>
  <c r="AA521" i="1" a="1"/>
  <c r="AA521" i="1" s="1"/>
  <c r="AC516" i="1" a="1"/>
  <c r="AC516" i="1" s="1"/>
  <c r="AD491" i="1"/>
  <c r="AA491" i="1" a="1"/>
  <c r="AA491" i="1" s="1"/>
  <c r="AD441" i="1"/>
  <c r="AC380" i="1" a="1"/>
  <c r="AC380" i="1" s="1"/>
  <c r="AD380" i="1"/>
  <c r="AC523" i="1" a="1"/>
  <c r="AC523" i="1" s="1"/>
  <c r="AD495" i="1"/>
  <c r="AC493" i="1" a="1"/>
  <c r="AC493" i="1" s="1"/>
  <c r="AA493" i="1" a="1"/>
  <c r="AA493" i="1" s="1"/>
  <c r="AC441" i="1" a="1"/>
  <c r="AC441" i="1" s="1"/>
  <c r="AD435" i="1"/>
  <c r="AD426" i="1"/>
  <c r="AA426" i="1" a="1"/>
  <c r="AA426" i="1" s="1"/>
  <c r="AD416" i="1"/>
  <c r="AA411" i="1" a="1"/>
  <c r="AA411" i="1" s="1"/>
  <c r="AB411" i="1" a="1"/>
  <c r="AB411" i="1" s="1"/>
  <c r="AD411" i="1"/>
  <c r="AC382" i="1" a="1"/>
  <c r="AC382" i="1" s="1"/>
  <c r="AD382" i="1"/>
  <c r="AD315" i="1"/>
  <c r="AB315" i="1" a="1"/>
  <c r="AB315" i="1" s="1"/>
  <c r="AB306" i="1" a="1"/>
  <c r="AB306" i="1" s="1"/>
  <c r="AC306" i="1" a="1"/>
  <c r="AC306" i="1" s="1"/>
  <c r="AC301" i="1" a="1"/>
  <c r="AC301" i="1" s="1"/>
  <c r="AA301" i="1" a="1"/>
  <c r="AA301" i="1" s="1"/>
  <c r="AA286" i="1" a="1"/>
  <c r="AA286" i="1" s="1"/>
  <c r="AD286" i="1"/>
  <c r="AC286" i="1" a="1"/>
  <c r="AC286" i="1" s="1"/>
  <c r="AD228" i="1"/>
  <c r="AC228" i="1" a="1"/>
  <c r="AC228" i="1" s="1"/>
  <c r="AA161" i="1" a="1"/>
  <c r="AA161" i="1" s="1"/>
  <c r="AB161" i="1" a="1"/>
  <c r="AB161" i="1" s="1"/>
  <c r="AD161" i="1"/>
  <c r="AB150" i="1" a="1"/>
  <c r="AB150" i="1" s="1"/>
  <c r="AA150" i="1" a="1"/>
  <c r="AA150" i="1" s="1"/>
  <c r="AC150" i="1" a="1"/>
  <c r="AC150" i="1" s="1"/>
  <c r="AD147" i="1"/>
  <c r="AA147" i="1" a="1"/>
  <c r="AA147" i="1" s="1"/>
  <c r="AB147" i="1" a="1"/>
  <c r="AB147" i="1" s="1"/>
  <c r="AC147" i="1" a="1"/>
  <c r="AC147" i="1" s="1"/>
  <c r="AD536" i="1"/>
  <c r="AB523" i="1" a="1"/>
  <c r="AB523" i="1" s="1"/>
  <c r="AB516" i="1" a="1"/>
  <c r="AB516" i="1" s="1"/>
  <c r="AD505" i="1"/>
  <c r="AC495" i="1" a="1"/>
  <c r="AC495" i="1" s="1"/>
  <c r="AD470" i="1"/>
  <c r="AC461" i="1" a="1"/>
  <c r="AC461" i="1" s="1"/>
  <c r="AD461" i="1"/>
  <c r="AD459" i="1"/>
  <c r="AB459" i="1" a="1"/>
  <c r="AB459" i="1" s="1"/>
  <c r="AD453" i="1"/>
  <c r="AC435" i="1" a="1"/>
  <c r="AC435" i="1" s="1"/>
  <c r="AC416" i="1" a="1"/>
  <c r="AC416" i="1" s="1"/>
  <c r="AD354" i="1"/>
  <c r="AC354" i="1" a="1"/>
  <c r="AC354" i="1" s="1"/>
  <c r="AC344" i="1" a="1"/>
  <c r="AC344" i="1" s="1"/>
  <c r="AD344" i="1"/>
  <c r="AA321" i="1" a="1"/>
  <c r="AA321" i="1" s="1"/>
  <c r="AB321" i="1" a="1"/>
  <c r="AB321" i="1" s="1"/>
  <c r="AD314" i="1"/>
  <c r="AA309" i="1" a="1"/>
  <c r="AA309" i="1" s="1"/>
  <c r="AB309" i="1" a="1"/>
  <c r="AB309" i="1" s="1"/>
  <c r="AD285" i="1"/>
  <c r="AA204" i="1" a="1"/>
  <c r="AA204" i="1" s="1"/>
  <c r="AD204" i="1"/>
  <c r="AC536" i="1" a="1"/>
  <c r="AC536" i="1" s="1"/>
  <c r="AA529" i="1" a="1"/>
  <c r="AA529" i="1" s="1"/>
  <c r="AB529" i="1" a="1"/>
  <c r="AB529" i="1" s="1"/>
  <c r="AD525" i="1"/>
  <c r="AC499" i="1" a="1"/>
  <c r="AC499" i="1" s="1"/>
  <c r="AA499" i="1" a="1"/>
  <c r="AA499" i="1" s="1"/>
  <c r="AA497" i="1" a="1"/>
  <c r="AA497" i="1" s="1"/>
  <c r="AD497" i="1"/>
  <c r="AB495" i="1" a="1"/>
  <c r="AB495" i="1" s="1"/>
  <c r="AB470" i="1" a="1"/>
  <c r="AB470" i="1" s="1"/>
  <c r="AC453" i="1" a="1"/>
  <c r="AC453" i="1" s="1"/>
  <c r="AA441" i="1" a="1"/>
  <c r="AA441" i="1" s="1"/>
  <c r="AD437" i="1"/>
  <c r="AB435" i="1" a="1"/>
  <c r="AB435" i="1" s="1"/>
  <c r="AD427" i="1"/>
  <c r="AC421" i="1" a="1"/>
  <c r="AC421" i="1" s="1"/>
  <c r="AA421" i="1" a="1"/>
  <c r="AA421" i="1" s="1"/>
  <c r="AB416" i="1" a="1"/>
  <c r="AB416" i="1" s="1"/>
  <c r="AA394" i="1" a="1"/>
  <c r="AA394" i="1" s="1"/>
  <c r="AB394" i="1" a="1"/>
  <c r="AB394" i="1" s="1"/>
  <c r="AD370" i="1"/>
  <c r="AD359" i="1"/>
  <c r="AA359" i="1" a="1"/>
  <c r="AA359" i="1" s="1"/>
  <c r="AB359" i="1" a="1"/>
  <c r="AB359" i="1" s="1"/>
  <c r="AC356" i="1" a="1"/>
  <c r="AC356" i="1" s="1"/>
  <c r="AC314" i="1" a="1"/>
  <c r="AC314" i="1" s="1"/>
  <c r="AA285" i="1" a="1"/>
  <c r="AA285" i="1" s="1"/>
  <c r="AD197" i="1"/>
  <c r="AC197" i="1" a="1"/>
  <c r="AC197" i="1" s="1"/>
  <c r="AB197" i="1" a="1"/>
  <c r="AB197" i="1" s="1"/>
  <c r="AD174" i="1"/>
  <c r="AB174" i="1" a="1"/>
  <c r="AB174" i="1" s="1"/>
  <c r="AA174" i="1" a="1"/>
  <c r="AA174" i="1" s="1"/>
  <c r="AD156" i="1"/>
  <c r="AA156" i="1" a="1"/>
  <c r="AA156" i="1" s="1"/>
  <c r="AB156" i="1" a="1"/>
  <c r="AB156" i="1" s="1"/>
  <c r="AD627" i="1"/>
  <c r="AD603" i="1"/>
  <c r="AB484" i="1" a="1"/>
  <c r="AB484" i="1" s="1"/>
  <c r="AB475" i="1" a="1"/>
  <c r="AB475" i="1" s="1"/>
  <c r="AA470" i="1" a="1"/>
  <c r="AA470" i="1" s="1"/>
  <c r="AD455" i="1"/>
  <c r="AB449" i="1" a="1"/>
  <c r="AB449" i="1" s="1"/>
  <c r="AA449" i="1" a="1"/>
  <c r="AA449" i="1" s="1"/>
  <c r="AC427" i="1" a="1"/>
  <c r="AC427" i="1" s="1"/>
  <c r="AD420" i="1"/>
  <c r="AA414" i="1" a="1"/>
  <c r="AA414" i="1" s="1"/>
  <c r="AB414" i="1" a="1"/>
  <c r="AB414" i="1" s="1"/>
  <c r="AC384" i="1" a="1"/>
  <c r="AC384" i="1" s="1"/>
  <c r="AD384" i="1"/>
  <c r="AA384" i="1" a="1"/>
  <c r="AA384" i="1" s="1"/>
  <c r="AB368" i="1" a="1"/>
  <c r="AB368" i="1" s="1"/>
  <c r="AC363" i="1" a="1"/>
  <c r="AC363" i="1" s="1"/>
  <c r="AA356" i="1" a="1"/>
  <c r="AA356" i="1" s="1"/>
  <c r="AB348" i="1" a="1"/>
  <c r="AB348" i="1" s="1"/>
  <c r="AA329" i="1" a="1"/>
  <c r="AA329" i="1" s="1"/>
  <c r="AC329" i="1" a="1"/>
  <c r="AC329" i="1" s="1"/>
  <c r="AB314" i="1" a="1"/>
  <c r="AB314" i="1" s="1"/>
  <c r="AC308" i="1" a="1"/>
  <c r="AC308" i="1" s="1"/>
  <c r="AB308" i="1" a="1"/>
  <c r="AB308" i="1" s="1"/>
  <c r="AD308" i="1"/>
  <c r="AA273" i="1" a="1"/>
  <c r="AA273" i="1" s="1"/>
  <c r="AC273" i="1" a="1"/>
  <c r="AC273" i="1" s="1"/>
  <c r="AD273" i="1"/>
  <c r="AC220" i="1" a="1"/>
  <c r="AC220" i="1" s="1"/>
  <c r="AA220" i="1" a="1"/>
  <c r="AA220" i="1" s="1"/>
  <c r="AB220" i="1" a="1"/>
  <c r="AB220" i="1" s="1"/>
  <c r="Z75" i="1" a="1"/>
  <c r="Z75" i="1" s="1"/>
  <c r="AC75" i="1" a="1"/>
  <c r="AC75" i="1" s="1"/>
  <c r="Z49" i="1" a="1"/>
  <c r="Z49" i="1" s="1"/>
  <c r="AA49" i="1" a="1"/>
  <c r="AA49" i="1" s="1"/>
  <c r="AB49" i="1" a="1"/>
  <c r="AB49" i="1" s="1"/>
  <c r="AC49" i="1" a="1"/>
  <c r="AC49" i="1" s="1"/>
  <c r="AD49" i="1"/>
  <c r="AC415" i="1" a="1"/>
  <c r="AC415" i="1" s="1"/>
  <c r="AC275" i="1" a="1"/>
  <c r="AC275" i="1" s="1"/>
  <c r="AB266" i="1" a="1"/>
  <c r="AB266" i="1" s="1"/>
  <c r="AC266" i="1" a="1"/>
  <c r="AC266" i="1" s="1"/>
  <c r="AD219" i="1"/>
  <c r="AC216" i="1" a="1"/>
  <c r="AC216" i="1" s="1"/>
  <c r="AA178" i="1" a="1"/>
  <c r="AA178" i="1" s="1"/>
  <c r="AB135" i="1" a="1"/>
  <c r="AB135" i="1" s="1"/>
  <c r="AD135" i="1"/>
  <c r="AA135" i="1" a="1"/>
  <c r="AA135" i="1" s="1"/>
  <c r="AD113" i="1"/>
  <c r="AB104" i="1" a="1"/>
  <c r="AB104" i="1" s="1"/>
  <c r="Z104" i="1" a="1"/>
  <c r="Z104" i="1" s="1"/>
  <c r="AA157" i="1" a="1"/>
  <c r="AA157" i="1" s="1"/>
  <c r="AD157" i="1"/>
  <c r="AB132" i="1" a="1"/>
  <c r="AB132" i="1" s="1"/>
  <c r="AA132" i="1" a="1"/>
  <c r="AA132" i="1" s="1"/>
  <c r="AA100" i="1" a="1"/>
  <c r="AA100" i="1" s="1"/>
  <c r="Z100" i="1" a="1"/>
  <c r="Z100" i="1" s="1"/>
  <c r="Z40" i="1" a="1"/>
  <c r="Z40" i="1" s="1"/>
  <c r="AA40" i="1" a="1"/>
  <c r="AA40" i="1" s="1"/>
  <c r="AB40" i="1" a="1"/>
  <c r="AB40" i="1" s="1"/>
  <c r="AC40" i="1" a="1"/>
  <c r="AC40" i="1" s="1"/>
  <c r="AD40" i="1"/>
  <c r="AA206" i="1" a="1"/>
  <c r="AA206" i="1" s="1"/>
  <c r="AC206" i="1" a="1"/>
  <c r="AC206" i="1" s="1"/>
  <c r="AB206" i="1" a="1"/>
  <c r="AB206" i="1" s="1"/>
  <c r="AA148" i="1" a="1"/>
  <c r="AA148" i="1" s="1"/>
  <c r="AC148" i="1" a="1"/>
  <c r="AC148" i="1" s="1"/>
  <c r="AD142" i="1"/>
  <c r="AA127" i="1" a="1"/>
  <c r="AA127" i="1" s="1"/>
  <c r="AB96" i="1" a="1"/>
  <c r="AB96" i="1" s="1"/>
  <c r="Z96" i="1" a="1"/>
  <c r="Z96" i="1" s="1"/>
  <c r="Z39" i="1" a="1"/>
  <c r="Z39" i="1" s="1"/>
  <c r="AD39" i="1"/>
  <c r="AC106" i="1" a="1"/>
  <c r="AC106" i="1" s="1"/>
  <c r="AA106" i="1" a="1"/>
  <c r="AA106" i="1" s="1"/>
  <c r="Z103" i="1" a="1"/>
  <c r="Z103" i="1" s="1"/>
  <c r="AD98" i="1"/>
  <c r="AC89" i="1" a="1"/>
  <c r="AC89" i="1" s="1"/>
  <c r="AD398" i="1"/>
  <c r="AB347" i="1" a="1"/>
  <c r="AB347" i="1" s="1"/>
  <c r="AD328" i="1"/>
  <c r="AB324" i="1" a="1"/>
  <c r="AB324" i="1" s="1"/>
  <c r="AA319" i="1" a="1"/>
  <c r="AA319" i="1" s="1"/>
  <c r="AA279" i="1" a="1"/>
  <c r="AA279" i="1" s="1"/>
  <c r="AD279" i="1"/>
  <c r="AA277" i="1" a="1"/>
  <c r="AA277" i="1" s="1"/>
  <c r="AA272" i="1" a="1"/>
  <c r="AA272" i="1" s="1"/>
  <c r="AA264" i="1" a="1"/>
  <c r="AA264" i="1" s="1"/>
  <c r="AA242" i="1" a="1"/>
  <c r="AA242" i="1" s="1"/>
  <c r="AA202" i="1" a="1"/>
  <c r="AA202" i="1" s="1"/>
  <c r="AB198" i="1" a="1"/>
  <c r="AB198" i="1" s="1"/>
  <c r="AA189" i="1" a="1"/>
  <c r="AA189" i="1" s="1"/>
  <c r="AA142" i="1" a="1"/>
  <c r="AA142" i="1" s="1"/>
  <c r="AC129" i="1" a="1"/>
  <c r="AC129" i="1" s="1"/>
  <c r="AD129" i="1"/>
  <c r="AB120" i="1" a="1"/>
  <c r="AB120" i="1" s="1"/>
  <c r="AD120" i="1"/>
  <c r="Z83" i="1" a="1"/>
  <c r="Z83" i="1" s="1"/>
  <c r="AA83" i="1" a="1"/>
  <c r="AA83" i="1" s="1"/>
  <c r="AB83" i="1" a="1"/>
  <c r="AB83" i="1" s="1"/>
  <c r="AC83" i="1" a="1"/>
  <c r="AC83" i="1" s="1"/>
  <c r="AB102" i="1" a="1"/>
  <c r="AB102" i="1" s="1"/>
  <c r="AC102" i="1" a="1"/>
  <c r="AC102" i="1" s="1"/>
  <c r="AA224" i="1" a="1"/>
  <c r="AA224" i="1" s="1"/>
  <c r="AB224" i="1" a="1"/>
  <c r="AB224" i="1" s="1"/>
  <c r="AD190" i="1"/>
  <c r="AA163" i="1" a="1"/>
  <c r="AA163" i="1" s="1"/>
  <c r="AB163" i="1" a="1"/>
  <c r="AB163" i="1" s="1"/>
  <c r="AD130" i="1"/>
  <c r="AB124" i="1" a="1"/>
  <c r="AB124" i="1" s="1"/>
  <c r="AD124" i="1"/>
  <c r="Z98" i="1" a="1"/>
  <c r="Z98" i="1" s="1"/>
  <c r="AC98" i="1" a="1"/>
  <c r="AC98" i="1" s="1"/>
  <c r="AA89" i="1" a="1"/>
  <c r="AA89" i="1" s="1"/>
  <c r="AD89" i="1"/>
  <c r="AD245" i="1"/>
  <c r="AC245" i="1" a="1"/>
  <c r="AC245" i="1" s="1"/>
  <c r="AB207" i="1" a="1"/>
  <c r="AB207" i="1" s="1"/>
  <c r="AD207" i="1"/>
  <c r="AC171" i="1" a="1"/>
  <c r="AC171" i="1" s="1"/>
  <c r="AD168" i="1"/>
  <c r="AD166" i="1"/>
  <c r="AD141" i="1"/>
  <c r="AC130" i="1" a="1"/>
  <c r="AC130" i="1" s="1"/>
  <c r="AC112" i="1" a="1"/>
  <c r="AC112" i="1" s="1"/>
  <c r="AA112" i="1" a="1"/>
  <c r="AA112" i="1" s="1"/>
  <c r="Z19" i="1" a="1"/>
  <c r="Z19" i="1" s="1"/>
  <c r="AA19" i="1" a="1"/>
  <c r="AA19" i="1" s="1"/>
  <c r="AB19" i="1" a="1"/>
  <c r="AB19" i="1" s="1"/>
  <c r="AC19" i="1" a="1"/>
  <c r="AC19" i="1" s="1"/>
  <c r="AD19" i="1"/>
  <c r="AB444" i="1" a="1"/>
  <c r="AB444" i="1" s="1"/>
  <c r="AB436" i="1" a="1"/>
  <c r="AB436" i="1" s="1"/>
  <c r="AC425" i="1" a="1"/>
  <c r="AC425" i="1" s="1"/>
  <c r="AB408" i="1" a="1"/>
  <c r="AB408" i="1" s="1"/>
  <c r="AD323" i="1"/>
  <c r="AB318" i="1" a="1"/>
  <c r="AB318" i="1" s="1"/>
  <c r="AC311" i="1" a="1"/>
  <c r="AC311" i="1" s="1"/>
  <c r="AA266" i="1" a="1"/>
  <c r="AA266" i="1" s="1"/>
  <c r="AD260" i="1"/>
  <c r="AA258" i="1" a="1"/>
  <c r="AA258" i="1" s="1"/>
  <c r="AD258" i="1"/>
  <c r="AD206" i="1"/>
  <c r="AC190" i="1" a="1"/>
  <c r="AC190" i="1" s="1"/>
  <c r="AC157" i="1" a="1"/>
  <c r="AC157" i="1" s="1"/>
  <c r="AB149" i="1" a="1"/>
  <c r="AB149" i="1" s="1"/>
  <c r="AC149" i="1" a="1"/>
  <c r="AC149" i="1" s="1"/>
  <c r="AC141" i="1" a="1"/>
  <c r="AC141" i="1" s="1"/>
  <c r="AB121" i="1" a="1"/>
  <c r="AB121" i="1" s="1"/>
  <c r="AB115" i="1" a="1"/>
  <c r="AB115" i="1" s="1"/>
  <c r="AD115" i="1"/>
  <c r="AD104" i="1"/>
  <c r="Z101" i="1" a="1"/>
  <c r="Z101" i="1" s="1"/>
  <c r="AB101" i="1" a="1"/>
  <c r="AB101" i="1" s="1"/>
  <c r="AD101" i="1"/>
  <c r="AB94" i="1" a="1"/>
  <c r="AB94" i="1" s="1"/>
  <c r="Z71" i="1" a="1"/>
  <c r="Z71" i="1" s="1"/>
  <c r="AB71" i="1" a="1"/>
  <c r="AB71" i="1" s="1"/>
  <c r="AC71" i="1" a="1"/>
  <c r="AC71" i="1" s="1"/>
  <c r="AD71" i="1"/>
  <c r="AD153" i="1"/>
  <c r="AB97" i="1" a="1"/>
  <c r="AB97" i="1" s="1"/>
  <c r="AA95" i="1" a="1"/>
  <c r="AA95" i="1" s="1"/>
  <c r="AC90" i="1" a="1"/>
  <c r="AC90" i="1" s="1"/>
  <c r="AB88" i="1" a="1"/>
  <c r="AB88" i="1" s="1"/>
  <c r="AD74" i="1"/>
  <c r="AA70" i="1" a="1"/>
  <c r="AA70" i="1" s="1"/>
  <c r="Z68" i="1" a="1"/>
  <c r="Z68" i="1" s="1"/>
  <c r="AA65" i="1" a="1"/>
  <c r="AA65" i="1" s="1"/>
  <c r="Z61" i="1" a="1"/>
  <c r="Z61" i="1" s="1"/>
  <c r="Z50" i="1" a="1"/>
  <c r="Z50" i="1" s="1"/>
  <c r="Z48" i="1" a="1"/>
  <c r="Z48" i="1" s="1"/>
  <c r="AA46" i="1" a="1"/>
  <c r="AA46" i="1" s="1"/>
  <c r="AC43" i="1" a="1"/>
  <c r="AC43" i="1" s="1"/>
  <c r="AD38" i="1"/>
  <c r="Z37" i="1" a="1"/>
  <c r="Z37" i="1" s="1"/>
  <c r="AC34" i="1" a="1"/>
  <c r="AC34" i="1" s="1"/>
  <c r="Z32" i="1" a="1"/>
  <c r="Z32" i="1" s="1"/>
  <c r="Z30" i="1" a="1"/>
  <c r="Z30" i="1" s="1"/>
  <c r="Z28" i="1" a="1"/>
  <c r="Z28" i="1" s="1"/>
  <c r="AA23" i="1" a="1"/>
  <c r="AA23" i="1" s="1"/>
  <c r="Z70" i="1" a="1"/>
  <c r="Z70" i="1" s="1"/>
  <c r="AC58" i="1" a="1"/>
  <c r="AC58" i="1" s="1"/>
  <c r="AC56" i="1" a="1"/>
  <c r="AC56" i="1" s="1"/>
  <c r="AC52" i="1" a="1"/>
  <c r="AC52" i="1" s="1"/>
  <c r="Z46" i="1" a="1"/>
  <c r="Z46" i="1" s="1"/>
  <c r="AB43" i="1" a="1"/>
  <c r="AB43" i="1" s="1"/>
  <c r="AB34" i="1" a="1"/>
  <c r="AB34" i="1" s="1"/>
  <c r="Z23" i="1" a="1"/>
  <c r="Z23" i="1" s="1"/>
  <c r="AD9" i="1"/>
  <c r="Z90" i="1" a="1"/>
  <c r="Z90" i="1" s="1"/>
  <c r="AC74" i="1" a="1"/>
  <c r="AC74" i="1" s="1"/>
  <c r="Z65" i="1" a="1"/>
  <c r="Z65" i="1" s="1"/>
  <c r="AD60" i="1"/>
  <c r="AB58" i="1" a="1"/>
  <c r="AB58" i="1" s="1"/>
  <c r="AB56" i="1" a="1"/>
  <c r="AB56" i="1" s="1"/>
  <c r="AB52" i="1" a="1"/>
  <c r="AB52" i="1" s="1"/>
  <c r="AA43" i="1" a="1"/>
  <c r="AA43" i="1" s="1"/>
  <c r="AD80" i="1"/>
  <c r="AD76" i="1"/>
  <c r="AB74" i="1" a="1"/>
  <c r="AB74" i="1" s="1"/>
  <c r="AD69" i="1"/>
  <c r="AA56" i="1" a="1"/>
  <c r="AA56" i="1" s="1"/>
  <c r="AA52" i="1" a="1"/>
  <c r="AA52" i="1" s="1"/>
  <c r="AD22" i="1"/>
  <c r="AD8" i="1"/>
  <c r="AD64" i="1"/>
  <c r="AC22" i="1" a="1"/>
  <c r="AC22" i="1" s="1"/>
  <c r="AD15" i="1"/>
  <c r="AC8" i="1" a="1"/>
  <c r="AC8" i="1" s="1"/>
  <c r="AB8" i="1" a="1"/>
  <c r="AB8" i="1" s="1"/>
  <c r="AB26" i="1" a="1"/>
  <c r="AB26" i="1" s="1"/>
  <c r="AA24" i="1" a="1"/>
  <c r="AA24" i="1" s="1"/>
  <c r="AA22" i="1" a="1"/>
  <c r="AA22" i="1" s="1"/>
  <c r="AD14" i="1"/>
  <c r="AA8" i="1" a="1"/>
  <c r="AA8" i="1" s="1"/>
  <c r="AD68" i="1"/>
  <c r="AD50" i="1"/>
  <c r="AD41" i="1"/>
  <c r="AD37" i="1"/>
  <c r="Z24" i="1" a="1"/>
  <c r="Z24" i="1" s="1"/>
  <c r="AD5" i="1"/>
  <c r="AC3" i="1" a="1"/>
  <c r="AC3" i="1" s="1"/>
  <c r="AC50" i="1" a="1"/>
  <c r="AC50" i="1" s="1"/>
  <c r="AD48" i="1"/>
  <c r="AB37" i="1" a="1"/>
  <c r="AB37" i="1" s="1"/>
  <c r="AC32" i="1" a="1"/>
  <c r="AC32" i="1" s="1"/>
  <c r="AC28" i="1" a="1"/>
  <c r="AC28" i="1" s="1"/>
  <c r="AD23" i="1"/>
  <c r="AB14" i="1" a="1"/>
  <c r="AB14" i="1" s="1"/>
  <c r="AA291" i="1" a="1"/>
  <c r="AA291" i="1" s="1"/>
  <c r="AA244" i="1" a="1"/>
  <c r="AA244" i="1" s="1"/>
  <c r="AC63" i="1" a="1"/>
  <c r="AC63" i="1" s="1"/>
  <c r="AC48" i="1" a="1"/>
  <c r="AC48" i="1" s="1"/>
  <c r="AD30" i="1"/>
  <c r="AA10" i="1" a="1"/>
  <c r="AA10" i="1" s="1"/>
  <c r="Q924" i="1"/>
  <c r="Q919" i="1"/>
  <c r="Q895" i="1"/>
  <c r="Q858" i="1"/>
  <c r="Q851" i="1"/>
  <c r="Q847" i="1"/>
  <c r="Q840" i="1"/>
  <c r="Q837" i="1"/>
  <c r="Q829" i="1"/>
  <c r="Q765" i="1"/>
  <c r="Q932" i="1"/>
  <c r="Q928" i="1"/>
  <c r="Q921" i="1"/>
  <c r="Q873" i="1"/>
  <c r="Q833" i="1"/>
  <c r="Q819" i="1"/>
  <c r="Q883" i="1"/>
  <c r="Q811" i="1"/>
  <c r="Q931" i="1"/>
  <c r="Q917" i="1"/>
  <c r="Q902" i="1"/>
  <c r="Q845" i="1"/>
  <c r="Q827" i="1"/>
  <c r="Q899" i="1"/>
  <c r="Q920" i="1"/>
  <c r="Q887" i="1"/>
  <c r="Q881" i="1"/>
  <c r="Q842" i="1"/>
  <c r="Q943" i="1"/>
  <c r="Q878" i="1"/>
  <c r="Q874" i="1"/>
  <c r="AC704" i="1" a="1"/>
  <c r="AC704" i="1" s="1"/>
  <c r="AD704" i="1"/>
  <c r="AA704" i="1" a="1"/>
  <c r="AA704" i="1" s="1"/>
  <c r="AA599" i="1" a="1"/>
  <c r="AA599" i="1" s="1"/>
  <c r="AB599" i="1" a="1"/>
  <c r="AB599" i="1" s="1"/>
  <c r="AC599" i="1" a="1"/>
  <c r="AC599" i="1" s="1"/>
  <c r="AD599" i="1"/>
  <c r="AB760" i="1" a="1"/>
  <c r="AB760" i="1" s="1"/>
  <c r="AD760" i="1"/>
  <c r="AA713" i="1" a="1"/>
  <c r="AA713" i="1" s="1"/>
  <c r="AB713" i="1" a="1"/>
  <c r="AB713" i="1" s="1"/>
  <c r="AC713" i="1" a="1"/>
  <c r="AC713" i="1" s="1"/>
  <c r="AD713" i="1"/>
  <c r="AD759" i="1"/>
  <c r="AD929" i="1"/>
  <c r="AD911" i="1"/>
  <c r="AD893" i="1"/>
  <c r="AD875" i="1"/>
  <c r="AD857" i="1"/>
  <c r="AD839" i="1"/>
  <c r="AD821" i="1"/>
  <c r="AD803" i="1"/>
  <c r="AD785" i="1"/>
  <c r="AC766" i="1" a="1"/>
  <c r="AC766" i="1" s="1"/>
  <c r="AD761" i="1"/>
  <c r="Q749" i="1"/>
  <c r="AA717" i="1" a="1"/>
  <c r="AA717" i="1" s="1"/>
  <c r="AB717" i="1" a="1"/>
  <c r="AB717" i="1" s="1"/>
  <c r="AC717" i="1" a="1"/>
  <c r="AC717" i="1" s="1"/>
  <c r="AD717" i="1"/>
  <c r="AA703" i="1" a="1"/>
  <c r="AA703" i="1" s="1"/>
  <c r="AB703" i="1" a="1"/>
  <c r="AB703" i="1" s="1"/>
  <c r="AC703" i="1" a="1"/>
  <c r="AC703" i="1" s="1"/>
  <c r="AD703" i="1"/>
  <c r="AC701" i="1" a="1"/>
  <c r="AC701" i="1" s="1"/>
  <c r="AD701" i="1"/>
  <c r="AA697" i="1" a="1"/>
  <c r="AA697" i="1" s="1"/>
  <c r="AB697" i="1" a="1"/>
  <c r="AB697" i="1" s="1"/>
  <c r="AC697" i="1" a="1"/>
  <c r="AC697" i="1" s="1"/>
  <c r="AD697" i="1"/>
  <c r="Q901" i="1"/>
  <c r="AC929" i="1" a="1"/>
  <c r="AC929" i="1" s="1"/>
  <c r="AD922" i="1"/>
  <c r="AD915" i="1"/>
  <c r="AC875" i="1" a="1"/>
  <c r="AC875" i="1" s="1"/>
  <c r="AD868" i="1"/>
  <c r="AD861" i="1"/>
  <c r="AC857" i="1" a="1"/>
  <c r="AC857" i="1" s="1"/>
  <c r="AD854" i="1"/>
  <c r="AD850" i="1"/>
  <c r="AD843" i="1"/>
  <c r="AC839" i="1" a="1"/>
  <c r="AC839" i="1" s="1"/>
  <c r="AD836" i="1"/>
  <c r="Q834" i="1"/>
  <c r="AD832" i="1"/>
  <c r="AD825" i="1"/>
  <c r="AC821" i="1" a="1"/>
  <c r="AC821" i="1" s="1"/>
  <c r="AD818" i="1"/>
  <c r="AD814" i="1"/>
  <c r="AD807" i="1"/>
  <c r="AC803" i="1" a="1"/>
  <c r="AC803" i="1" s="1"/>
  <c r="AD800" i="1"/>
  <c r="AD796" i="1"/>
  <c r="AD789" i="1"/>
  <c r="AC785" i="1" a="1"/>
  <c r="AC785" i="1" s="1"/>
  <c r="AD779" i="1"/>
  <c r="AB766" i="1" a="1"/>
  <c r="AB766" i="1" s="1"/>
  <c r="AB751" i="1" a="1"/>
  <c r="AB751" i="1" s="1"/>
  <c r="AC751" i="1" a="1"/>
  <c r="AC751" i="1" s="1"/>
  <c r="AD751" i="1"/>
  <c r="AB740" i="1" a="1"/>
  <c r="AB740" i="1" s="1"/>
  <c r="AC740" i="1" a="1"/>
  <c r="AC740" i="1" s="1"/>
  <c r="AA735" i="1" a="1"/>
  <c r="AA735" i="1" s="1"/>
  <c r="AB735" i="1" a="1"/>
  <c r="AB735" i="1" s="1"/>
  <c r="AC735" i="1" a="1"/>
  <c r="AC735" i="1" s="1"/>
  <c r="AD944" i="1"/>
  <c r="AC911" i="1" a="1"/>
  <c r="AC911" i="1" s="1"/>
  <c r="AD904" i="1"/>
  <c r="AC893" i="1" a="1"/>
  <c r="AC893" i="1" s="1"/>
  <c r="AD879" i="1"/>
  <c r="AD872" i="1"/>
  <c r="AC940" i="1" a="1"/>
  <c r="AC940" i="1" s="1"/>
  <c r="AC922" i="1" a="1"/>
  <c r="AC922" i="1" s="1"/>
  <c r="AC904" i="1" a="1"/>
  <c r="AC904" i="1" s="1"/>
  <c r="AC886" i="1" a="1"/>
  <c r="AC886" i="1" s="1"/>
  <c r="AC868" i="1" a="1"/>
  <c r="AC868" i="1" s="1"/>
  <c r="AC850" i="1" a="1"/>
  <c r="AC850" i="1" s="1"/>
  <c r="AC832" i="1" a="1"/>
  <c r="AC832" i="1" s="1"/>
  <c r="AC814" i="1" a="1"/>
  <c r="AC814" i="1" s="1"/>
  <c r="AC796" i="1" a="1"/>
  <c r="AC796" i="1" s="1"/>
  <c r="AC779" i="1" a="1"/>
  <c r="AC779" i="1" s="1"/>
  <c r="AA766" i="1" a="1"/>
  <c r="AA766" i="1" s="1"/>
  <c r="AA743" i="1" a="1"/>
  <c r="AA743" i="1" s="1"/>
  <c r="AC743" i="1" a="1"/>
  <c r="AC743" i="1" s="1"/>
  <c r="AB725" i="1" a="1"/>
  <c r="AB725" i="1" s="1"/>
  <c r="AC725" i="1" a="1"/>
  <c r="AC725" i="1" s="1"/>
  <c r="AD725" i="1"/>
  <c r="AB721" i="1" a="1"/>
  <c r="AB721" i="1" s="1"/>
  <c r="AC721" i="1" a="1"/>
  <c r="AC721" i="1" s="1"/>
  <c r="AD721" i="1"/>
  <c r="AA679" i="1" a="1"/>
  <c r="AA679" i="1" s="1"/>
  <c r="AB679" i="1" a="1"/>
  <c r="AB679" i="1" s="1"/>
  <c r="AC679" i="1" a="1"/>
  <c r="AC679" i="1" s="1"/>
  <c r="AD679" i="1"/>
  <c r="AC633" i="1" a="1"/>
  <c r="AC633" i="1" s="1"/>
  <c r="AA633" i="1" a="1"/>
  <c r="AA633" i="1" s="1"/>
  <c r="AB633" i="1" a="1"/>
  <c r="AB633" i="1" s="1"/>
  <c r="AD633" i="1"/>
  <c r="AD940" i="1"/>
  <c r="AD890" i="1"/>
  <c r="AC944" i="1" a="1"/>
  <c r="AC944" i="1" s="1"/>
  <c r="AB940" i="1" a="1"/>
  <c r="AB940" i="1" s="1"/>
  <c r="Q940" i="1" s="1"/>
  <c r="AC933" i="1" a="1"/>
  <c r="AC933" i="1" s="1"/>
  <c r="AB929" i="1" a="1"/>
  <c r="AB929" i="1" s="1"/>
  <c r="Q929" i="1" s="1"/>
  <c r="AC926" i="1" a="1"/>
  <c r="AC926" i="1" s="1"/>
  <c r="AB922" i="1" a="1"/>
  <c r="AB922" i="1" s="1"/>
  <c r="AC915" i="1" a="1"/>
  <c r="AC915" i="1" s="1"/>
  <c r="AB911" i="1" a="1"/>
  <c r="AB911" i="1" s="1"/>
  <c r="AC908" i="1" a="1"/>
  <c r="AC908" i="1" s="1"/>
  <c r="AB904" i="1" a="1"/>
  <c r="AB904" i="1" s="1"/>
  <c r="Q904" i="1" s="1"/>
  <c r="AC897" i="1" a="1"/>
  <c r="AC897" i="1" s="1"/>
  <c r="AB893" i="1" a="1"/>
  <c r="AB893" i="1" s="1"/>
  <c r="AC890" i="1" a="1"/>
  <c r="AC890" i="1" s="1"/>
  <c r="AB886" i="1" a="1"/>
  <c r="AB886" i="1" s="1"/>
  <c r="AC879" i="1" a="1"/>
  <c r="AC879" i="1" s="1"/>
  <c r="AB875" i="1" a="1"/>
  <c r="AB875" i="1" s="1"/>
  <c r="AC872" i="1" a="1"/>
  <c r="AC872" i="1" s="1"/>
  <c r="AB868" i="1" a="1"/>
  <c r="AB868" i="1" s="1"/>
  <c r="Q868" i="1" s="1"/>
  <c r="AC861" i="1" a="1"/>
  <c r="AC861" i="1" s="1"/>
  <c r="AB857" i="1" a="1"/>
  <c r="AB857" i="1" s="1"/>
  <c r="Q857" i="1" s="1"/>
  <c r="AC854" i="1" a="1"/>
  <c r="AC854" i="1" s="1"/>
  <c r="AB850" i="1" a="1"/>
  <c r="AB850" i="1" s="1"/>
  <c r="AC843" i="1" a="1"/>
  <c r="AC843" i="1" s="1"/>
  <c r="AB839" i="1" a="1"/>
  <c r="AB839" i="1" s="1"/>
  <c r="AC836" i="1" a="1"/>
  <c r="AC836" i="1" s="1"/>
  <c r="AB832" i="1" a="1"/>
  <c r="AB832" i="1" s="1"/>
  <c r="Q832" i="1" s="1"/>
  <c r="AC825" i="1" a="1"/>
  <c r="AC825" i="1" s="1"/>
  <c r="Q824" i="1"/>
  <c r="AB821" i="1" a="1"/>
  <c r="AB821" i="1" s="1"/>
  <c r="AC818" i="1" a="1"/>
  <c r="AC818" i="1" s="1"/>
  <c r="AB814" i="1" a="1"/>
  <c r="AB814" i="1" s="1"/>
  <c r="AC807" i="1" a="1"/>
  <c r="AC807" i="1" s="1"/>
  <c r="AB803" i="1" a="1"/>
  <c r="AB803" i="1" s="1"/>
  <c r="Q803" i="1" s="1"/>
  <c r="AC800" i="1" a="1"/>
  <c r="AC800" i="1" s="1"/>
  <c r="AB796" i="1" a="1"/>
  <c r="AB796" i="1" s="1"/>
  <c r="AC789" i="1" a="1"/>
  <c r="AC789" i="1" s="1"/>
  <c r="AB785" i="1" a="1"/>
  <c r="AB785" i="1" s="1"/>
  <c r="AB779" i="1" a="1"/>
  <c r="AB779" i="1" s="1"/>
  <c r="AD777" i="1"/>
  <c r="AA759" i="1" a="1"/>
  <c r="AA759" i="1" s="1"/>
  <c r="AC759" i="1" a="1"/>
  <c r="AC759" i="1" s="1"/>
  <c r="AB747" i="1" a="1"/>
  <c r="AB747" i="1" s="1"/>
  <c r="AD747" i="1"/>
  <c r="AD886" i="1"/>
  <c r="AD941" i="1"/>
  <c r="AB933" i="1" a="1"/>
  <c r="AB933" i="1" s="1"/>
  <c r="AD923" i="1"/>
  <c r="AB915" i="1" a="1"/>
  <c r="AB915" i="1" s="1"/>
  <c r="AD905" i="1"/>
  <c r="AB897" i="1" a="1"/>
  <c r="AB897" i="1" s="1"/>
  <c r="Q889" i="1"/>
  <c r="AD887" i="1"/>
  <c r="AB879" i="1" a="1"/>
  <c r="AB879" i="1" s="1"/>
  <c r="AD869" i="1"/>
  <c r="AB861" i="1" a="1"/>
  <c r="AB861" i="1" s="1"/>
  <c r="AD851" i="1"/>
  <c r="AB843" i="1" a="1"/>
  <c r="AB843" i="1" s="1"/>
  <c r="AD833" i="1"/>
  <c r="AB825" i="1" a="1"/>
  <c r="AB825" i="1" s="1"/>
  <c r="AD815" i="1"/>
  <c r="AB807" i="1" a="1"/>
  <c r="AB807" i="1" s="1"/>
  <c r="AD797" i="1"/>
  <c r="AB789" i="1" a="1"/>
  <c r="AB789" i="1" s="1"/>
  <c r="Q789" i="1" s="1"/>
  <c r="AD783" i="1"/>
  <c r="AD735" i="1"/>
  <c r="AA647" i="1" a="1"/>
  <c r="AA647" i="1" s="1"/>
  <c r="AB647" i="1" a="1"/>
  <c r="AB647" i="1" s="1"/>
  <c r="AC647" i="1" a="1"/>
  <c r="AC647" i="1" s="1"/>
  <c r="AD647" i="1"/>
  <c r="Q937" i="1"/>
  <c r="AD933" i="1"/>
  <c r="AD926" i="1"/>
  <c r="AB944" i="1" a="1"/>
  <c r="AB944" i="1" s="1"/>
  <c r="Q944" i="1" s="1"/>
  <c r="AC941" i="1" a="1"/>
  <c r="AC941" i="1" s="1"/>
  <c r="AD938" i="1"/>
  <c r="AD934" i="1"/>
  <c r="AD927" i="1"/>
  <c r="AB926" i="1" a="1"/>
  <c r="AB926" i="1" s="1"/>
  <c r="AC923" i="1" a="1"/>
  <c r="AC923" i="1" s="1"/>
  <c r="Q923" i="1" s="1"/>
  <c r="AD920" i="1"/>
  <c r="AD916" i="1"/>
  <c r="AD909" i="1"/>
  <c r="AB908" i="1" a="1"/>
  <c r="AB908" i="1" s="1"/>
  <c r="AC905" i="1" a="1"/>
  <c r="AC905" i="1" s="1"/>
  <c r="Q905" i="1" s="1"/>
  <c r="AD898" i="1"/>
  <c r="AA897" i="1" a="1"/>
  <c r="AA897" i="1" s="1"/>
  <c r="AD891" i="1"/>
  <c r="AB890" i="1" a="1"/>
  <c r="AB890" i="1" s="1"/>
  <c r="Q890" i="1" s="1"/>
  <c r="AB872" i="1" a="1"/>
  <c r="AB872" i="1" s="1"/>
  <c r="AB854" i="1" a="1"/>
  <c r="AB854" i="1" s="1"/>
  <c r="AB836" i="1" a="1"/>
  <c r="AB836" i="1" s="1"/>
  <c r="AB818" i="1" a="1"/>
  <c r="AB818" i="1" s="1"/>
  <c r="Q810" i="1"/>
  <c r="AB800" i="1" a="1"/>
  <c r="AB800" i="1" s="1"/>
  <c r="Q800" i="1" s="1"/>
  <c r="AB777" i="1" a="1"/>
  <c r="AB777" i="1" s="1"/>
  <c r="AC772" i="1" a="1"/>
  <c r="AC772" i="1" s="1"/>
  <c r="AC761" i="1" a="1"/>
  <c r="AC761" i="1" s="1"/>
  <c r="AA761" i="1" a="1"/>
  <c r="AA761" i="1" s="1"/>
  <c r="AD744" i="1"/>
  <c r="AC714" i="1" a="1"/>
  <c r="AC714" i="1" s="1"/>
  <c r="AD714" i="1"/>
  <c r="AA714" i="1" a="1"/>
  <c r="AA714" i="1" s="1"/>
  <c r="AC934" i="1" a="1"/>
  <c r="AC934" i="1" s="1"/>
  <c r="Q934" i="1" s="1"/>
  <c r="AC916" i="1" a="1"/>
  <c r="AC916" i="1" s="1"/>
  <c r="Q916" i="1" s="1"/>
  <c r="AA908" i="1" a="1"/>
  <c r="AA908" i="1" s="1"/>
  <c r="AC898" i="1" a="1"/>
  <c r="AC898" i="1" s="1"/>
  <c r="Q898" i="1" s="1"/>
  <c r="AC880" i="1" a="1"/>
  <c r="AC880" i="1" s="1"/>
  <c r="Q880" i="1" s="1"/>
  <c r="AC862" i="1" a="1"/>
  <c r="AC862" i="1" s="1"/>
  <c r="Q862" i="1" s="1"/>
  <c r="AC844" i="1" a="1"/>
  <c r="AC844" i="1" s="1"/>
  <c r="Q844" i="1" s="1"/>
  <c r="AC826" i="1" a="1"/>
  <c r="AC826" i="1" s="1"/>
  <c r="Q826" i="1" s="1"/>
  <c r="AC808" i="1" a="1"/>
  <c r="AC808" i="1" s="1"/>
  <c r="Q808" i="1" s="1"/>
  <c r="AC790" i="1" a="1"/>
  <c r="AC790" i="1" s="1"/>
  <c r="Q790" i="1" s="1"/>
  <c r="AC783" i="1" a="1"/>
  <c r="AC783" i="1" s="1"/>
  <c r="Q783" i="1" s="1"/>
  <c r="AA777" i="1" a="1"/>
  <c r="AA777" i="1" s="1"/>
  <c r="AB772" i="1" a="1"/>
  <c r="AB772" i="1" s="1"/>
  <c r="AC767" i="1" a="1"/>
  <c r="AC767" i="1" s="1"/>
  <c r="AD765" i="1"/>
  <c r="AC760" i="1" a="1"/>
  <c r="AC760" i="1" s="1"/>
  <c r="AB744" i="1" a="1"/>
  <c r="AB744" i="1" s="1"/>
  <c r="AA720" i="1" a="1"/>
  <c r="AA720" i="1" s="1"/>
  <c r="AB720" i="1" a="1"/>
  <c r="AB720" i="1" s="1"/>
  <c r="AC720" i="1" a="1"/>
  <c r="AC720" i="1" s="1"/>
  <c r="AB704" i="1" a="1"/>
  <c r="AB704" i="1" s="1"/>
  <c r="AA772" i="1" a="1"/>
  <c r="AA772" i="1" s="1"/>
  <c r="AB767" i="1" a="1"/>
  <c r="AB767" i="1" s="1"/>
  <c r="AA760" i="1" a="1"/>
  <c r="AA760" i="1" s="1"/>
  <c r="Q760" i="1" s="1"/>
  <c r="AA744" i="1" a="1"/>
  <c r="AA744" i="1" s="1"/>
  <c r="AA739" i="1" a="1"/>
  <c r="AA739" i="1" s="1"/>
  <c r="AB739" i="1" a="1"/>
  <c r="AB739" i="1" s="1"/>
  <c r="AC739" i="1" a="1"/>
  <c r="AC739" i="1" s="1"/>
  <c r="AC737" i="1" a="1"/>
  <c r="AC737" i="1" s="1"/>
  <c r="AD737" i="1"/>
  <c r="AD710" i="1"/>
  <c r="AB710" i="1" a="1"/>
  <c r="AB710" i="1" s="1"/>
  <c r="AC710" i="1" a="1"/>
  <c r="AC710" i="1" s="1"/>
  <c r="AD690" i="1"/>
  <c r="AA690" i="1" a="1"/>
  <c r="AA690" i="1" s="1"/>
  <c r="AB690" i="1" a="1"/>
  <c r="AB690" i="1" s="1"/>
  <c r="AC690" i="1" a="1"/>
  <c r="AC690" i="1" s="1"/>
  <c r="AD770" i="1"/>
  <c r="AD764" i="1"/>
  <c r="AD758" i="1"/>
  <c r="AD723" i="1"/>
  <c r="AC719" i="1" a="1"/>
  <c r="AC719" i="1" s="1"/>
  <c r="AC711" i="1" a="1"/>
  <c r="AC711" i="1" s="1"/>
  <c r="AA691" i="1" a="1"/>
  <c r="AA691" i="1" s="1"/>
  <c r="AC686" i="1" a="1"/>
  <c r="AC686" i="1" s="1"/>
  <c r="AB683" i="1" a="1"/>
  <c r="AB683" i="1" s="1"/>
  <c r="AC654" i="1" a="1"/>
  <c r="AC654" i="1" s="1"/>
  <c r="AD604" i="1"/>
  <c r="AA604" i="1" a="1"/>
  <c r="AA604" i="1" s="1"/>
  <c r="AB604" i="1" a="1"/>
  <c r="AB604" i="1" s="1"/>
  <c r="AC604" i="1" a="1"/>
  <c r="AC604" i="1" s="1"/>
  <c r="AB650" i="1" a="1"/>
  <c r="AB650" i="1" s="1"/>
  <c r="AC639" i="1" a="1"/>
  <c r="AC639" i="1" s="1"/>
  <c r="AA639" i="1" a="1"/>
  <c r="AA639" i="1" s="1"/>
  <c r="AB639" i="1" a="1"/>
  <c r="AB639" i="1" s="1"/>
  <c r="AD639" i="1"/>
  <c r="AB578" i="1" a="1"/>
  <c r="AB578" i="1" s="1"/>
  <c r="AA578" i="1" a="1"/>
  <c r="AA578" i="1" s="1"/>
  <c r="AC578" i="1" a="1"/>
  <c r="AC578" i="1" s="1"/>
  <c r="AD578" i="1"/>
  <c r="AB746" i="1" a="1"/>
  <c r="AB746" i="1" s="1"/>
  <c r="Q746" i="1" s="1"/>
  <c r="AC709" i="1" a="1"/>
  <c r="AC709" i="1" s="1"/>
  <c r="AA686" i="1" a="1"/>
  <c r="AA686" i="1" s="1"/>
  <c r="AA668" i="1" a="1"/>
  <c r="AA668" i="1" s="1"/>
  <c r="AA650" i="1" a="1"/>
  <c r="AA650" i="1" s="1"/>
  <c r="AB750" i="1" a="1"/>
  <c r="AB750" i="1" s="1"/>
  <c r="Q750" i="1" s="1"/>
  <c r="AD732" i="1"/>
  <c r="AC728" i="1" a="1"/>
  <c r="AC728" i="1" s="1"/>
  <c r="AA727" i="1" a="1"/>
  <c r="AA727" i="1" s="1"/>
  <c r="Q727" i="1" s="1"/>
  <c r="AA723" i="1" a="1"/>
  <c r="AA723" i="1" s="1"/>
  <c r="AD707" i="1"/>
  <c r="AA692" i="1" a="1"/>
  <c r="AA692" i="1" s="1"/>
  <c r="AA624" i="1" a="1"/>
  <c r="AA624" i="1" s="1"/>
  <c r="AB624" i="1" a="1"/>
  <c r="AB624" i="1" s="1"/>
  <c r="AC624" i="1" a="1"/>
  <c r="AC624" i="1" s="1"/>
  <c r="AD624" i="1"/>
  <c r="AB728" i="1" a="1"/>
  <c r="AB728" i="1" s="1"/>
  <c r="Z623" i="1" a="1"/>
  <c r="Z623" i="1" s="1"/>
  <c r="AA623" i="1" a="1"/>
  <c r="AA623" i="1" s="1"/>
  <c r="AB623" i="1" a="1"/>
  <c r="AB623" i="1" s="1"/>
  <c r="AC623" i="1" a="1"/>
  <c r="AC623" i="1" s="1"/>
  <c r="AD623" i="1"/>
  <c r="AD691" i="1"/>
  <c r="AD574" i="1"/>
  <c r="AB574" i="1" a="1"/>
  <c r="AB574" i="1" s="1"/>
  <c r="AA574" i="1" a="1"/>
  <c r="AA574" i="1" s="1"/>
  <c r="AC574" i="1" a="1"/>
  <c r="AC574" i="1" s="1"/>
  <c r="AD699" i="1"/>
  <c r="AA699" i="1" a="1"/>
  <c r="AA699" i="1" s="1"/>
  <c r="AC641" i="1" a="1"/>
  <c r="AC641" i="1" s="1"/>
  <c r="AB631" i="1" a="1"/>
  <c r="AB631" i="1" s="1"/>
  <c r="AC630" i="1" a="1"/>
  <c r="AC630" i="1" s="1"/>
  <c r="AD630" i="1"/>
  <c r="AB628" i="1" a="1"/>
  <c r="AB628" i="1" s="1"/>
  <c r="AB619" i="1" a="1"/>
  <c r="AB619" i="1" s="1"/>
  <c r="AB616" i="1" a="1"/>
  <c r="AB616" i="1" s="1"/>
  <c r="AC615" i="1" a="1"/>
  <c r="AC615" i="1" s="1"/>
  <c r="AA615" i="1" a="1"/>
  <c r="AA615" i="1" s="1"/>
  <c r="AB615" i="1" a="1"/>
  <c r="AB615" i="1" s="1"/>
  <c r="AC612" i="1" a="1"/>
  <c r="AC612" i="1" s="1"/>
  <c r="AD612" i="1"/>
  <c r="AA610" i="1" a="1"/>
  <c r="AA610" i="1" s="1"/>
  <c r="AC608" i="1" a="1"/>
  <c r="AC608" i="1" s="1"/>
  <c r="AC605" i="1" a="1"/>
  <c r="AC605" i="1" s="1"/>
  <c r="AB600" i="1" a="1"/>
  <c r="AB600" i="1" s="1"/>
  <c r="AB595" i="1" a="1"/>
  <c r="AB595" i="1" s="1"/>
  <c r="AC577" i="1" a="1"/>
  <c r="AC577" i="1" s="1"/>
  <c r="AA634" i="1" a="1"/>
  <c r="AA634" i="1" s="1"/>
  <c r="AD629" i="1"/>
  <c r="AD620" i="1"/>
  <c r="AB613" i="1" a="1"/>
  <c r="AB613" i="1" s="1"/>
  <c r="AD611" i="1"/>
  <c r="AA600" i="1" a="1"/>
  <c r="AA600" i="1" s="1"/>
  <c r="AD593" i="1"/>
  <c r="AB572" i="1" a="1"/>
  <c r="AB572" i="1" s="1"/>
  <c r="AA572" i="1" a="1"/>
  <c r="AA572" i="1" s="1"/>
  <c r="AD568" i="1"/>
  <c r="AC568" i="1" a="1"/>
  <c r="AC568" i="1" s="1"/>
  <c r="AB566" i="1" a="1"/>
  <c r="AB566" i="1" s="1"/>
  <c r="AC566" i="1" a="1"/>
  <c r="AC566" i="1" s="1"/>
  <c r="AD566" i="1"/>
  <c r="AD649" i="1"/>
  <c r="AC617" i="1" a="1"/>
  <c r="AC617" i="1" s="1"/>
  <c r="AC601" i="1" a="1"/>
  <c r="AC601" i="1" s="1"/>
  <c r="AD596" i="1"/>
  <c r="AB593" i="1" a="1"/>
  <c r="AB593" i="1" s="1"/>
  <c r="AC586" i="1" a="1"/>
  <c r="AC586" i="1" s="1"/>
  <c r="AB590" i="1" a="1"/>
  <c r="AB590" i="1" s="1"/>
  <c r="AA590" i="1" a="1"/>
  <c r="AA590" i="1" s="1"/>
  <c r="AB586" i="1" a="1"/>
  <c r="AB586" i="1" s="1"/>
  <c r="AA583" i="1" a="1"/>
  <c r="AA583" i="1" s="1"/>
  <c r="AD583" i="1"/>
  <c r="AA581" i="1" a="1"/>
  <c r="AA581" i="1" s="1"/>
  <c r="AB581" i="1" a="1"/>
  <c r="AB581" i="1" s="1"/>
  <c r="AC678" i="1" a="1"/>
  <c r="AC678" i="1" s="1"/>
  <c r="AC660" i="1" a="1"/>
  <c r="AC660" i="1" s="1"/>
  <c r="AA577" i="1" a="1"/>
  <c r="AA577" i="1" s="1"/>
  <c r="AD577" i="1"/>
  <c r="AD569" i="1"/>
  <c r="AD563" i="1"/>
  <c r="AC550" i="1" a="1"/>
  <c r="AC550" i="1" s="1"/>
  <c r="AD550" i="1"/>
  <c r="AB550" i="1" a="1"/>
  <c r="AB550" i="1" s="1"/>
  <c r="AD508" i="1"/>
  <c r="AA508" i="1" a="1"/>
  <c r="AA508" i="1" s="1"/>
  <c r="AB508" i="1" a="1"/>
  <c r="AB508" i="1" s="1"/>
  <c r="AC508" i="1" a="1"/>
  <c r="AC508" i="1" s="1"/>
  <c r="AB638" i="1" a="1"/>
  <c r="AB638" i="1" s="1"/>
  <c r="AC638" i="1" a="1"/>
  <c r="AC638" i="1" s="1"/>
  <c r="AA635" i="1" a="1"/>
  <c r="AA635" i="1" s="1"/>
  <c r="AC589" i="1" a="1"/>
  <c r="AC589" i="1" s="1"/>
  <c r="AA586" i="1" a="1"/>
  <c r="AA586" i="1" s="1"/>
  <c r="AB620" i="1" a="1"/>
  <c r="AB620" i="1" s="1"/>
  <c r="AC620" i="1" a="1"/>
  <c r="AC620" i="1" s="1"/>
  <c r="AD602" i="1"/>
  <c r="AC556" i="1" a="1"/>
  <c r="AC556" i="1" s="1"/>
  <c r="AD556" i="1"/>
  <c r="AA556" i="1" a="1"/>
  <c r="AA556" i="1" s="1"/>
  <c r="AB556" i="1" a="1"/>
  <c r="AB556" i="1" s="1"/>
  <c r="AD631" i="1"/>
  <c r="AB629" i="1" a="1"/>
  <c r="AB629" i="1" s="1"/>
  <c r="AC629" i="1" a="1"/>
  <c r="AC629" i="1" s="1"/>
  <c r="AB626" i="1" a="1"/>
  <c r="AB626" i="1" s="1"/>
  <c r="AD626" i="1"/>
  <c r="AB611" i="1" a="1"/>
  <c r="AB611" i="1" s="1"/>
  <c r="AC611" i="1" a="1"/>
  <c r="AC611" i="1" s="1"/>
  <c r="AB563" i="1" a="1"/>
  <c r="AB563" i="1" s="1"/>
  <c r="AC563" i="1" a="1"/>
  <c r="AC563" i="1" s="1"/>
  <c r="AA553" i="1" a="1"/>
  <c r="AA553" i="1" s="1"/>
  <c r="AD553" i="1"/>
  <c r="AB553" i="1" a="1"/>
  <c r="AB553" i="1" s="1"/>
  <c r="AC553" i="1" a="1"/>
  <c r="AC553" i="1" s="1"/>
  <c r="AA642" i="1" a="1"/>
  <c r="AA642" i="1" s="1"/>
  <c r="AB642" i="1" a="1"/>
  <c r="AB642" i="1" s="1"/>
  <c r="AD613" i="1"/>
  <c r="AC610" i="1" a="1"/>
  <c r="AC610" i="1" s="1"/>
  <c r="AC602" i="1" a="1"/>
  <c r="AC602" i="1" s="1"/>
  <c r="AA601" i="1" a="1"/>
  <c r="AA601" i="1" s="1"/>
  <c r="AD601" i="1"/>
  <c r="AB596" i="1" a="1"/>
  <c r="AB596" i="1" s="1"/>
  <c r="AA596" i="1" a="1"/>
  <c r="AA596" i="1" s="1"/>
  <c r="AB569" i="1" a="1"/>
  <c r="AB569" i="1" s="1"/>
  <c r="AC569" i="1" a="1"/>
  <c r="AC569" i="1" s="1"/>
  <c r="AC634" i="1" a="1"/>
  <c r="AC634" i="1" s="1"/>
  <c r="AC631" i="1" a="1"/>
  <c r="AC631" i="1" s="1"/>
  <c r="AD600" i="1"/>
  <c r="AD595" i="1"/>
  <c r="AD590" i="1"/>
  <c r="AB568" i="1" a="1"/>
  <c r="AB568" i="1" s="1"/>
  <c r="AD558" i="1"/>
  <c r="AB558" i="1" a="1"/>
  <c r="AB558" i="1" s="1"/>
  <c r="AD557" i="1"/>
  <c r="AB557" i="1" a="1"/>
  <c r="AB557" i="1" s="1"/>
  <c r="AA560" i="1" a="1"/>
  <c r="AA560" i="1" s="1"/>
  <c r="AB560" i="1" a="1"/>
  <c r="AB560" i="1" s="1"/>
  <c r="AA547" i="1" a="1"/>
  <c r="AA547" i="1" s="1"/>
  <c r="AD547" i="1"/>
  <c r="AD533" i="1"/>
  <c r="AB533" i="1" a="1"/>
  <c r="AB533" i="1" s="1"/>
  <c r="AC533" i="1" a="1"/>
  <c r="AC533" i="1" s="1"/>
  <c r="AA522" i="1" a="1"/>
  <c r="AA522" i="1" s="1"/>
  <c r="AB522" i="1" a="1"/>
  <c r="AB522" i="1" s="1"/>
  <c r="AD522" i="1"/>
  <c r="AC512" i="1" a="1"/>
  <c r="AC512" i="1" s="1"/>
  <c r="AD512" i="1"/>
  <c r="AA512" i="1" a="1"/>
  <c r="AA512" i="1" s="1"/>
  <c r="AC546" i="1" a="1"/>
  <c r="AC546" i="1" s="1"/>
  <c r="AD545" i="1"/>
  <c r="AC545" i="1" a="1"/>
  <c r="AC545" i="1" s="1"/>
  <c r="AA541" i="1" a="1"/>
  <c r="AA541" i="1" s="1"/>
  <c r="AD541" i="1"/>
  <c r="AD539" i="1"/>
  <c r="AC539" i="1" a="1"/>
  <c r="AC539" i="1" s="1"/>
  <c r="AC511" i="1" a="1"/>
  <c r="AC511" i="1" s="1"/>
  <c r="AD511" i="1"/>
  <c r="AA511" i="1" a="1"/>
  <c r="AA511" i="1" s="1"/>
  <c r="AB511" i="1" a="1"/>
  <c r="AB511" i="1" s="1"/>
  <c r="AC562" i="1" a="1"/>
  <c r="AC562" i="1" s="1"/>
  <c r="AC540" i="1" a="1"/>
  <c r="AC540" i="1" s="1"/>
  <c r="AA528" i="1" a="1"/>
  <c r="AA528" i="1" s="1"/>
  <c r="AB528" i="1" a="1"/>
  <c r="AB528" i="1" s="1"/>
  <c r="AD528" i="1"/>
  <c r="AD560" i="1"/>
  <c r="AC557" i="1" a="1"/>
  <c r="AC557" i="1" s="1"/>
  <c r="AA506" i="1" a="1"/>
  <c r="AA506" i="1" s="1"/>
  <c r="AB506" i="1" a="1"/>
  <c r="AB506" i="1" s="1"/>
  <c r="AC506" i="1" a="1"/>
  <c r="AC506" i="1" s="1"/>
  <c r="AD506" i="1"/>
  <c r="AA534" i="1" a="1"/>
  <c r="AA534" i="1" s="1"/>
  <c r="AB534" i="1" a="1"/>
  <c r="AB534" i="1" s="1"/>
  <c r="AD534" i="1"/>
  <c r="AA559" i="1" a="1"/>
  <c r="AA559" i="1" s="1"/>
  <c r="AC559" i="1" a="1"/>
  <c r="AC559" i="1" s="1"/>
  <c r="AA554" i="1" a="1"/>
  <c r="AA554" i="1" s="1"/>
  <c r="AB554" i="1" a="1"/>
  <c r="AB554" i="1" s="1"/>
  <c r="AC554" i="1" a="1"/>
  <c r="AC554" i="1" s="1"/>
  <c r="AB547" i="1" a="1"/>
  <c r="AB547" i="1" s="1"/>
  <c r="AC544" i="1" a="1"/>
  <c r="AC544" i="1" s="1"/>
  <c r="AD544" i="1"/>
  <c r="AB540" i="1" a="1"/>
  <c r="AB540" i="1" s="1"/>
  <c r="AD540" i="1"/>
  <c r="AC538" i="1" a="1"/>
  <c r="AC538" i="1" s="1"/>
  <c r="AD538" i="1"/>
  <c r="AA500" i="1" a="1"/>
  <c r="AA500" i="1" s="1"/>
  <c r="AB500" i="1" a="1"/>
  <c r="AB500" i="1" s="1"/>
  <c r="AC500" i="1" a="1"/>
  <c r="AC500" i="1" s="1"/>
  <c r="AD500" i="1"/>
  <c r="AA487" i="1" a="1"/>
  <c r="AA487" i="1" s="1"/>
  <c r="AB487" i="1" a="1"/>
  <c r="AB487" i="1" s="1"/>
  <c r="AC487" i="1" a="1"/>
  <c r="AC487" i="1" s="1"/>
  <c r="AD487" i="1"/>
  <c r="AA533" i="1" a="1"/>
  <c r="AA533" i="1" s="1"/>
  <c r="AD527" i="1"/>
  <c r="AB527" i="1" a="1"/>
  <c r="AB527" i="1" s="1"/>
  <c r="AC527" i="1" a="1"/>
  <c r="AC527" i="1" s="1"/>
  <c r="AC522" i="1" a="1"/>
  <c r="AC522" i="1" s="1"/>
  <c r="AD472" i="1"/>
  <c r="AA472" i="1" a="1"/>
  <c r="AA472" i="1" s="1"/>
  <c r="AB472" i="1" a="1"/>
  <c r="AB472" i="1" s="1"/>
  <c r="AA452" i="1" a="1"/>
  <c r="AA452" i="1" s="1"/>
  <c r="AB452" i="1" a="1"/>
  <c r="AB452" i="1" s="1"/>
  <c r="AC452" i="1" a="1"/>
  <c r="AC452" i="1" s="1"/>
  <c r="AC521" i="1" a="1"/>
  <c r="AC521" i="1" s="1"/>
  <c r="AD502" i="1"/>
  <c r="AC483" i="1" a="1"/>
  <c r="AC483" i="1" s="1"/>
  <c r="AD483" i="1"/>
  <c r="AC476" i="1" a="1"/>
  <c r="AC476" i="1" s="1"/>
  <c r="AA476" i="1" a="1"/>
  <c r="AA476" i="1" s="1"/>
  <c r="AB476" i="1" a="1"/>
  <c r="AB476" i="1" s="1"/>
  <c r="AC532" i="1" a="1"/>
  <c r="AC532" i="1" s="1"/>
  <c r="AD532" i="1"/>
  <c r="AC526" i="1" a="1"/>
  <c r="AC526" i="1" s="1"/>
  <c r="AD526" i="1"/>
  <c r="AB521" i="1" a="1"/>
  <c r="AB521" i="1" s="1"/>
  <c r="AC520" i="1" a="1"/>
  <c r="AC520" i="1" s="1"/>
  <c r="AD520" i="1"/>
  <c r="AD494" i="1"/>
  <c r="AD484" i="1"/>
  <c r="AD458" i="1"/>
  <c r="AA458" i="1" a="1"/>
  <c r="AA458" i="1" s="1"/>
  <c r="AB458" i="1" a="1"/>
  <c r="AB458" i="1" s="1"/>
  <c r="AC464" i="1" a="1"/>
  <c r="AC464" i="1" s="1"/>
  <c r="AB519" i="1" a="1"/>
  <c r="AB519" i="1" s="1"/>
  <c r="AB507" i="1" a="1"/>
  <c r="AB507" i="1" s="1"/>
  <c r="AD507" i="1"/>
  <c r="AC497" i="1" a="1"/>
  <c r="AC497" i="1" s="1"/>
  <c r="AA484" i="1" a="1"/>
  <c r="AA484" i="1" s="1"/>
  <c r="AB555" i="1" a="1"/>
  <c r="AB555" i="1" s="1"/>
  <c r="AC555" i="1" a="1"/>
  <c r="AC555" i="1" s="1"/>
  <c r="AD535" i="1"/>
  <c r="AD529" i="1"/>
  <c r="AD523" i="1"/>
  <c r="AA519" i="1" a="1"/>
  <c r="AA519" i="1" s="1"/>
  <c r="AA505" i="1" a="1"/>
  <c r="AA505" i="1" s="1"/>
  <c r="AB505" i="1" a="1"/>
  <c r="AB505" i="1" s="1"/>
  <c r="AB497" i="1" a="1"/>
  <c r="AB497" i="1" s="1"/>
  <c r="AA482" i="1" a="1"/>
  <c r="AA482" i="1" s="1"/>
  <c r="AD482" i="1"/>
  <c r="AD490" i="1"/>
  <c r="AA490" i="1" a="1"/>
  <c r="AA490" i="1" s="1"/>
  <c r="AB490" i="1" a="1"/>
  <c r="AB490" i="1" s="1"/>
  <c r="AD464" i="1"/>
  <c r="AB464" i="1" a="1"/>
  <c r="AB464" i="1" s="1"/>
  <c r="AC494" i="1" a="1"/>
  <c r="AC494" i="1" s="1"/>
  <c r="AB494" i="1" a="1"/>
  <c r="AB494" i="1" s="1"/>
  <c r="AC466" i="1" a="1"/>
  <c r="AC466" i="1" s="1"/>
  <c r="AA466" i="1" a="1"/>
  <c r="AA466" i="1" s="1"/>
  <c r="AB466" i="1" a="1"/>
  <c r="AB466" i="1" s="1"/>
  <c r="AB549" i="1" a="1"/>
  <c r="AB549" i="1" s="1"/>
  <c r="AC549" i="1" a="1"/>
  <c r="AC549" i="1" s="1"/>
  <c r="AB543" i="1" a="1"/>
  <c r="AB543" i="1" s="1"/>
  <c r="AC543" i="1" a="1"/>
  <c r="AC543" i="1" s="1"/>
  <c r="AB537" i="1" a="1"/>
  <c r="AB537" i="1" s="1"/>
  <c r="AC537" i="1" a="1"/>
  <c r="AC537" i="1" s="1"/>
  <c r="AB531" i="1" a="1"/>
  <c r="AB531" i="1" s="1"/>
  <c r="AC531" i="1" a="1"/>
  <c r="AC531" i="1" s="1"/>
  <c r="AB525" i="1" a="1"/>
  <c r="AB525" i="1" s="1"/>
  <c r="AC525" i="1" a="1"/>
  <c r="AC525" i="1" s="1"/>
  <c r="AB483" i="1" a="1"/>
  <c r="AB483" i="1" s="1"/>
  <c r="AA419" i="1" a="1"/>
  <c r="AA419" i="1" s="1"/>
  <c r="AB419" i="1" a="1"/>
  <c r="AB419" i="1" s="1"/>
  <c r="AC419" i="1" a="1"/>
  <c r="AC419" i="1" s="1"/>
  <c r="AD419" i="1"/>
  <c r="AA489" i="1" a="1"/>
  <c r="AA489" i="1" s="1"/>
  <c r="AA471" i="1" a="1"/>
  <c r="AA471" i="1" s="1"/>
  <c r="AB467" i="1" a="1"/>
  <c r="AB467" i="1" s="1"/>
  <c r="AA461" i="1" a="1"/>
  <c r="AA461" i="1" s="1"/>
  <c r="AA440" i="1" a="1"/>
  <c r="AA440" i="1" s="1"/>
  <c r="AB430" i="1" a="1"/>
  <c r="AB430" i="1" s="1"/>
  <c r="AB376" i="1" a="1"/>
  <c r="AB376" i="1" s="1"/>
  <c r="AC355" i="1" a="1"/>
  <c r="AC355" i="1" s="1"/>
  <c r="AD469" i="1"/>
  <c r="AA451" i="1" a="1"/>
  <c r="AA451" i="1" s="1"/>
  <c r="AC451" i="1" a="1"/>
  <c r="AC451" i="1" s="1"/>
  <c r="AD443" i="1"/>
  <c r="AA443" i="1" a="1"/>
  <c r="AA443" i="1" s="1"/>
  <c r="AD436" i="1"/>
  <c r="AA430" i="1" a="1"/>
  <c r="AA430" i="1" s="1"/>
  <c r="AD428" i="1"/>
  <c r="AA425" i="1" a="1"/>
  <c r="AA425" i="1" s="1"/>
  <c r="AC412" i="1" a="1"/>
  <c r="AC412" i="1" s="1"/>
  <c r="AD412" i="1"/>
  <c r="AC367" i="1" a="1"/>
  <c r="AC367" i="1" s="1"/>
  <c r="AD367" i="1"/>
  <c r="AA367" i="1" a="1"/>
  <c r="AA367" i="1" s="1"/>
  <c r="AB367" i="1" a="1"/>
  <c r="AB367" i="1" s="1"/>
  <c r="AA361" i="1" a="1"/>
  <c r="AA361" i="1" s="1"/>
  <c r="AB361" i="1" a="1"/>
  <c r="AB361" i="1" s="1"/>
  <c r="AC361" i="1" a="1"/>
  <c r="AC361" i="1" s="1"/>
  <c r="AB355" i="1" a="1"/>
  <c r="AB355" i="1" s="1"/>
  <c r="AC410" i="1" a="1"/>
  <c r="AC410" i="1" s="1"/>
  <c r="AD410" i="1"/>
  <c r="AB410" i="1" a="1"/>
  <c r="AB410" i="1" s="1"/>
  <c r="AA212" i="1" a="1"/>
  <c r="AA212" i="1" s="1"/>
  <c r="AB212" i="1" a="1"/>
  <c r="AB212" i="1" s="1"/>
  <c r="AC212" i="1" a="1"/>
  <c r="AC212" i="1" s="1"/>
  <c r="AD212" i="1"/>
  <c r="AC469" i="1" a="1"/>
  <c r="AC469" i="1" s="1"/>
  <c r="AB462" i="1" a="1"/>
  <c r="AB462" i="1" s="1"/>
  <c r="AA438" i="1" a="1"/>
  <c r="AA438" i="1" s="1"/>
  <c r="AC438" i="1" a="1"/>
  <c r="AC438" i="1" s="1"/>
  <c r="AC431" i="1" a="1"/>
  <c r="AC431" i="1" s="1"/>
  <c r="AC403" i="1" a="1"/>
  <c r="AC403" i="1" s="1"/>
  <c r="AA403" i="1" a="1"/>
  <c r="AA403" i="1" s="1"/>
  <c r="AB403" i="1" a="1"/>
  <c r="AB403" i="1" s="1"/>
  <c r="AA397" i="1" a="1"/>
  <c r="AA397" i="1" s="1"/>
  <c r="AB397" i="1" a="1"/>
  <c r="AB397" i="1" s="1"/>
  <c r="AC397" i="1" a="1"/>
  <c r="AC397" i="1" s="1"/>
  <c r="AC376" i="1" a="1"/>
  <c r="AC376" i="1" s="1"/>
  <c r="AD376" i="1"/>
  <c r="AC446" i="1" a="1"/>
  <c r="AC446" i="1" s="1"/>
  <c r="AA446" i="1" a="1"/>
  <c r="AA446" i="1" s="1"/>
  <c r="AD395" i="1"/>
  <c r="AB395" i="1" a="1"/>
  <c r="AB395" i="1" s="1"/>
  <c r="AC395" i="1" a="1"/>
  <c r="AC395" i="1" s="1"/>
  <c r="AB374" i="1" a="1"/>
  <c r="AB374" i="1" s="1"/>
  <c r="AC374" i="1" a="1"/>
  <c r="AC374" i="1" s="1"/>
  <c r="AD374" i="1"/>
  <c r="AA274" i="1" a="1"/>
  <c r="AA274" i="1" s="1"/>
  <c r="AC274" i="1" a="1"/>
  <c r="AC274" i="1" s="1"/>
  <c r="AD274" i="1"/>
  <c r="AB274" i="1" a="1"/>
  <c r="AB274" i="1" s="1"/>
  <c r="AC265" i="1" a="1"/>
  <c r="AC265" i="1" s="1"/>
  <c r="AD265" i="1"/>
  <c r="AB265" i="1" a="1"/>
  <c r="AB265" i="1" s="1"/>
  <c r="AA265" i="1" a="1"/>
  <c r="AA265" i="1" s="1"/>
  <c r="AB548" i="1" a="1"/>
  <c r="AB548" i="1" s="1"/>
  <c r="AB542" i="1" a="1"/>
  <c r="AB542" i="1" s="1"/>
  <c r="AB536" i="1" a="1"/>
  <c r="AB536" i="1" s="1"/>
  <c r="AB530" i="1" a="1"/>
  <c r="AB530" i="1" s="1"/>
  <c r="AB524" i="1" a="1"/>
  <c r="AB524" i="1" s="1"/>
  <c r="AB514" i="1" a="1"/>
  <c r="AB514" i="1" s="1"/>
  <c r="AD493" i="1"/>
  <c r="AD475" i="1"/>
  <c r="AB469" i="1" a="1"/>
  <c r="AB469" i="1" s="1"/>
  <c r="AD463" i="1"/>
  <c r="AA462" i="1" a="1"/>
  <c r="AA462" i="1" s="1"/>
  <c r="AD445" i="1"/>
  <c r="AA433" i="1" a="1"/>
  <c r="AA433" i="1" s="1"/>
  <c r="AD433" i="1"/>
  <c r="AB421" i="1" a="1"/>
  <c r="AB421" i="1" s="1"/>
  <c r="AA389" i="1" a="1"/>
  <c r="AA389" i="1" s="1"/>
  <c r="AC389" i="1" a="1"/>
  <c r="AC389" i="1" s="1"/>
  <c r="AC383" i="1" a="1"/>
  <c r="AC383" i="1" s="1"/>
  <c r="AB358" i="1" a="1"/>
  <c r="AB358" i="1" s="1"/>
  <c r="AA320" i="1" a="1"/>
  <c r="AA320" i="1" s="1"/>
  <c r="AB320" i="1" a="1"/>
  <c r="AB320" i="1" s="1"/>
  <c r="AC320" i="1" a="1"/>
  <c r="AC320" i="1" s="1"/>
  <c r="AD320" i="1"/>
  <c r="AD489" i="1"/>
  <c r="AD471" i="1"/>
  <c r="AD457" i="1"/>
  <c r="AC454" i="1" a="1"/>
  <c r="AC454" i="1" s="1"/>
  <c r="AD451" i="1"/>
  <c r="AD440" i="1"/>
  <c r="AC413" i="1" a="1"/>
  <c r="AC413" i="1" s="1"/>
  <c r="AD413" i="1"/>
  <c r="AB413" i="1" a="1"/>
  <c r="AB413" i="1" s="1"/>
  <c r="AB398" i="1" a="1"/>
  <c r="AB398" i="1" s="1"/>
  <c r="AA343" i="1" a="1"/>
  <c r="AA343" i="1" s="1"/>
  <c r="AB343" i="1" a="1"/>
  <c r="AB343" i="1" s="1"/>
  <c r="AD343" i="1"/>
  <c r="AA442" i="1" a="1"/>
  <c r="AA442" i="1" s="1"/>
  <c r="AB442" i="1" a="1"/>
  <c r="AB442" i="1" s="1"/>
  <c r="AC358" i="1" a="1"/>
  <c r="AC358" i="1" s="1"/>
  <c r="AD358" i="1"/>
  <c r="AC439" i="1" a="1"/>
  <c r="AC439" i="1" s="1"/>
  <c r="AD439" i="1"/>
  <c r="AA439" i="1" a="1"/>
  <c r="AA439" i="1" s="1"/>
  <c r="AD430" i="1"/>
  <c r="AC394" i="1" a="1"/>
  <c r="AC394" i="1" s="1"/>
  <c r="AD394" i="1"/>
  <c r="AC385" i="1" a="1"/>
  <c r="AC385" i="1" s="1"/>
  <c r="AB385" i="1" a="1"/>
  <c r="AB385" i="1" s="1"/>
  <c r="AD385" i="1"/>
  <c r="AA385" i="1" a="1"/>
  <c r="AA385" i="1" s="1"/>
  <c r="AA379" i="1" a="1"/>
  <c r="AA379" i="1" s="1"/>
  <c r="AB379" i="1" a="1"/>
  <c r="AB379" i="1" s="1"/>
  <c r="AC379" i="1" a="1"/>
  <c r="AC379" i="1" s="1"/>
  <c r="AC467" i="1" a="1"/>
  <c r="AC467" i="1" s="1"/>
  <c r="AA457" i="1" a="1"/>
  <c r="AA457" i="1" s="1"/>
  <c r="AD446" i="1"/>
  <c r="AB443" i="1" a="1"/>
  <c r="AB443" i="1" s="1"/>
  <c r="AB440" i="1" a="1"/>
  <c r="AB440" i="1" s="1"/>
  <c r="AD438" i="1"/>
  <c r="AA434" i="1" a="1"/>
  <c r="AA434" i="1" s="1"/>
  <c r="AB434" i="1" a="1"/>
  <c r="AB434" i="1" s="1"/>
  <c r="AD425" i="1"/>
  <c r="AB412" i="1" a="1"/>
  <c r="AB412" i="1" s="1"/>
  <c r="AC407" i="1" a="1"/>
  <c r="AC407" i="1" s="1"/>
  <c r="AA407" i="1" a="1"/>
  <c r="AA407" i="1" s="1"/>
  <c r="AD403" i="1"/>
  <c r="AD392" i="1"/>
  <c r="AB392" i="1" a="1"/>
  <c r="AB392" i="1" s="1"/>
  <c r="AC392" i="1" a="1"/>
  <c r="AC392" i="1" s="1"/>
  <c r="AA388" i="1" a="1"/>
  <c r="AA388" i="1" s="1"/>
  <c r="AB388" i="1" a="1"/>
  <c r="AB388" i="1" s="1"/>
  <c r="AD377" i="1"/>
  <c r="AD349" i="1"/>
  <c r="AB340" i="1" a="1"/>
  <c r="AB340" i="1" s="1"/>
  <c r="AA334" i="1" a="1"/>
  <c r="AA334" i="1" s="1"/>
  <c r="AB334" i="1" a="1"/>
  <c r="AB334" i="1" s="1"/>
  <c r="AB326" i="1" a="1"/>
  <c r="AB326" i="1" s="1"/>
  <c r="AB323" i="1" a="1"/>
  <c r="AB323" i="1" s="1"/>
  <c r="AC318" i="1" a="1"/>
  <c r="AC318" i="1" s="1"/>
  <c r="AA298" i="1" a="1"/>
  <c r="AA298" i="1" s="1"/>
  <c r="AB298" i="1" a="1"/>
  <c r="AB298" i="1" s="1"/>
  <c r="AC276" i="1" a="1"/>
  <c r="AC276" i="1" s="1"/>
  <c r="AB276" i="1" a="1"/>
  <c r="AB276" i="1" s="1"/>
  <c r="AD276" i="1"/>
  <c r="AD300" i="1"/>
  <c r="AB300" i="1" a="1"/>
  <c r="AB300" i="1" s="1"/>
  <c r="AA288" i="1" a="1"/>
  <c r="AA288" i="1" s="1"/>
  <c r="AD288" i="1"/>
  <c r="AB283" i="1" a="1"/>
  <c r="AB283" i="1" s="1"/>
  <c r="AC283" i="1" a="1"/>
  <c r="AC283" i="1" s="1"/>
  <c r="AC271" i="1" a="1"/>
  <c r="AC271" i="1" s="1"/>
  <c r="AB271" i="1" a="1"/>
  <c r="AB271" i="1" s="1"/>
  <c r="AC261" i="1" a="1"/>
  <c r="AC261" i="1" s="1"/>
  <c r="AA261" i="1" a="1"/>
  <c r="AA261" i="1" s="1"/>
  <c r="AB261" i="1" a="1"/>
  <c r="AB261" i="1" s="1"/>
  <c r="AB213" i="1" a="1"/>
  <c r="AB213" i="1" s="1"/>
  <c r="AC213" i="1" a="1"/>
  <c r="AC213" i="1" s="1"/>
  <c r="AA213" i="1" a="1"/>
  <c r="AA213" i="1" s="1"/>
  <c r="AD213" i="1"/>
  <c r="AC408" i="1" a="1"/>
  <c r="AC408" i="1" s="1"/>
  <c r="AD402" i="1"/>
  <c r="AC377" i="1" a="1"/>
  <c r="AC377" i="1" s="1"/>
  <c r="AC371" i="1" a="1"/>
  <c r="AC371" i="1" s="1"/>
  <c r="AA370" i="1" a="1"/>
  <c r="AA370" i="1" s="1"/>
  <c r="AB370" i="1" a="1"/>
  <c r="AB370" i="1" s="1"/>
  <c r="AB349" i="1" a="1"/>
  <c r="AB349" i="1" s="1"/>
  <c r="AB335" i="1" a="1"/>
  <c r="AB335" i="1" s="1"/>
  <c r="AC331" i="1" a="1"/>
  <c r="AC331" i="1" s="1"/>
  <c r="AD331" i="1"/>
  <c r="AA326" i="1" a="1"/>
  <c r="AA326" i="1" s="1"/>
  <c r="AB312" i="1" a="1"/>
  <c r="AB312" i="1" s="1"/>
  <c r="AC312" i="1" a="1"/>
  <c r="AC312" i="1" s="1"/>
  <c r="AD299" i="1"/>
  <c r="AC295" i="1" a="1"/>
  <c r="AC295" i="1" s="1"/>
  <c r="AD295" i="1"/>
  <c r="AA352" i="1" a="1"/>
  <c r="AA352" i="1" s="1"/>
  <c r="AB352" i="1" a="1"/>
  <c r="AB352" i="1" s="1"/>
  <c r="AA349" i="1" a="1"/>
  <c r="AA349" i="1" s="1"/>
  <c r="AC340" i="1" a="1"/>
  <c r="AC340" i="1" s="1"/>
  <c r="AD340" i="1"/>
  <c r="AA299" i="1" a="1"/>
  <c r="AA299" i="1" s="1"/>
  <c r="AA270" i="1" a="1"/>
  <c r="AA270" i="1" s="1"/>
  <c r="AB270" i="1" a="1"/>
  <c r="AB270" i="1" s="1"/>
  <c r="AC270" i="1" a="1"/>
  <c r="AC270" i="1" s="1"/>
  <c r="AD256" i="1"/>
  <c r="AA256" i="1" a="1"/>
  <c r="AA256" i="1" s="1"/>
  <c r="AB256" i="1" a="1"/>
  <c r="AB256" i="1" s="1"/>
  <c r="AC256" i="1" a="1"/>
  <c r="AC256" i="1" s="1"/>
  <c r="AA246" i="1" a="1"/>
  <c r="AA246" i="1" s="1"/>
  <c r="AB246" i="1" a="1"/>
  <c r="AB246" i="1" s="1"/>
  <c r="AD246" i="1"/>
  <c r="AC246" i="1" a="1"/>
  <c r="AC246" i="1" s="1"/>
  <c r="AA307" i="1" a="1"/>
  <c r="AA307" i="1" s="1"/>
  <c r="AB307" i="1" a="1"/>
  <c r="AB307" i="1" s="1"/>
  <c r="AC304" i="1" a="1"/>
  <c r="AC304" i="1" s="1"/>
  <c r="AD304" i="1"/>
  <c r="AA234" i="1" a="1"/>
  <c r="AA234" i="1" s="1"/>
  <c r="AB234" i="1" a="1"/>
  <c r="AB234" i="1" s="1"/>
  <c r="AC234" i="1" a="1"/>
  <c r="AC234" i="1" s="1"/>
  <c r="AD234" i="1"/>
  <c r="AA316" i="1" a="1"/>
  <c r="AA316" i="1" s="1"/>
  <c r="AB316" i="1" a="1"/>
  <c r="AB316" i="1" s="1"/>
  <c r="AC291" i="1" a="1"/>
  <c r="AC291" i="1" s="1"/>
  <c r="AD291" i="1"/>
  <c r="AB311" i="1" a="1"/>
  <c r="AB311" i="1" s="1"/>
  <c r="AB305" i="1" a="1"/>
  <c r="AB305" i="1" s="1"/>
  <c r="AD284" i="1"/>
  <c r="AB284" i="1" a="1"/>
  <c r="AB284" i="1" s="1"/>
  <c r="AB280" i="1" a="1"/>
  <c r="AB280" i="1" s="1"/>
  <c r="AA344" i="1" a="1"/>
  <c r="AA344" i="1" s="1"/>
  <c r="AB330" i="1" a="1"/>
  <c r="AB330" i="1" s="1"/>
  <c r="AC330" i="1" a="1"/>
  <c r="AC330" i="1" s="1"/>
  <c r="AC313" i="1" a="1"/>
  <c r="AC313" i="1" s="1"/>
  <c r="AD313" i="1"/>
  <c r="AA308" i="1" a="1"/>
  <c r="AA308" i="1" s="1"/>
  <c r="AC300" i="1" a="1"/>
  <c r="AC300" i="1" s="1"/>
  <c r="AB294" i="1" a="1"/>
  <c r="AB294" i="1" s="1"/>
  <c r="AC294" i="1" a="1"/>
  <c r="AC294" i="1" s="1"/>
  <c r="AD283" i="1"/>
  <c r="AA280" i="1" a="1"/>
  <c r="AA280" i="1" s="1"/>
  <c r="AD271" i="1"/>
  <c r="AA268" i="1" a="1"/>
  <c r="AA268" i="1" s="1"/>
  <c r="AD268" i="1"/>
  <c r="AC205" i="1" a="1"/>
  <c r="AC205" i="1" s="1"/>
  <c r="AD205" i="1"/>
  <c r="AA205" i="1" a="1"/>
  <c r="AA205" i="1" s="1"/>
  <c r="AB205" i="1" a="1"/>
  <c r="AB205" i="1" s="1"/>
  <c r="AB331" i="1" a="1"/>
  <c r="AB331" i="1" s="1"/>
  <c r="AD329" i="1"/>
  <c r="AD312" i="1"/>
  <c r="AC298" i="1" a="1"/>
  <c r="AC298" i="1" s="1"/>
  <c r="AD293" i="1"/>
  <c r="AC288" i="1" a="1"/>
  <c r="AC288" i="1" s="1"/>
  <c r="AD262" i="1"/>
  <c r="AB262" i="1" a="1"/>
  <c r="AB262" i="1" s="1"/>
  <c r="AD209" i="1"/>
  <c r="AC209" i="1" a="1"/>
  <c r="AC209" i="1" s="1"/>
  <c r="AA209" i="1" a="1"/>
  <c r="AA209" i="1" s="1"/>
  <c r="AB209" i="1" a="1"/>
  <c r="AB209" i="1" s="1"/>
  <c r="AA406" i="1" a="1"/>
  <c r="AA406" i="1" s="1"/>
  <c r="AB406" i="1" a="1"/>
  <c r="AB406" i="1" s="1"/>
  <c r="AD352" i="1"/>
  <c r="AC322" i="1" a="1"/>
  <c r="AC322" i="1" s="1"/>
  <c r="AD322" i="1"/>
  <c r="AA300" i="1" a="1"/>
  <c r="AA300" i="1" s="1"/>
  <c r="AB295" i="1" a="1"/>
  <c r="AB295" i="1" s="1"/>
  <c r="AB288" i="1" a="1"/>
  <c r="AB288" i="1" s="1"/>
  <c r="AA283" i="1" a="1"/>
  <c r="AA283" i="1" s="1"/>
  <c r="AA271" i="1" a="1"/>
  <c r="AA271" i="1" s="1"/>
  <c r="AD261" i="1"/>
  <c r="AD326" i="1"/>
  <c r="AA325" i="1" a="1"/>
  <c r="AA325" i="1" s="1"/>
  <c r="AB325" i="1" a="1"/>
  <c r="AB325" i="1" s="1"/>
  <c r="AA295" i="1" a="1"/>
  <c r="AA295" i="1" s="1"/>
  <c r="AC293" i="1" a="1"/>
  <c r="AC293" i="1" s="1"/>
  <c r="AD250" i="1"/>
  <c r="AC250" i="1" a="1"/>
  <c r="AC250" i="1" s="1"/>
  <c r="AA250" i="1" a="1"/>
  <c r="AA250" i="1" s="1"/>
  <c r="AA200" i="1" a="1"/>
  <c r="AA200" i="1" s="1"/>
  <c r="AC200" i="1" a="1"/>
  <c r="AC200" i="1" s="1"/>
  <c r="AD200" i="1"/>
  <c r="AB200" i="1" a="1"/>
  <c r="AB200" i="1" s="1"/>
  <c r="AA259" i="1" a="1"/>
  <c r="AA259" i="1" s="1"/>
  <c r="AC259" i="1" a="1"/>
  <c r="AC259" i="1" s="1"/>
  <c r="AA240" i="1" a="1"/>
  <c r="AA240" i="1" s="1"/>
  <c r="AB240" i="1" a="1"/>
  <c r="AB240" i="1" s="1"/>
  <c r="AD240" i="1"/>
  <c r="AC222" i="1" a="1"/>
  <c r="AC222" i="1" s="1"/>
  <c r="AA222" i="1" a="1"/>
  <c r="AA222" i="1" s="1"/>
  <c r="AB222" i="1" a="1"/>
  <c r="AB222" i="1" s="1"/>
  <c r="AB217" i="1" a="1"/>
  <c r="AB217" i="1" s="1"/>
  <c r="AA217" i="1" a="1"/>
  <c r="AA217" i="1" s="1"/>
  <c r="AC217" i="1" a="1"/>
  <c r="AC217" i="1" s="1"/>
  <c r="AC255" i="1" a="1"/>
  <c r="AC255" i="1" s="1"/>
  <c r="AD255" i="1"/>
  <c r="AB255" i="1" a="1"/>
  <c r="AB255" i="1" s="1"/>
  <c r="AA253" i="1" a="1"/>
  <c r="AA253" i="1" s="1"/>
  <c r="AB253" i="1" a="1"/>
  <c r="AB253" i="1" s="1"/>
  <c r="AD253" i="1"/>
  <c r="AD221" i="1"/>
  <c r="AA221" i="1" a="1"/>
  <c r="AA221" i="1" s="1"/>
  <c r="AB221" i="1" a="1"/>
  <c r="AB221" i="1" s="1"/>
  <c r="AC221" i="1" a="1"/>
  <c r="AC221" i="1" s="1"/>
  <c r="AA158" i="1" a="1"/>
  <c r="AA158" i="1" s="1"/>
  <c r="AD158" i="1"/>
  <c r="AB158" i="1" a="1"/>
  <c r="AB158" i="1" s="1"/>
  <c r="AC160" i="1" a="1"/>
  <c r="AC160" i="1" s="1"/>
  <c r="AA160" i="1" a="1"/>
  <c r="AA160" i="1" s="1"/>
  <c r="AB160" i="1" a="1"/>
  <c r="AB160" i="1" s="1"/>
  <c r="AD160" i="1"/>
  <c r="AB290" i="1" a="1"/>
  <c r="AB290" i="1" s="1"/>
  <c r="AB286" i="1" a="1"/>
  <c r="AB286" i="1" s="1"/>
  <c r="AC264" i="1" a="1"/>
  <c r="AC264" i="1" s="1"/>
  <c r="AD259" i="1"/>
  <c r="AC249" i="1" a="1"/>
  <c r="AC249" i="1" s="1"/>
  <c r="AD249" i="1"/>
  <c r="AB249" i="1" a="1"/>
  <c r="AB249" i="1" s="1"/>
  <c r="AA247" i="1" a="1"/>
  <c r="AA247" i="1" s="1"/>
  <c r="AB247" i="1" a="1"/>
  <c r="AB247" i="1" s="1"/>
  <c r="AD247" i="1"/>
  <c r="AA241" i="1" a="1"/>
  <c r="AA241" i="1" s="1"/>
  <c r="AB241" i="1" a="1"/>
  <c r="AB241" i="1" s="1"/>
  <c r="AD241" i="1"/>
  <c r="AB225" i="1" a="1"/>
  <c r="AB225" i="1" s="1"/>
  <c r="AA225" i="1" a="1"/>
  <c r="AA225" i="1" s="1"/>
  <c r="AC225" i="1" a="1"/>
  <c r="AC225" i="1" s="1"/>
  <c r="AC214" i="1" a="1"/>
  <c r="AC214" i="1" s="1"/>
  <c r="AD214" i="1"/>
  <c r="AA214" i="1" a="1"/>
  <c r="AA214" i="1" s="1"/>
  <c r="AB214" i="1" a="1"/>
  <c r="AB214" i="1" s="1"/>
  <c r="AB201" i="1" a="1"/>
  <c r="AB201" i="1" s="1"/>
  <c r="AD201" i="1"/>
  <c r="AC201" i="1" a="1"/>
  <c r="AC201" i="1" s="1"/>
  <c r="AD192" i="1"/>
  <c r="AB192" i="1" a="1"/>
  <c r="AB192" i="1" s="1"/>
  <c r="AC192" i="1" a="1"/>
  <c r="AC192" i="1" s="1"/>
  <c r="AB279" i="1" a="1"/>
  <c r="AB279" i="1" s="1"/>
  <c r="AC243" i="1" a="1"/>
  <c r="AC243" i="1" s="1"/>
  <c r="AD243" i="1"/>
  <c r="AB243" i="1" a="1"/>
  <c r="AB243" i="1" s="1"/>
  <c r="AB231" i="1" a="1"/>
  <c r="AB231" i="1" s="1"/>
  <c r="AC231" i="1" a="1"/>
  <c r="AC231" i="1" s="1"/>
  <c r="AD231" i="1"/>
  <c r="AD223" i="1"/>
  <c r="AA223" i="1" a="1"/>
  <c r="AA223" i="1" s="1"/>
  <c r="AA218" i="1" a="1"/>
  <c r="AA218" i="1" s="1"/>
  <c r="AC218" i="1" a="1"/>
  <c r="AC218" i="1" s="1"/>
  <c r="AD218" i="1"/>
  <c r="AC187" i="1" a="1"/>
  <c r="AC187" i="1" s="1"/>
  <c r="AA187" i="1" a="1"/>
  <c r="AA187" i="1" s="1"/>
  <c r="AD187" i="1"/>
  <c r="AA290" i="1" a="1"/>
  <c r="AA290" i="1" s="1"/>
  <c r="AB259" i="1" a="1"/>
  <c r="AB259" i="1" s="1"/>
  <c r="AA252" i="1" a="1"/>
  <c r="AA252" i="1" s="1"/>
  <c r="AB252" i="1" a="1"/>
  <c r="AB252" i="1" s="1"/>
  <c r="AD252" i="1"/>
  <c r="AC240" i="1" a="1"/>
  <c r="AC240" i="1" s="1"/>
  <c r="AD227" i="1"/>
  <c r="AC227" i="1" a="1"/>
  <c r="AC227" i="1" s="1"/>
  <c r="AA227" i="1" a="1"/>
  <c r="AA227" i="1" s="1"/>
  <c r="AD222" i="1"/>
  <c r="AD217" i="1"/>
  <c r="AB238" i="1" a="1"/>
  <c r="AB238" i="1" s="1"/>
  <c r="AC237" i="1" a="1"/>
  <c r="AC237" i="1" s="1"/>
  <c r="AD237" i="1"/>
  <c r="AB232" i="1" a="1"/>
  <c r="AB232" i="1" s="1"/>
  <c r="AD230" i="1"/>
  <c r="AA238" i="1" a="1"/>
  <c r="AA238" i="1" s="1"/>
  <c r="AA235" i="1" a="1"/>
  <c r="AA235" i="1" s="1"/>
  <c r="AB235" i="1" a="1"/>
  <c r="AB235" i="1" s="1"/>
  <c r="AC226" i="1" a="1"/>
  <c r="AC226" i="1" s="1"/>
  <c r="AB226" i="1" a="1"/>
  <c r="AB226" i="1" s="1"/>
  <c r="AB204" i="1" a="1"/>
  <c r="AB204" i="1" s="1"/>
  <c r="AC204" i="1" a="1"/>
  <c r="AC204" i="1" s="1"/>
  <c r="AC232" i="1" a="1"/>
  <c r="AC232" i="1" s="1"/>
  <c r="AD232" i="1"/>
  <c r="AA230" i="1" a="1"/>
  <c r="AA230" i="1" s="1"/>
  <c r="AB230" i="1" a="1"/>
  <c r="AB230" i="1" s="1"/>
  <c r="AD199" i="1"/>
  <c r="AB196" i="1" a="1"/>
  <c r="AB196" i="1" s="1"/>
  <c r="AD191" i="1"/>
  <c r="AD188" i="1"/>
  <c r="AB254" i="1" a="1"/>
  <c r="AB254" i="1" s="1"/>
  <c r="AC254" i="1" a="1"/>
  <c r="AC254" i="1" s="1"/>
  <c r="AB248" i="1" a="1"/>
  <c r="AB248" i="1" s="1"/>
  <c r="AC248" i="1" a="1"/>
  <c r="AC248" i="1" s="1"/>
  <c r="AB242" i="1" a="1"/>
  <c r="AB242" i="1" s="1"/>
  <c r="AC242" i="1" a="1"/>
  <c r="AC242" i="1" s="1"/>
  <c r="AA219" i="1" a="1"/>
  <c r="AA219" i="1" s="1"/>
  <c r="AC185" i="1" a="1"/>
  <c r="AC185" i="1" s="1"/>
  <c r="AD185" i="1"/>
  <c r="AC178" i="1" a="1"/>
  <c r="AC178" i="1" s="1"/>
  <c r="AD178" i="1"/>
  <c r="AB237" i="1" a="1"/>
  <c r="AB237" i="1" s="1"/>
  <c r="AB236" i="1" a="1"/>
  <c r="AB236" i="1" s="1"/>
  <c r="AC236" i="1" a="1"/>
  <c r="AC236" i="1" s="1"/>
  <c r="AC208" i="1" a="1"/>
  <c r="AC208" i="1" s="1"/>
  <c r="AB208" i="1" a="1"/>
  <c r="AB208" i="1" s="1"/>
  <c r="AD203" i="1"/>
  <c r="AA203" i="1" a="1"/>
  <c r="AA203" i="1" s="1"/>
  <c r="AB203" i="1" a="1"/>
  <c r="AB203" i="1" s="1"/>
  <c r="AD184" i="1"/>
  <c r="AA176" i="1" a="1"/>
  <c r="AA176" i="1" s="1"/>
  <c r="AB176" i="1" a="1"/>
  <c r="AB176" i="1" s="1"/>
  <c r="AC155" i="1" a="1"/>
  <c r="AC155" i="1" s="1"/>
  <c r="AD155" i="1"/>
  <c r="AA155" i="1" a="1"/>
  <c r="AA155" i="1" s="1"/>
  <c r="AB155" i="1" a="1"/>
  <c r="AB155" i="1" s="1"/>
  <c r="AC196" i="1" a="1"/>
  <c r="AC196" i="1" s="1"/>
  <c r="AD196" i="1"/>
  <c r="AA154" i="1" a="1"/>
  <c r="AA154" i="1" s="1"/>
  <c r="AB154" i="1" a="1"/>
  <c r="AB154" i="1" s="1"/>
  <c r="AC154" i="1" a="1"/>
  <c r="AC154" i="1" s="1"/>
  <c r="AD154" i="1"/>
  <c r="AA199" i="1" a="1"/>
  <c r="AA199" i="1" s="1"/>
  <c r="AB199" i="1" a="1"/>
  <c r="AB199" i="1" s="1"/>
  <c r="AA191" i="1" a="1"/>
  <c r="AA191" i="1" s="1"/>
  <c r="AB191" i="1" a="1"/>
  <c r="AB191" i="1" s="1"/>
  <c r="AB188" i="1" a="1"/>
  <c r="AB188" i="1" s="1"/>
  <c r="AC188" i="1" a="1"/>
  <c r="AC188" i="1" s="1"/>
  <c r="AA181" i="1" a="1"/>
  <c r="AA181" i="1" s="1"/>
  <c r="AC181" i="1" a="1"/>
  <c r="AC181" i="1" s="1"/>
  <c r="AD181" i="1"/>
  <c r="AA145" i="1" a="1"/>
  <c r="AA145" i="1" s="1"/>
  <c r="AB145" i="1" a="1"/>
  <c r="AB145" i="1" s="1"/>
  <c r="AC145" i="1" a="1"/>
  <c r="AC145" i="1" s="1"/>
  <c r="AD145" i="1"/>
  <c r="AB184" i="1" a="1"/>
  <c r="AB184" i="1" s="1"/>
  <c r="AC184" i="1" a="1"/>
  <c r="AC184" i="1" s="1"/>
  <c r="AA173" i="1" a="1"/>
  <c r="AA173" i="1" s="1"/>
  <c r="AB173" i="1" a="1"/>
  <c r="AB173" i="1" s="1"/>
  <c r="AC173" i="1" a="1"/>
  <c r="AC173" i="1" s="1"/>
  <c r="AD170" i="1"/>
  <c r="AB169" i="1" a="1"/>
  <c r="AB169" i="1" s="1"/>
  <c r="AC152" i="1" a="1"/>
  <c r="AC152" i="1" s="1"/>
  <c r="AB146" i="1" a="1"/>
  <c r="AB146" i="1" s="1"/>
  <c r="AC138" i="1" a="1"/>
  <c r="AC138" i="1" s="1"/>
  <c r="AD136" i="1"/>
  <c r="AC166" i="1" a="1"/>
  <c r="AC166" i="1" s="1"/>
  <c r="AA149" i="1" a="1"/>
  <c r="AA149" i="1" s="1"/>
  <c r="AA125" i="1" a="1"/>
  <c r="AA125" i="1" s="1"/>
  <c r="AB125" i="1" a="1"/>
  <c r="AB125" i="1" s="1"/>
  <c r="AD125" i="1"/>
  <c r="AA169" i="1" a="1"/>
  <c r="AA169" i="1" s="1"/>
  <c r="AD167" i="1"/>
  <c r="AD163" i="1"/>
  <c r="AB152" i="1" a="1"/>
  <c r="AB152" i="1" s="1"/>
  <c r="AC151" i="1" a="1"/>
  <c r="AC151" i="1" s="1"/>
  <c r="AD151" i="1"/>
  <c r="AC136" i="1" a="1"/>
  <c r="AC136" i="1" s="1"/>
  <c r="Z27" i="1" a="1"/>
  <c r="Z27" i="1" s="1"/>
  <c r="AA27" i="1" a="1"/>
  <c r="AA27" i="1" s="1"/>
  <c r="AB27" i="1" a="1"/>
  <c r="AB27" i="1" s="1"/>
  <c r="AC27" i="1" a="1"/>
  <c r="AC27" i="1" s="1"/>
  <c r="AD27" i="1"/>
  <c r="AC174" i="1" a="1"/>
  <c r="AC174" i="1" s="1"/>
  <c r="AC163" i="1" a="1"/>
  <c r="AC163" i="1" s="1"/>
  <c r="AC156" i="1" a="1"/>
  <c r="AC156" i="1" s="1"/>
  <c r="AD150" i="1"/>
  <c r="AD140" i="1"/>
  <c r="AA140" i="1" a="1"/>
  <c r="AA140" i="1" s="1"/>
  <c r="AB140" i="1" a="1"/>
  <c r="AB140" i="1" s="1"/>
  <c r="AB136" i="1" a="1"/>
  <c r="AB136" i="1" s="1"/>
  <c r="AC146" i="1" a="1"/>
  <c r="AC146" i="1" s="1"/>
  <c r="AD146" i="1"/>
  <c r="AA138" i="1" a="1"/>
  <c r="AA138" i="1" s="1"/>
  <c r="AD138" i="1"/>
  <c r="AA87" i="1" a="1"/>
  <c r="AA87" i="1" s="1"/>
  <c r="AB87" i="1" a="1"/>
  <c r="AB87" i="1" s="1"/>
  <c r="Z87" i="1" a="1"/>
  <c r="Z87" i="1" s="1"/>
  <c r="AC87" i="1" a="1"/>
  <c r="AC87" i="1" s="1"/>
  <c r="AD87" i="1"/>
  <c r="AC133" i="1" a="1"/>
  <c r="AC133" i="1" s="1"/>
  <c r="AD133" i="1"/>
  <c r="AD131" i="1"/>
  <c r="AB131" i="1" a="1"/>
  <c r="AB131" i="1" s="1"/>
  <c r="AB66" i="1" a="1"/>
  <c r="AB66" i="1" s="1"/>
  <c r="Z66" i="1" a="1"/>
  <c r="Z66" i="1" s="1"/>
  <c r="AA66" i="1" a="1"/>
  <c r="AA66" i="1" s="1"/>
  <c r="AC66" i="1" a="1"/>
  <c r="AC66" i="1" s="1"/>
  <c r="AD66" i="1"/>
  <c r="AD149" i="1"/>
  <c r="AD169" i="1"/>
  <c r="AD137" i="1"/>
  <c r="AA118" i="1" a="1"/>
  <c r="AA118" i="1" s="1"/>
  <c r="AB118" i="1" a="1"/>
  <c r="AB118" i="1" s="1"/>
  <c r="AD102" i="1"/>
  <c r="AD81" i="1"/>
  <c r="Z78" i="1" a="1"/>
  <c r="Z78" i="1" s="1"/>
  <c r="AC60" i="1" a="1"/>
  <c r="AC60" i="1" s="1"/>
  <c r="AA57" i="1" a="1"/>
  <c r="AA57" i="1" s="1"/>
  <c r="AB57" i="1" a="1"/>
  <c r="AB57" i="1" s="1"/>
  <c r="AA48" i="1" a="1"/>
  <c r="AA48" i="1" s="1"/>
  <c r="AA39" i="1" a="1"/>
  <c r="AA39" i="1" s="1"/>
  <c r="AB39" i="1" a="1"/>
  <c r="AB39" i="1" s="1"/>
  <c r="AC39" i="1" a="1"/>
  <c r="AC39" i="1" s="1"/>
  <c r="AA99" i="1" a="1"/>
  <c r="AA99" i="1" s="1"/>
  <c r="AB99" i="1" a="1"/>
  <c r="AB99" i="1" s="1"/>
  <c r="AD72" i="1"/>
  <c r="AD51" i="1"/>
  <c r="AA33" i="1" a="1"/>
  <c r="AA33" i="1" s="1"/>
  <c r="AB33" i="1" a="1"/>
  <c r="AB33" i="1" s="1"/>
  <c r="AC33" i="1" a="1"/>
  <c r="AC33" i="1" s="1"/>
  <c r="AD93" i="1"/>
  <c r="AC72" i="1" a="1"/>
  <c r="AC72" i="1" s="1"/>
  <c r="AA69" i="1" a="1"/>
  <c r="AA69" i="1" s="1"/>
  <c r="AB69" i="1" a="1"/>
  <c r="AB69" i="1" s="1"/>
  <c r="AA60" i="1" a="1"/>
  <c r="AA60" i="1" s="1"/>
  <c r="AC51" i="1" a="1"/>
  <c r="AC51" i="1" s="1"/>
  <c r="AD42" i="1"/>
  <c r="AA111" i="1" a="1"/>
  <c r="AA111" i="1" s="1"/>
  <c r="AB111" i="1" a="1"/>
  <c r="AB111" i="1" s="1"/>
  <c r="AA102" i="1" a="1"/>
  <c r="AA102" i="1" s="1"/>
  <c r="AC93" i="1" a="1"/>
  <c r="AC93" i="1" s="1"/>
  <c r="AD84" i="1"/>
  <c r="Z60" i="1" a="1"/>
  <c r="Z60" i="1" s="1"/>
  <c r="Z102" i="1" a="1"/>
  <c r="Z102" i="1" s="1"/>
  <c r="AA81" i="1" a="1"/>
  <c r="AA81" i="1" s="1"/>
  <c r="AB81" i="1" a="1"/>
  <c r="AB81" i="1" s="1"/>
  <c r="AA72" i="1" a="1"/>
  <c r="AA72" i="1" s="1"/>
  <c r="AA42" i="1" a="1"/>
  <c r="AA42" i="1" s="1"/>
  <c r="AD75" i="1"/>
  <c r="Z72" i="1" a="1"/>
  <c r="Z72" i="1" s="1"/>
  <c r="AA51" i="1" a="1"/>
  <c r="AA51" i="1" s="1"/>
  <c r="AB51" i="1" a="1"/>
  <c r="AB51" i="1" s="1"/>
  <c r="AA93" i="1" a="1"/>
  <c r="AA93" i="1" s="1"/>
  <c r="AB93" i="1" a="1"/>
  <c r="AB93" i="1" s="1"/>
  <c r="AB42" i="1" a="1"/>
  <c r="AB42" i="1" s="1"/>
  <c r="AC42" i="1" a="1"/>
  <c r="AC42" i="1" s="1"/>
  <c r="AD114" i="1"/>
  <c r="AA114" i="1" a="1"/>
  <c r="AA114" i="1" s="1"/>
  <c r="Z84" i="1" a="1"/>
  <c r="Z84" i="1" s="1"/>
  <c r="AA63" i="1" a="1"/>
  <c r="AA63" i="1" s="1"/>
  <c r="AB63" i="1" a="1"/>
  <c r="AB63" i="1" s="1"/>
  <c r="AA54" i="1" a="1"/>
  <c r="AA54" i="1" s="1"/>
  <c r="AC45" i="1" a="1"/>
  <c r="AC45" i="1" s="1"/>
  <c r="AA105" i="1" a="1"/>
  <c r="AA105" i="1" s="1"/>
  <c r="AB105" i="1" a="1"/>
  <c r="AB105" i="1" s="1"/>
  <c r="AA96" i="1" a="1"/>
  <c r="AA96" i="1" s="1"/>
  <c r="AD78" i="1"/>
  <c r="Z54" i="1" a="1"/>
  <c r="Z54" i="1" s="1"/>
  <c r="AB36" i="1" a="1"/>
  <c r="AB36" i="1" s="1"/>
  <c r="AC36" i="1" a="1"/>
  <c r="AC36" i="1" s="1"/>
  <c r="AD99" i="1"/>
  <c r="AA75" i="1" a="1"/>
  <c r="AA75" i="1" s="1"/>
  <c r="AB75" i="1" a="1"/>
  <c r="AB75" i="1" s="1"/>
  <c r="Z21" i="1" a="1"/>
  <c r="Z21" i="1" s="1"/>
  <c r="AA21" i="1" a="1"/>
  <c r="AA21" i="1" s="1"/>
  <c r="AB21" i="1" a="1"/>
  <c r="AB21" i="1" s="1"/>
  <c r="AC21" i="1" a="1"/>
  <c r="AC21" i="1" s="1"/>
  <c r="AC99" i="1" a="1"/>
  <c r="AC99" i="1" s="1"/>
  <c r="AA45" i="1" a="1"/>
  <c r="AA45" i="1" s="1"/>
  <c r="AB45" i="1" a="1"/>
  <c r="AB45" i="1" s="1"/>
  <c r="AC30" i="1" a="1"/>
  <c r="AC30" i="1" s="1"/>
  <c r="AC24" i="1" a="1"/>
  <c r="AC24" i="1" s="1"/>
  <c r="AC15" i="1" a="1"/>
  <c r="AC15" i="1" s="1"/>
  <c r="AC9" i="1" a="1"/>
  <c r="AC9" i="1" s="1"/>
  <c r="AC6" i="1" a="1"/>
  <c r="AC6" i="1" s="1"/>
  <c r="AB15" i="1" a="1"/>
  <c r="AB15" i="1" s="1"/>
  <c r="AB9" i="1" a="1"/>
  <c r="AB9" i="1" s="1"/>
  <c r="AB6" i="1" a="1"/>
  <c r="AB6" i="1" s="1"/>
  <c r="AA15" i="1" a="1"/>
  <c r="AA15" i="1" s="1"/>
  <c r="AA9" i="1" a="1"/>
  <c r="AA9" i="1" s="1"/>
  <c r="AA6" i="1" a="1"/>
  <c r="AA6" i="1" s="1"/>
  <c r="AA5" i="1" a="1"/>
  <c r="AA5" i="1" s="1"/>
  <c r="AD3" i="1"/>
  <c r="AC5" i="1" a="1"/>
  <c r="AC5" i="1" s="1"/>
  <c r="Q637" i="1"/>
  <c r="AB2" i="1" a="1"/>
  <c r="AB2" i="1" s="1"/>
  <c r="AC2" i="1" a="1"/>
  <c r="AC2" i="1" s="1"/>
  <c r="Z2" i="1" a="1"/>
  <c r="Z2" i="1" s="1"/>
  <c r="AA2" i="1" a="1"/>
  <c r="AA2" i="1" s="1"/>
  <c r="Q792" i="1" l="1"/>
  <c r="Q791" i="1"/>
  <c r="Q913" i="1"/>
  <c r="Q925" i="1"/>
  <c r="Q871" i="1"/>
  <c r="Q785" i="1"/>
  <c r="Q737" i="1"/>
  <c r="Q812" i="1"/>
  <c r="Q773" i="1"/>
  <c r="Q933" i="1"/>
  <c r="Q734" i="1"/>
  <c r="Q809" i="1"/>
  <c r="Q740" i="1"/>
  <c r="Q782" i="1"/>
  <c r="Q778" i="1"/>
  <c r="Q879" i="1"/>
  <c r="Q831" i="1"/>
  <c r="Q816" i="1"/>
  <c r="Q767" i="1"/>
  <c r="Q843" i="1"/>
  <c r="Q850" i="1"/>
  <c r="Q794" i="1"/>
  <c r="Q877" i="1"/>
  <c r="Q762" i="1"/>
  <c r="Q860" i="1"/>
  <c r="Q771" i="1"/>
  <c r="Q743" i="1"/>
  <c r="Q872" i="1"/>
  <c r="Q747" i="1"/>
  <c r="Q922" i="1"/>
  <c r="Q761" i="1"/>
  <c r="Q897" i="1"/>
  <c r="Q900" i="1"/>
  <c r="Q754" i="1"/>
  <c r="Q859" i="1"/>
  <c r="Q839" i="1"/>
  <c r="Q893" i="1"/>
  <c r="Q768" i="1"/>
  <c r="Q884" i="1"/>
  <c r="Q753" i="1"/>
  <c r="Q854" i="1"/>
  <c r="Q926" i="1"/>
  <c r="Q814" i="1"/>
  <c r="Q911" i="1"/>
  <c r="Q821" i="1"/>
  <c r="Q941" i="1"/>
  <c r="Q875" i="1"/>
  <c r="Q758" i="1"/>
  <c r="Q807" i="1"/>
  <c r="Q779" i="1"/>
  <c r="Q866" i="1"/>
  <c r="Q728" i="1"/>
  <c r="Q915" i="1"/>
  <c r="Q836" i="1"/>
  <c r="Q886" i="1"/>
  <c r="Q825" i="1"/>
  <c r="Q914" i="1"/>
  <c r="Q796" i="1"/>
  <c r="Q776" i="1"/>
  <c r="Q731" i="1"/>
  <c r="Q818" i="1"/>
  <c r="Q907" i="1"/>
  <c r="Q861" i="1"/>
  <c r="Q918" i="1"/>
  <c r="Q759" i="1"/>
  <c r="Q766" i="1"/>
  <c r="Q751" i="1"/>
  <c r="Q739" i="1"/>
  <c r="Q744" i="1"/>
  <c r="Q908" i="1"/>
  <c r="Q777" i="1"/>
  <c r="Q735" i="1"/>
  <c r="Q772" i="1"/>
  <c r="Q650" i="1"/>
  <c r="Q719" i="1"/>
  <c r="Q646" i="1"/>
  <c r="Q662" i="1"/>
  <c r="Q687" i="1"/>
  <c r="Q661" i="1"/>
  <c r="Q695" i="1"/>
  <c r="Q610" i="1"/>
  <c r="Q707" i="1"/>
  <c r="Q653" i="1"/>
  <c r="Q657" i="1"/>
  <c r="Q649" i="1"/>
  <c r="Q694" i="1"/>
  <c r="Q699" i="1"/>
  <c r="Q667" i="1"/>
  <c r="Q625" i="1"/>
  <c r="Q641" i="1"/>
  <c r="Q724" i="1"/>
  <c r="Q621" i="1"/>
  <c r="Q670" i="1"/>
  <c r="Q617" i="1"/>
  <c r="Q626" i="1"/>
  <c r="Q658" i="1"/>
  <c r="Q606" i="1"/>
  <c r="Q688" i="1"/>
  <c r="Q700" i="1"/>
  <c r="Q614" i="1"/>
  <c r="Q642" i="1"/>
  <c r="Q630" i="1"/>
  <c r="Q671" i="1"/>
  <c r="Q602" i="1"/>
  <c r="Q638" i="1"/>
  <c r="Q677" i="1"/>
  <c r="Q711" i="1"/>
  <c r="Q712" i="1"/>
  <c r="Q681" i="1"/>
  <c r="Q613" i="1"/>
  <c r="Q686" i="1"/>
  <c r="Q609" i="1"/>
  <c r="Q705" i="1"/>
  <c r="Q618" i="1"/>
  <c r="Q715" i="1"/>
  <c r="Q720" i="1"/>
  <c r="Q718" i="1"/>
  <c r="Q689" i="1"/>
  <c r="Q703" i="1"/>
  <c r="Q673" i="1"/>
  <c r="Q716" i="1"/>
  <c r="Q710" i="1"/>
  <c r="Q683" i="1"/>
  <c r="Q685" i="1"/>
  <c r="Q634" i="1"/>
  <c r="Q714" i="1"/>
  <c r="Q605" i="1"/>
  <c r="Q629" i="1"/>
  <c r="Q674" i="1"/>
  <c r="Q682" i="1"/>
  <c r="Q698" i="1"/>
  <c r="Q697" i="1"/>
  <c r="Q669" i="1"/>
  <c r="Q696" i="1"/>
  <c r="Q603" i="1"/>
  <c r="Q622" i="1"/>
  <c r="Q633" i="1"/>
  <c r="Q722" i="1"/>
  <c r="Q693" i="1"/>
  <c r="Q702" i="1"/>
  <c r="Q611" i="1"/>
  <c r="Q706" i="1"/>
  <c r="Q709" i="1"/>
  <c r="Q713" i="1"/>
  <c r="Q645" i="1"/>
  <c r="Q655" i="1"/>
  <c r="Q647" i="1"/>
  <c r="Q725" i="1"/>
  <c r="Q666" i="1"/>
  <c r="Q678" i="1"/>
  <c r="Q691" i="1"/>
  <c r="Q684" i="1"/>
  <c r="Q717" i="1"/>
  <c r="Q721" i="1"/>
  <c r="Q639" i="1"/>
  <c r="Q616" i="1"/>
  <c r="Q663" i="1"/>
  <c r="Q672" i="1"/>
  <c r="Q607" i="1"/>
  <c r="Q636" i="1"/>
  <c r="Q726" i="1"/>
  <c r="Q675" i="1"/>
  <c r="Q708" i="1"/>
  <c r="Q680" i="1"/>
  <c r="Q701" i="1"/>
  <c r="Q654" i="1"/>
  <c r="Q723" i="1"/>
  <c r="Q651" i="1"/>
  <c r="Q664" i="1"/>
  <c r="Q704" i="1"/>
  <c r="Q631" i="1"/>
  <c r="Q601" i="1"/>
  <c r="Q615" i="1"/>
  <c r="Q659" i="1"/>
  <c r="Q624" i="1"/>
  <c r="Q635" i="1"/>
  <c r="Q628" i="1"/>
  <c r="Q690" i="1"/>
  <c r="Q640" i="1"/>
  <c r="Q627" i="1"/>
  <c r="Q692" i="1"/>
  <c r="Q679" i="1"/>
  <c r="Q676" i="1"/>
  <c r="Q643" i="1"/>
  <c r="Q665" i="1"/>
  <c r="Q604" i="1"/>
  <c r="Q632" i="1"/>
  <c r="Q644" i="1"/>
  <c r="Q660" i="1"/>
  <c r="Q668" i="1"/>
  <c r="Q648" i="1"/>
  <c r="Q656" i="1"/>
  <c r="Q652" i="1"/>
  <c r="Q612" i="1"/>
  <c r="Q619" i="1"/>
  <c r="Q623" i="1"/>
  <c r="Q620" i="1"/>
  <c r="Q608" i="1"/>
  <c r="Q600" i="1"/>
  <c r="Q47" i="1"/>
  <c r="Q273" i="1"/>
  <c r="Q576" i="1"/>
  <c r="Q63" i="1"/>
  <c r="Q481" i="1"/>
  <c r="Q374" i="1"/>
  <c r="Q170" i="1"/>
  <c r="Q522" i="1"/>
  <c r="Q344" i="1"/>
  <c r="Q429" i="1"/>
  <c r="Q75" i="1"/>
  <c r="Q201" i="1"/>
  <c r="Q216" i="1"/>
  <c r="Q578" i="1"/>
  <c r="Q102" i="1"/>
  <c r="Q445" i="1"/>
  <c r="Q121" i="1"/>
  <c r="Q120" i="1"/>
  <c r="Q595" i="1"/>
  <c r="Q351" i="1"/>
  <c r="Q414" i="1"/>
  <c r="Q59" i="1"/>
  <c r="Q228" i="1"/>
  <c r="Q405" i="1"/>
  <c r="Q358" i="1"/>
  <c r="Q168" i="1"/>
  <c r="Q365" i="1"/>
  <c r="Q113" i="1"/>
  <c r="Q568" i="1"/>
  <c r="Q194" i="1"/>
  <c r="Q172" i="1"/>
  <c r="Q462" i="1"/>
  <c r="Q209" i="1"/>
  <c r="Q533" i="1"/>
  <c r="Q328" i="1"/>
  <c r="Q227" i="1"/>
  <c r="Q433" i="1"/>
  <c r="Q171" i="1"/>
  <c r="Q92" i="1"/>
  <c r="Q457" i="1"/>
  <c r="Q43" i="1"/>
  <c r="Q218" i="1"/>
  <c r="Q98" i="1"/>
  <c r="Q137" i="1"/>
  <c r="Q363" i="1"/>
  <c r="Q136" i="1"/>
  <c r="Q461" i="1"/>
  <c r="Q86" i="1"/>
  <c r="Q280" i="1"/>
  <c r="Q382" i="1"/>
  <c r="Q277" i="1"/>
  <c r="Q56" i="1"/>
  <c r="Q132" i="1"/>
  <c r="Q55" i="1"/>
  <c r="Q44" i="1"/>
  <c r="Q484" i="1"/>
  <c r="Q555" i="1"/>
  <c r="Q300" i="1"/>
  <c r="Q383" i="1"/>
  <c r="Q167" i="1"/>
  <c r="Q524" i="1"/>
  <c r="Q148" i="1"/>
  <c r="Q276" i="1"/>
  <c r="Q485" i="1"/>
  <c r="Q446" i="1"/>
  <c r="Q452" i="1"/>
  <c r="Q550" i="1"/>
  <c r="Q379" i="1"/>
  <c r="Q580" i="1"/>
  <c r="Q106" i="1"/>
  <c r="Q296" i="1"/>
  <c r="Q588" i="1"/>
  <c r="Q149" i="1"/>
  <c r="Q179" i="1"/>
  <c r="Q298" i="1"/>
  <c r="Q90" i="1"/>
  <c r="Q559" i="1"/>
  <c r="Q304" i="1"/>
  <c r="Q551" i="1"/>
  <c r="Q492" i="1"/>
  <c r="Q599" i="1"/>
  <c r="Q545" i="1"/>
  <c r="Q287" i="1"/>
  <c r="Q494" i="1"/>
  <c r="Q432" i="1"/>
  <c r="Q182" i="1"/>
  <c r="Q249" i="1"/>
  <c r="Q210" i="1"/>
  <c r="Q368" i="1"/>
  <c r="Q318" i="1"/>
  <c r="Q487" i="1"/>
  <c r="Q501" i="1"/>
  <c r="Q268" i="1"/>
  <c r="Q146" i="1"/>
  <c r="Q435" i="1"/>
  <c r="Q71" i="1"/>
  <c r="Q94" i="1"/>
  <c r="Q283" i="1"/>
  <c r="Q342" i="1"/>
  <c r="Q469" i="1"/>
  <c r="Q410" i="1"/>
  <c r="Q561" i="1"/>
  <c r="Q278" i="1"/>
  <c r="Q306" i="1"/>
  <c r="Q415" i="1"/>
  <c r="Q270" i="1"/>
  <c r="Q281" i="1"/>
  <c r="Q257" i="1"/>
  <c r="Q193" i="1"/>
  <c r="Q453" i="1"/>
  <c r="Q186" i="1"/>
  <c r="Q67" i="1"/>
  <c r="Q140" i="1"/>
  <c r="Q166" i="1"/>
  <c r="Q331" i="1"/>
  <c r="Q394" i="1"/>
  <c r="Q563" i="1"/>
  <c r="Q430" i="1"/>
  <c r="Q87" i="1"/>
  <c r="Q447" i="1"/>
  <c r="Q421" i="1"/>
  <c r="Q575" i="1"/>
  <c r="Q591" i="1"/>
  <c r="Q419" i="1"/>
  <c r="Q153" i="1"/>
  <c r="Q220" i="1"/>
  <c r="Q327" i="1"/>
  <c r="Q511" i="1"/>
  <c r="Q251" i="1"/>
  <c r="Q122" i="1"/>
  <c r="Q317" i="1"/>
  <c r="Q252" i="1"/>
  <c r="Q434" i="1"/>
  <c r="Q156" i="1"/>
  <c r="Q70" i="1"/>
  <c r="Q184" i="1"/>
  <c r="Q105" i="1"/>
  <c r="Q117" i="1"/>
  <c r="Q567" i="1"/>
  <c r="Q549" i="1"/>
  <c r="Q265" i="1"/>
  <c r="Q459" i="1"/>
  <c r="Q540" i="1"/>
  <c r="Q593" i="1"/>
  <c r="Q82" i="1"/>
  <c r="Q48" i="1"/>
  <c r="Q297" i="1"/>
  <c r="Q51" i="1"/>
  <c r="Q118" i="1"/>
  <c r="Q299" i="1"/>
  <c r="Q188" i="1"/>
  <c r="Q401" i="1"/>
  <c r="Q250" i="1"/>
  <c r="Q164" i="1"/>
  <c r="Q282" i="1"/>
  <c r="Q403" i="1"/>
  <c r="Q272" i="1"/>
  <c r="Q150" i="1"/>
  <c r="Q399" i="1"/>
  <c r="Q531" i="1"/>
  <c r="Q493" i="1"/>
  <c r="Q449" i="1"/>
  <c r="Q598" i="1"/>
  <c r="Q101" i="1"/>
  <c r="Q115" i="1"/>
  <c r="Q404" i="1"/>
  <c r="Q157" i="1"/>
  <c r="Q79" i="1"/>
  <c r="Q165" i="1"/>
  <c r="Q202" i="1"/>
  <c r="Q119" i="1"/>
  <c r="Q407" i="1"/>
  <c r="Q238" i="1"/>
  <c r="Q585" i="1"/>
  <c r="Q577" i="1"/>
  <c r="Q569" i="1"/>
  <c r="Q347" i="1"/>
  <c r="Q264" i="1"/>
  <c r="Q389" i="1"/>
  <c r="Q388" i="1"/>
  <c r="Q573" i="1"/>
  <c r="Q581" i="1"/>
  <c r="Q366" i="1"/>
  <c r="Q400" i="1"/>
  <c r="Q176" i="1"/>
  <c r="Q219" i="1"/>
  <c r="Q319" i="1"/>
  <c r="Q480" i="1"/>
  <c r="Q556" i="1"/>
  <c r="Q597" i="1"/>
  <c r="Q138" i="1"/>
  <c r="Q332" i="1"/>
  <c r="Q393" i="1"/>
  <c r="Q539" i="1"/>
  <c r="Q518" i="1"/>
  <c r="Q509" i="1"/>
  <c r="Q258" i="1"/>
  <c r="Q131" i="1"/>
  <c r="Q330" i="1"/>
  <c r="Q290" i="1"/>
  <c r="Q486" i="1"/>
  <c r="Q470" i="1"/>
  <c r="Q362" i="1"/>
  <c r="Q384" i="1"/>
  <c r="Q385" i="1"/>
  <c r="Q565" i="1"/>
  <c r="Q177" i="1"/>
  <c r="Q471" i="1"/>
  <c r="Q579" i="1"/>
  <c r="Q178" i="1"/>
  <c r="Q489" i="1"/>
  <c r="Q437" i="1"/>
  <c r="Q65" i="1"/>
  <c r="Q104" i="1"/>
  <c r="Q241" i="1"/>
  <c r="Q232" i="1"/>
  <c r="Q483" i="1"/>
  <c r="Q592" i="1"/>
  <c r="Q236" i="1"/>
  <c r="Q497" i="1"/>
  <c r="Q583" i="1"/>
  <c r="Q83" i="1"/>
  <c r="Q541" i="1"/>
  <c r="Q420" i="1"/>
  <c r="Q586" i="1"/>
  <c r="Q145" i="1"/>
  <c r="Q183" i="1"/>
  <c r="Q348" i="1"/>
  <c r="Q428" i="1"/>
  <c r="Q594" i="1"/>
  <c r="Q160" i="1"/>
  <c r="Q159" i="1"/>
  <c r="Q378" i="1"/>
  <c r="Q248" i="1"/>
  <c r="Q505" i="1"/>
  <c r="Q441" i="1"/>
  <c r="Q527" i="1"/>
  <c r="Q62" i="1"/>
  <c r="Q125" i="1"/>
  <c r="Q224" i="1"/>
  <c r="Q198" i="1"/>
  <c r="Q161" i="1"/>
  <c r="Q321" i="1"/>
  <c r="Q285" i="1"/>
  <c r="Q530" i="1"/>
  <c r="Q538" i="1"/>
  <c r="Q514" i="1"/>
  <c r="Q426" i="1"/>
  <c r="Q508" i="1"/>
  <c r="Q217" i="1"/>
  <c r="Q289" i="1"/>
  <c r="Q356" i="1"/>
  <c r="Q402" i="1"/>
  <c r="Q444" i="1"/>
  <c r="Q354" i="1"/>
  <c r="Q427" i="1"/>
  <c r="Q572" i="1"/>
  <c r="Q377" i="1"/>
  <c r="Q438" i="1"/>
  <c r="Q129" i="1"/>
  <c r="Q245" i="1"/>
  <c r="Q206" i="1"/>
  <c r="Q261" i="1"/>
  <c r="Q515" i="1"/>
  <c r="Q562" i="1"/>
  <c r="Q558" i="1"/>
  <c r="Q271" i="1"/>
  <c r="Q398" i="1"/>
  <c r="Q74" i="1"/>
  <c r="Q78" i="1"/>
  <c r="Q187" i="1"/>
  <c r="Q308" i="1"/>
  <c r="Q339" i="1"/>
  <c r="Q312" i="1"/>
  <c r="Q442" i="1"/>
  <c r="Q392" i="1"/>
  <c r="Q464" i="1"/>
  <c r="Q391" i="1"/>
  <c r="Q431" i="1"/>
  <c r="Q566" i="1"/>
  <c r="Q560" i="1"/>
  <c r="Q564" i="1"/>
  <c r="Q535" i="1"/>
  <c r="Q110" i="1"/>
  <c r="Q116" i="1"/>
  <c r="Q222" i="1"/>
  <c r="Q275" i="1"/>
  <c r="Q517" i="1"/>
  <c r="Q491" i="1"/>
  <c r="Q147" i="1"/>
  <c r="Q346" i="1"/>
  <c r="Q590" i="1"/>
  <c r="Q107" i="1"/>
  <c r="Q93" i="1"/>
  <c r="Q372" i="1"/>
  <c r="Q451" i="1"/>
  <c r="Q359" i="1"/>
  <c r="Q373" i="1"/>
  <c r="Q409" i="1"/>
  <c r="Q520" i="1"/>
  <c r="Q455" i="1"/>
  <c r="Q574" i="1"/>
  <c r="Q52" i="1"/>
  <c r="Q335" i="1"/>
  <c r="Q440" i="1"/>
  <c r="Q529" i="1"/>
  <c r="Q240" i="1"/>
  <c r="Q80" i="1"/>
  <c r="Q85" i="1"/>
  <c r="Q108" i="1"/>
  <c r="Q175" i="1"/>
  <c r="Q99" i="1"/>
  <c r="Q151" i="1"/>
  <c r="Q375" i="1"/>
  <c r="Q542" i="1"/>
  <c r="Q482" i="1"/>
  <c r="Q463" i="1"/>
  <c r="Q123" i="1"/>
  <c r="Q185" i="1"/>
  <c r="Q96" i="1"/>
  <c r="Q425" i="1"/>
  <c r="Q326" i="1"/>
  <c r="Q310" i="1"/>
  <c r="Q169" i="1"/>
  <c r="Q367" i="1"/>
  <c r="Q525" i="1"/>
  <c r="Q536" i="1"/>
  <c r="Q412" i="1"/>
  <c r="Q355" i="1"/>
  <c r="Q323" i="1"/>
  <c r="Q305" i="1"/>
  <c r="Q510" i="1"/>
  <c r="Q294" i="1"/>
  <c r="Q226" i="1"/>
  <c r="Q66" i="1"/>
  <c r="Q61" i="1"/>
  <c r="Q77" i="1"/>
  <c r="Q192" i="1"/>
  <c r="Q181" i="1"/>
  <c r="Q243" i="1"/>
  <c r="Q255" i="1"/>
  <c r="Q325" i="1"/>
  <c r="Q396" i="1"/>
  <c r="Q423" i="1"/>
  <c r="Q376" i="1"/>
  <c r="Q413" i="1"/>
  <c r="Q406" i="1"/>
  <c r="Q443" i="1"/>
  <c r="Q466" i="1"/>
  <c r="Q584" i="1"/>
  <c r="Q546" i="1"/>
  <c r="Q506" i="1"/>
  <c r="Q454" i="1"/>
  <c r="Q100" i="1"/>
  <c r="Q460" i="1"/>
  <c r="Q284" i="1"/>
  <c r="Q81" i="1"/>
  <c r="Q126" i="1"/>
  <c r="Q162" i="1"/>
  <c r="Q361" i="1"/>
  <c r="Q316" i="1"/>
  <c r="Q381" i="1"/>
  <c r="Q532" i="1"/>
  <c r="Q557" i="1"/>
  <c r="Q526" i="1"/>
  <c r="Q537" i="1"/>
  <c r="Q286" i="1"/>
  <c r="Q244" i="1"/>
  <c r="Q314" i="1"/>
  <c r="Q500" i="1"/>
  <c r="Q543" i="1"/>
  <c r="Q76" i="1"/>
  <c r="Q163" i="1"/>
  <c r="Q225" i="1"/>
  <c r="Q269" i="1"/>
  <c r="Q263" i="1"/>
  <c r="Q313" i="1"/>
  <c r="Q303" i="1"/>
  <c r="Q293" i="1"/>
  <c r="Q360" i="1"/>
  <c r="Q424" i="1"/>
  <c r="Q478" i="1"/>
  <c r="Q467" i="1"/>
  <c r="Q133" i="1"/>
  <c r="Q266" i="1"/>
  <c r="Q254" i="1"/>
  <c r="Q315" i="1"/>
  <c r="Q473" i="1"/>
  <c r="Q476" i="1"/>
  <c r="Q571" i="1"/>
  <c r="Q73" i="1"/>
  <c r="Q69" i="1"/>
  <c r="Q191" i="1"/>
  <c r="Q301" i="1"/>
  <c r="Q380" i="1"/>
  <c r="Q521" i="1"/>
  <c r="Q95" i="1"/>
  <c r="Q197" i="1"/>
  <c r="Q320" i="1"/>
  <c r="Q450" i="1"/>
  <c r="Q472" i="1"/>
  <c r="Q448" i="1"/>
  <c r="Q152" i="1"/>
  <c r="Q221" i="1"/>
  <c r="Q134" i="1"/>
  <c r="Q50" i="1"/>
  <c r="Q247" i="1"/>
  <c r="Q233" i="1"/>
  <c r="Q267" i="1"/>
  <c r="Q302" i="1"/>
  <c r="Q341" i="1"/>
  <c r="Q279" i="1"/>
  <c r="Q548" i="1"/>
  <c r="Q418" i="1"/>
  <c r="Q180" i="1"/>
  <c r="Q292" i="1"/>
  <c r="Q256" i="1"/>
  <c r="Q477" i="1"/>
  <c r="Q512" i="1"/>
  <c r="Q111" i="1"/>
  <c r="Q214" i="1"/>
  <c r="Q395" i="1"/>
  <c r="Q552" i="1"/>
  <c r="Q479" i="1"/>
  <c r="Q495" i="1"/>
  <c r="Q465" i="1"/>
  <c r="Q60" i="1"/>
  <c r="Q103" i="1"/>
  <c r="Q205" i="1"/>
  <c r="Q262" i="1"/>
  <c r="Q350" i="1"/>
  <c r="Q387" i="1"/>
  <c r="Q307" i="1"/>
  <c r="Q88" i="1"/>
  <c r="Q587" i="1"/>
  <c r="Q124" i="1"/>
  <c r="Q589" i="1"/>
  <c r="Q288" i="1"/>
  <c r="Q503" i="1"/>
  <c r="Q139" i="1"/>
  <c r="Q239" i="1"/>
  <c r="Q386" i="1"/>
  <c r="Q496" i="1"/>
  <c r="Q504" i="1"/>
  <c r="Q544" i="1"/>
  <c r="Q547" i="1"/>
  <c r="Q89" i="1"/>
  <c r="Q235" i="1"/>
  <c r="Q246" i="1"/>
  <c r="Q253" i="1"/>
  <c r="Q291" i="1"/>
  <c r="Q357" i="1"/>
  <c r="Q334" i="1"/>
  <c r="Q417" i="1"/>
  <c r="Q458" i="1"/>
  <c r="Q528" i="1"/>
  <c r="Q352" i="1"/>
  <c r="Q553" i="1"/>
  <c r="Q260" i="1"/>
  <c r="Q84" i="1"/>
  <c r="Q130" i="1"/>
  <c r="Q141" i="1"/>
  <c r="Q91" i="1"/>
  <c r="Q208" i="1"/>
  <c r="Q154" i="1"/>
  <c r="Q223" i="1"/>
  <c r="Q324" i="1"/>
  <c r="Q364" i="1"/>
  <c r="Q231" i="1"/>
  <c r="Q311" i="1"/>
  <c r="Q490" i="1"/>
  <c r="Q582" i="1"/>
  <c r="Q295" i="1"/>
  <c r="Q128" i="1"/>
  <c r="Q215" i="1"/>
  <c r="Q259" i="1"/>
  <c r="Q234" i="1"/>
  <c r="Q338" i="1"/>
  <c r="Q329" i="1"/>
  <c r="Q353" i="1"/>
  <c r="Q439" i="1"/>
  <c r="Q333" i="1"/>
  <c r="Q349" i="1"/>
  <c r="Q54" i="1"/>
  <c r="Q127" i="1"/>
  <c r="Q144" i="1"/>
  <c r="Q158" i="1"/>
  <c r="Q135" i="1"/>
  <c r="Q513" i="1"/>
  <c r="Q534" i="1"/>
  <c r="Q502" i="1"/>
  <c r="Q336" i="1"/>
  <c r="Q57" i="1"/>
  <c r="Q114" i="1"/>
  <c r="Q189" i="1"/>
  <c r="Q337" i="1"/>
  <c r="Q195" i="1"/>
  <c r="Q343" i="1"/>
  <c r="Q408" i="1"/>
  <c r="Q397" i="1"/>
  <c r="Q436" i="1"/>
  <c r="Q596" i="1"/>
  <c r="Q570" i="1"/>
  <c r="Q411" i="1"/>
  <c r="Q516" i="1"/>
  <c r="Q173" i="1"/>
  <c r="Q58" i="1"/>
  <c r="Q45" i="1"/>
  <c r="Q155" i="1"/>
  <c r="Q213" i="1"/>
  <c r="Q196" i="1"/>
  <c r="Q237" i="1"/>
  <c r="Q212" i="1"/>
  <c r="Q340" i="1"/>
  <c r="Q370" i="1"/>
  <c r="Q422" i="1"/>
  <c r="Q390" i="1"/>
  <c r="Q488" i="1"/>
  <c r="Q498" i="1"/>
  <c r="Q507" i="1"/>
  <c r="Q475" i="1"/>
  <c r="Q46" i="1"/>
  <c r="Q112" i="1"/>
  <c r="Q204" i="1"/>
  <c r="Q203" i="1"/>
  <c r="Q274" i="1"/>
  <c r="Q345" i="1"/>
  <c r="Q468" i="1"/>
  <c r="Q53" i="1"/>
  <c r="Q49" i="1"/>
  <c r="Q64" i="1"/>
  <c r="Q143" i="1"/>
  <c r="Q97" i="1"/>
  <c r="Q199" i="1"/>
  <c r="Q190" i="1"/>
  <c r="Q229" i="1"/>
  <c r="Q416" i="1"/>
  <c r="Q369" i="1"/>
  <c r="Q211" i="1"/>
  <c r="Q322" i="1"/>
  <c r="Q371" i="1"/>
  <c r="Q456" i="1"/>
  <c r="Q519" i="1"/>
  <c r="Q554" i="1"/>
  <c r="Q72" i="1"/>
  <c r="Q68" i="1"/>
  <c r="Q109" i="1"/>
  <c r="Q174" i="1"/>
  <c r="Q200" i="1"/>
  <c r="Q142" i="1"/>
  <c r="Q230" i="1"/>
  <c r="Q207" i="1"/>
  <c r="Q242" i="1"/>
  <c r="Q309" i="1"/>
  <c r="Q499" i="1"/>
  <c r="Q523" i="1"/>
  <c r="Q474" i="1"/>
  <c r="O5" i="1"/>
  <c r="O3" i="1"/>
  <c r="P3" i="1"/>
  <c r="O4" i="1"/>
  <c r="P4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P2" i="1"/>
  <c r="O2" i="1"/>
  <c r="AD2" i="1" l="1"/>
  <c r="Q11" i="1" l="1"/>
  <c r="Q19" i="1"/>
  <c r="Q42" i="1"/>
  <c r="Q39" i="1"/>
  <c r="Q40" i="1"/>
  <c r="Q36" i="1"/>
  <c r="Q27" i="1"/>
  <c r="Q31" i="1"/>
  <c r="Q23" i="1"/>
  <c r="Q34" i="1"/>
  <c r="Q35" i="1"/>
  <c r="Q24" i="1"/>
  <c r="Q22" i="1"/>
  <c r="Q6" i="1"/>
  <c r="Q12" i="1"/>
  <c r="Q20" i="1"/>
  <c r="Q5" i="1"/>
  <c r="Q28" i="1"/>
  <c r="Q26" i="1"/>
  <c r="Q15" i="1"/>
  <c r="Q38" i="1"/>
  <c r="Q4" i="1"/>
  <c r="Q30" i="1"/>
  <c r="Q7" i="1"/>
  <c r="Q10" i="1"/>
  <c r="Q21" i="1"/>
  <c r="Q32" i="1"/>
  <c r="Q14" i="1"/>
  <c r="Q41" i="1"/>
  <c r="Q18" i="1"/>
  <c r="Q33" i="1"/>
  <c r="Q13" i="1"/>
  <c r="Q29" i="1"/>
  <c r="Q37" i="1"/>
  <c r="Q17" i="1"/>
  <c r="Q8" i="1"/>
  <c r="Q25" i="1"/>
  <c r="Q3" i="1"/>
  <c r="Q16" i="1"/>
  <c r="Q9" i="1"/>
  <c r="Q2" i="1"/>
  <c r="V9" i="1" l="1"/>
  <c r="T9" i="1"/>
  <c r="V32" i="1"/>
  <c r="T32" i="1"/>
  <c r="V11" i="1"/>
  <c r="T11" i="1"/>
  <c r="V24" i="1"/>
  <c r="T24" i="1"/>
  <c r="V14" i="1"/>
  <c r="T14" i="1"/>
  <c r="V12" i="1"/>
  <c r="T12" i="1"/>
  <c r="V6" i="1"/>
  <c r="T6" i="1"/>
  <c r="V22" i="1"/>
  <c r="T22" i="1"/>
  <c r="V8" i="1"/>
  <c r="T8" i="1"/>
  <c r="V7" i="1"/>
  <c r="T7" i="1"/>
  <c r="V17" i="1"/>
  <c r="T17" i="1"/>
  <c r="V30" i="1"/>
  <c r="T30" i="1"/>
  <c r="V35" i="1"/>
  <c r="T35" i="1"/>
  <c r="V39" i="1"/>
  <c r="T39" i="1"/>
  <c r="V3" i="1"/>
  <c r="T3" i="1"/>
  <c r="V25" i="1"/>
  <c r="T25" i="1"/>
  <c r="V37" i="1"/>
  <c r="T37" i="1"/>
  <c r="V38" i="1"/>
  <c r="T38" i="1"/>
  <c r="V23" i="1"/>
  <c r="T23" i="1"/>
  <c r="V20" i="1"/>
  <c r="T20" i="1"/>
  <c r="V16" i="1"/>
  <c r="T16" i="1"/>
  <c r="V21" i="1"/>
  <c r="T21" i="1"/>
  <c r="V10" i="1"/>
  <c r="T10" i="1"/>
  <c r="V4" i="1"/>
  <c r="T4" i="1"/>
  <c r="V13" i="1"/>
  <c r="T13" i="1"/>
  <c r="V31" i="1"/>
  <c r="T31" i="1"/>
  <c r="V26" i="1"/>
  <c r="T26" i="1"/>
  <c r="V18" i="1"/>
  <c r="T18" i="1"/>
  <c r="V28" i="1"/>
  <c r="T28" i="1"/>
  <c r="V36" i="1"/>
  <c r="T36" i="1"/>
  <c r="V42" i="1"/>
  <c r="T42" i="1"/>
  <c r="V19" i="1"/>
  <c r="T19" i="1"/>
  <c r="V34" i="1"/>
  <c r="T34" i="1"/>
  <c r="V29" i="1"/>
  <c r="T29" i="1"/>
  <c r="V15" i="1"/>
  <c r="T15" i="1"/>
  <c r="V33" i="1"/>
  <c r="T33" i="1"/>
  <c r="V27" i="1"/>
  <c r="T27" i="1"/>
  <c r="V41" i="1"/>
  <c r="T41" i="1"/>
  <c r="V5" i="1"/>
  <c r="T5" i="1"/>
  <c r="V40" i="1"/>
  <c r="T40" i="1"/>
  <c r="T2" i="1"/>
  <c r="V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<sst xmlns="http://schemas.openxmlformats.org/spreadsheetml/2006/main" count="4982" uniqueCount="1095">
  <si>
    <t>م</t>
  </si>
  <si>
    <t>رقم المحضر</t>
  </si>
  <si>
    <t>سنة المحضر</t>
  </si>
  <si>
    <t>تاريخ المحضر</t>
  </si>
  <si>
    <t>الرقم القضائي</t>
  </si>
  <si>
    <t>اسم المخالف</t>
  </si>
  <si>
    <t>المصرف</t>
  </si>
  <si>
    <t>نوع المخالفة</t>
  </si>
  <si>
    <t>اسم الملاحظ</t>
  </si>
  <si>
    <t>موقف المحضر</t>
  </si>
  <si>
    <t>الرقم القومي</t>
  </si>
  <si>
    <t>رقم قرار الازالة</t>
  </si>
  <si>
    <t>قيمة المحضر</t>
  </si>
  <si>
    <t>+47%</t>
  </si>
  <si>
    <t>قيمة رد الشئ لأصلة</t>
  </si>
  <si>
    <t>قيمة مقابل الانتفاع</t>
  </si>
  <si>
    <t>الحجز الاداري</t>
  </si>
  <si>
    <t>التبديد</t>
  </si>
  <si>
    <t>قيمة الحجز الاداري</t>
  </si>
  <si>
    <t>اجمالي المستحقات</t>
  </si>
  <si>
    <t>الموقف من السداد</t>
  </si>
  <si>
    <t>ما تم سداده</t>
  </si>
  <si>
    <t>تاريخ الازالة</t>
  </si>
  <si>
    <t>المساحة (م2)</t>
  </si>
  <si>
    <t>تم الحجز</t>
  </si>
  <si>
    <t>قائم</t>
  </si>
  <si>
    <t>ازالة جبرية</t>
  </si>
  <si>
    <t>مباني</t>
  </si>
  <si>
    <t>عشش</t>
  </si>
  <si>
    <t>كشك (تجاري/صناعي)</t>
  </si>
  <si>
    <t>تم رد الشئ لأصله</t>
  </si>
  <si>
    <t>لم يذكر</t>
  </si>
  <si>
    <t>أحمد عبد الحميد شحاتة</t>
  </si>
  <si>
    <t>بني صالح</t>
  </si>
  <si>
    <t>عادل عبد الحميد شحاتة</t>
  </si>
  <si>
    <t>أدهم ناجي عبد الغني</t>
  </si>
  <si>
    <t>محمود عبد الوهاب الفولي</t>
  </si>
  <si>
    <t>فراج أحمد دسوقي</t>
  </si>
  <si>
    <t>بطل عبد الرحيم أحمد</t>
  </si>
  <si>
    <t>رمضان عيد طلب</t>
  </si>
  <si>
    <t>شحاتة بشرى يوسف</t>
  </si>
  <si>
    <t>إبراهيم أحمد محمد</t>
  </si>
  <si>
    <t>عطاء هاشم علي</t>
  </si>
  <si>
    <t>إبراهيم عبد الحميد منصور</t>
  </si>
  <si>
    <t>حسن رمضان سالم</t>
  </si>
  <si>
    <t>سعد محمد عيد</t>
  </si>
  <si>
    <t>رجب توفيق مرسي</t>
  </si>
  <si>
    <t>محمد رمضان سالم</t>
  </si>
  <si>
    <t>مختار رمضان سالم</t>
  </si>
  <si>
    <t>طلال إبراهيم عباس</t>
  </si>
  <si>
    <t>مغاغة</t>
  </si>
  <si>
    <t>279 لسنة 2014</t>
  </si>
  <si>
    <t>سمير عيد حسين صبري</t>
  </si>
  <si>
    <t>280 لسنة 2014</t>
  </si>
  <si>
    <t>281 لسنة 2014</t>
  </si>
  <si>
    <t>جمال سيد عبد الرازق</t>
  </si>
  <si>
    <t>282 لسنة 2014</t>
  </si>
  <si>
    <t>حسن عبد الحميد جاد</t>
  </si>
  <si>
    <t>283 لسنة 2014</t>
  </si>
  <si>
    <t>رجب محمد أحمد</t>
  </si>
  <si>
    <t>284 لسنة 2014</t>
  </si>
  <si>
    <t>فتحي عبد العظيم صالح عبد العظيم</t>
  </si>
  <si>
    <t>285 لسنة 2014</t>
  </si>
  <si>
    <t>عاطف جمال أحمد</t>
  </si>
  <si>
    <t>286 لسنة 2014</t>
  </si>
  <si>
    <t>حمدان توفيق مرسي</t>
  </si>
  <si>
    <t>287 لسنة 2014</t>
  </si>
  <si>
    <t>جمال إبراهيم طلبة</t>
  </si>
  <si>
    <t>288 لسنة 2014</t>
  </si>
  <si>
    <t>شعبان محمد أحمد</t>
  </si>
  <si>
    <t>289 لسنة 2014</t>
  </si>
  <si>
    <t>أحمد محمد محمد</t>
  </si>
  <si>
    <t>290 لسنة 2014</t>
  </si>
  <si>
    <t>رجب باكري محمد</t>
  </si>
  <si>
    <t>291 لسنة 2014</t>
  </si>
  <si>
    <t>ماهر عبد الحميد عبد العزيز</t>
  </si>
  <si>
    <t>عبد الحميد محمد</t>
  </si>
  <si>
    <t>ردم</t>
  </si>
  <si>
    <t>1997 لسنة 2014</t>
  </si>
  <si>
    <t>خالد توفيق عرابي</t>
  </si>
  <si>
    <t>ربيع علي جاد المولى</t>
  </si>
  <si>
    <t>عماد علي خليفة</t>
  </si>
  <si>
    <t>الخرسة</t>
  </si>
  <si>
    <t>رمضان (غير مكتمل)</t>
  </si>
  <si>
    <t>355 لسنة 2014</t>
  </si>
  <si>
    <t>أحمد عبد التواب سعد</t>
  </si>
  <si>
    <t>356 لسنة 2014</t>
  </si>
  <si>
    <t>محمود عباس محمود</t>
  </si>
  <si>
    <t>معتصم مصطفي</t>
  </si>
  <si>
    <t>حسن محمد ابوالعلا</t>
  </si>
  <si>
    <t>مدكور محمد مجاهد</t>
  </si>
  <si>
    <t>مسعد محمد عبد الرحيم</t>
  </si>
  <si>
    <t>جمال امبشي نمر كيلاني</t>
  </si>
  <si>
    <t>سعيد فراج عبدالعزيز</t>
  </si>
  <si>
    <t>كريم عبدالعزيز عبدالجواد</t>
  </si>
  <si>
    <t>ابوغنيمه توفيق عرابي</t>
  </si>
  <si>
    <t>جمعه خلف محمد</t>
  </si>
  <si>
    <t>رمضان محمد محمود الملا</t>
  </si>
  <si>
    <t>357 لسنة 2014</t>
  </si>
  <si>
    <t>358 لسنة 2014</t>
  </si>
  <si>
    <t>359 لسنة 2014</t>
  </si>
  <si>
    <t>360 لسنة 2014</t>
  </si>
  <si>
    <t>حبيب</t>
  </si>
  <si>
    <t>ابسوج الغربي</t>
  </si>
  <si>
    <t>الخياط</t>
  </si>
  <si>
    <t>ابسوج الشرقي</t>
  </si>
  <si>
    <t>القاء مخلفات</t>
  </si>
  <si>
    <t>سعيد عمر فتحي</t>
  </si>
  <si>
    <t>محمد زكي طلبه</t>
  </si>
  <si>
    <t>عاشور عبدالوهاب عبدالفضيل</t>
  </si>
  <si>
    <t>سيد هاشم احمد</t>
  </si>
  <si>
    <t>رجب محمد احمد جوده</t>
  </si>
  <si>
    <t>جمال شعيب محمد</t>
  </si>
  <si>
    <t>محمد عيد الجالي</t>
  </si>
  <si>
    <t>فرج الله خميس الجبالي</t>
  </si>
  <si>
    <t>محمود ابراهيم محمد</t>
  </si>
  <si>
    <t>مينا سامي فؤاد</t>
  </si>
  <si>
    <t>عماد حلمي محمد عقل</t>
  </si>
  <si>
    <t>حسن محمد ابوزيد</t>
  </si>
  <si>
    <t>سيد شعبان حسن</t>
  </si>
  <si>
    <t>محمد ابراهيم عبدالوهاب</t>
  </si>
  <si>
    <t>فايز ابراهيم عبدالوهاب</t>
  </si>
  <si>
    <t>احمد ابراهيم عبدالوهاب</t>
  </si>
  <si>
    <t>رمضان حسن جمعه</t>
  </si>
  <si>
    <t>جمعه حسن جمعه</t>
  </si>
  <si>
    <t>سيد عباس خشبه</t>
  </si>
  <si>
    <t>سعيد ابراهيم علي</t>
  </si>
  <si>
    <t>ربيع احمد شعبان</t>
  </si>
  <si>
    <t>طه حسن فراج</t>
  </si>
  <si>
    <t>عبدالغفار صبحي علي</t>
  </si>
  <si>
    <t>محمد تعلب عبدالجواد</t>
  </si>
  <si>
    <t>عبدالباسط جادالمولي</t>
  </si>
  <si>
    <t>صلاح عبدالعظيم محمد</t>
  </si>
  <si>
    <t>رجب جاد المولي غنيمه</t>
  </si>
  <si>
    <t>محمد محمود علي</t>
  </si>
  <si>
    <t>رجب عبدالباقي عبدالعزيز</t>
  </si>
  <si>
    <t>امين عبدالعزيز حسانين</t>
  </si>
  <si>
    <t>محمود بدر عبدالكريم</t>
  </si>
  <si>
    <t>رمضان عبدالقادر علي</t>
  </si>
  <si>
    <t>نور عويس عبدالمنعم</t>
  </si>
  <si>
    <t>حسين جلال امام</t>
  </si>
  <si>
    <t>محمد امين عبدالعزيز</t>
  </si>
  <si>
    <t>عمرو</t>
  </si>
  <si>
    <t>اقفهص</t>
  </si>
  <si>
    <t>مغاغه</t>
  </si>
  <si>
    <t>التعدي علي اعمال صناعية</t>
  </si>
  <si>
    <t>زراعة</t>
  </si>
  <si>
    <t>محمد عثمان محمد</t>
  </si>
  <si>
    <t>جمال مصطفي علي</t>
  </si>
  <si>
    <t>سعودي جمال عبدالوهاب</t>
  </si>
  <si>
    <t>محمد صالح عبيد</t>
  </si>
  <si>
    <t>همام ابراهيم عبدالعزيز</t>
  </si>
  <si>
    <t>خلف عيد عبدالستار</t>
  </si>
  <si>
    <t>محمد احمد جوده</t>
  </si>
  <si>
    <t>حسن عبدالجواد ابراهيم</t>
  </si>
  <si>
    <t>خلف شعبان اسماعيل</t>
  </si>
  <si>
    <t>احمد خلف عبدالوهاب</t>
  </si>
  <si>
    <t>خالد جمال اسماعيل</t>
  </si>
  <si>
    <t>رمضان سيد معوض</t>
  </si>
  <si>
    <t>اسامه فاروق فؤاد</t>
  </si>
  <si>
    <t>ربيع ابراهيم عبدالعزيز</t>
  </si>
  <si>
    <t>عبدالتواب جمال عبدالتواب</t>
  </si>
  <si>
    <t>مجدي فاروق عبدالعظيم</t>
  </si>
  <si>
    <t>محمد محمد مبروك</t>
  </si>
  <si>
    <t>محمد كمال الرويني</t>
  </si>
  <si>
    <t>عبدالجواد العمري جليل</t>
  </si>
  <si>
    <t>محمد درويش خميس</t>
  </si>
  <si>
    <t>ملاك توفيق عزيز</t>
  </si>
  <si>
    <t>ناعوم فهمي بباوي</t>
  </si>
  <si>
    <t>سمير امين جرجس</t>
  </si>
  <si>
    <t>خالد جمعه سيد</t>
  </si>
  <si>
    <t>حسين عيد محمود</t>
  </si>
  <si>
    <t>600 لسنة 2015</t>
  </si>
  <si>
    <t>601 لسنة 2015</t>
  </si>
  <si>
    <t>602 لسنة 2015</t>
  </si>
  <si>
    <t>603 لسنة 2015</t>
  </si>
  <si>
    <t>604 لسنة 2015</t>
  </si>
  <si>
    <t>605 لسنة 2015</t>
  </si>
  <si>
    <t>606 لسنة 2015</t>
  </si>
  <si>
    <t>607 لسنة 2015</t>
  </si>
  <si>
    <t>608 لسنة 2015</t>
  </si>
  <si>
    <t>609 لسنة 2015</t>
  </si>
  <si>
    <t>610 لسنة 2015</t>
  </si>
  <si>
    <t>611 لسنة 2015</t>
  </si>
  <si>
    <t>612 لسنة 2015</t>
  </si>
  <si>
    <t>613 لسنة 2015</t>
  </si>
  <si>
    <t>614 لسنة 2015</t>
  </si>
  <si>
    <t>669 لسنة 2015</t>
  </si>
  <si>
    <t>670 لسنة 2015</t>
  </si>
  <si>
    <t>756 لسنة 2015</t>
  </si>
  <si>
    <t>الجمهود</t>
  </si>
  <si>
    <t>غانم هيبه</t>
  </si>
  <si>
    <t>الفنت</t>
  </si>
  <si>
    <t>شنرا</t>
  </si>
  <si>
    <t>مواسير صرف صحي (&lt;1م)</t>
  </si>
  <si>
    <t>قنطره</t>
  </si>
  <si>
    <t>جمعه سيد عبدالفتاح</t>
  </si>
  <si>
    <t>تشجير</t>
  </si>
  <si>
    <t>محمد خلف محمد عبدالله</t>
  </si>
  <si>
    <t>ربيع زكي عيسي</t>
  </si>
  <si>
    <t>رجب عاشور سيد</t>
  </si>
  <si>
    <t>سعد علي حسانين</t>
  </si>
  <si>
    <t>جمال فتحي محمد السيد</t>
  </si>
  <si>
    <t>محمد علي مسعود</t>
  </si>
  <si>
    <t>عصام صلاح قنديل</t>
  </si>
  <si>
    <t>محمد ابراهيم عبدالفتاح</t>
  </si>
  <si>
    <t>احمد علام عبدالعليم</t>
  </si>
  <si>
    <t>عيد علي عثمان</t>
  </si>
  <si>
    <t>حبيب محمود الحسين</t>
  </si>
  <si>
    <t>عيد احمد دسوقي</t>
  </si>
  <si>
    <t>الرشوانية</t>
  </si>
  <si>
    <t>الشيخ يحي</t>
  </si>
  <si>
    <t>46 لسنة 2016</t>
  </si>
  <si>
    <t>47 لسنة 2016</t>
  </si>
  <si>
    <t>48 لسنة 2016</t>
  </si>
  <si>
    <t>معبد ابراهيم عبدالفتاح</t>
  </si>
  <si>
    <t>مجدي حسين ابراهيم</t>
  </si>
  <si>
    <t>ميلاد عباس مناوي</t>
  </si>
  <si>
    <t>جمعه مجدي عبدالرازق</t>
  </si>
  <si>
    <t>رمضان حنفي صابر</t>
  </si>
  <si>
    <t>دسوقي محمد عبدالهادي</t>
  </si>
  <si>
    <t>حسين علي احمد علي</t>
  </si>
  <si>
    <t>ايمن طه احمد احمد</t>
  </si>
  <si>
    <t>ضياء محمد الصغير احمد</t>
  </si>
  <si>
    <t>محمد حسن علي الفيومي</t>
  </si>
  <si>
    <t>زين علي خضر</t>
  </si>
  <si>
    <t>عبدالمنعم زين عطيه</t>
  </si>
  <si>
    <t>شريف شعبان احمد</t>
  </si>
  <si>
    <t>ابراهيم فتحي نادي احمد</t>
  </si>
  <si>
    <t>محمد صلاح عبدالوهاب محمد</t>
  </si>
  <si>
    <t>محمد عبدالعظيم جمعه</t>
  </si>
  <si>
    <t>ربيع يوسف عبدالعزيز</t>
  </si>
  <si>
    <t>ماهر عكاشة هواري</t>
  </si>
  <si>
    <t>عبدالفتاح جوده عبدالعظيم</t>
  </si>
  <si>
    <t>محمد عبدالعظيم عبداللطيف</t>
  </si>
  <si>
    <t>فتحي محمد عبدالوهاب</t>
  </si>
  <si>
    <t>عبدالصمد عبدالعال معوض</t>
  </si>
  <si>
    <t>عبدالصمد عبدالوهاب محمد حسين</t>
  </si>
  <si>
    <t>احمد احمد جوده حسين</t>
  </si>
  <si>
    <t>عبدالسلام عبدالعظيم احمد شحاته</t>
  </si>
  <si>
    <t>محمد حسين احمد الطروش</t>
  </si>
  <si>
    <t>ابراهيم محمد ابراهيم منصور</t>
  </si>
  <si>
    <t>الكردي</t>
  </si>
  <si>
    <t>257 لسنة 2016</t>
  </si>
  <si>
    <t>258 لسنة 2016</t>
  </si>
  <si>
    <t>259 لسنة 2016</t>
  </si>
  <si>
    <t>260 لسنة 2016</t>
  </si>
  <si>
    <t>261 لسنة 2016</t>
  </si>
  <si>
    <t>262 لسنة 2016</t>
  </si>
  <si>
    <t>263 لسنة 2016</t>
  </si>
  <si>
    <t>264 لسنة 2016</t>
  </si>
  <si>
    <t>265 لسنة 2016</t>
  </si>
  <si>
    <t>266 لسنة 2016</t>
  </si>
  <si>
    <t>267 لسنة 2016</t>
  </si>
  <si>
    <t>268 لسنة 2016</t>
  </si>
  <si>
    <t>269 لسنة 2016</t>
  </si>
  <si>
    <t>270 لسنة 2016</t>
  </si>
  <si>
    <t>271 لسنة 2016</t>
  </si>
  <si>
    <t>272 لسنة 2016</t>
  </si>
  <si>
    <t>273 لسنة 2016</t>
  </si>
  <si>
    <t>274 لسنة 2016</t>
  </si>
  <si>
    <t>الصعايده</t>
  </si>
  <si>
    <t>مبارك عبدالهادي عبدالكريم</t>
  </si>
  <si>
    <t>بكري عبدالهادي عبدالكريم</t>
  </si>
  <si>
    <t>فرحات سيد كيلاني</t>
  </si>
  <si>
    <t>مبدأ مجاور كيلاني</t>
  </si>
  <si>
    <t>ممدوح حسن شعيب</t>
  </si>
  <si>
    <t>محمد عبدالوهاب الفولي</t>
  </si>
  <si>
    <t>راغب سالم سيد</t>
  </si>
  <si>
    <t>رجب جمعة عبدالله</t>
  </si>
  <si>
    <t>ياسر توفيق ابو الخير محمد</t>
  </si>
  <si>
    <t>محمد يوسف محمد حامد</t>
  </si>
  <si>
    <t>ابراهيم محمد حامد بريك</t>
  </si>
  <si>
    <t>سلطان محمد حامد بريك</t>
  </si>
  <si>
    <t>بهجت علي ابراهيم</t>
  </si>
  <si>
    <t>احمد معوض عبدالله</t>
  </si>
  <si>
    <t>محمد سيد عبدالله</t>
  </si>
  <si>
    <t>ياسر حمدان محمد</t>
  </si>
  <si>
    <t>رجب ياسين محمود</t>
  </si>
  <si>
    <t>محمد حسن سليمان</t>
  </si>
  <si>
    <t>جمعه محمد شلقامي</t>
  </si>
  <si>
    <t>حاتم فراج راغب</t>
  </si>
  <si>
    <t>عبدالونيس راغب محمد</t>
  </si>
  <si>
    <t>محمد راغب محمد</t>
  </si>
  <si>
    <t>عبدالله علي محمد خطيب</t>
  </si>
  <si>
    <t>نادي فتحي ابراهيم</t>
  </si>
  <si>
    <t>ربيع سليم ابو القاسم</t>
  </si>
  <si>
    <t>297 لسنة 2016</t>
  </si>
  <si>
    <t>300 لسنة 2016</t>
  </si>
  <si>
    <t>301 لسنة 2016</t>
  </si>
  <si>
    <t>296 لسنة 2016</t>
  </si>
  <si>
    <t>302 لسنة 2016</t>
  </si>
  <si>
    <t>294 لسنة 2016</t>
  </si>
  <si>
    <t>389 لسنة 2016</t>
  </si>
  <si>
    <t>390 لسنة 2016</t>
  </si>
  <si>
    <t>391 لسنة 2016</t>
  </si>
  <si>
    <t>392 لسنة 2016</t>
  </si>
  <si>
    <t>المحيط الغربي</t>
  </si>
  <si>
    <t>طراد بني صالح</t>
  </si>
  <si>
    <t>احمد عبدالعظيم سيد</t>
  </si>
  <si>
    <t>محمد ربيع حميده صابر</t>
  </si>
  <si>
    <t>محمود عبدالعظيم ابوالخير</t>
  </si>
  <si>
    <t>زينب محمد عبدالعظيم</t>
  </si>
  <si>
    <t>محمد مصطفي عبدالحميد</t>
  </si>
  <si>
    <t>محمد طه عبدالحميد حسن</t>
  </si>
  <si>
    <t>فريجه مصطفي سلامه</t>
  </si>
  <si>
    <t>فراج عبدالوهاب طلب</t>
  </si>
  <si>
    <t>علي احمد جابر</t>
  </si>
  <si>
    <t>حسين جمعه حسين جمعه</t>
  </si>
  <si>
    <t>عسوي عبدالله رشدي احمد</t>
  </si>
  <si>
    <t>مختار صابر محمد محمد</t>
  </si>
  <si>
    <t>عيد سيد مبروك حمزه</t>
  </si>
  <si>
    <t>جمال عبدالعظيم عبدالسلام</t>
  </si>
  <si>
    <t>حسن عبدالراضي عبدالبر</t>
  </si>
  <si>
    <t>احمد زهير خليفه سعد</t>
  </si>
  <si>
    <t>مصطفي زهير خليفه سعد</t>
  </si>
  <si>
    <t>ربيع محمود زيدان محمد</t>
  </si>
  <si>
    <t>طارق احمد رفعت مصطفي</t>
  </si>
  <si>
    <t>ماضي صابر</t>
  </si>
  <si>
    <t>احمد عبدالتواب سعد</t>
  </si>
  <si>
    <t>احمد محمد عبداللطيف</t>
  </si>
  <si>
    <t>جمال محمد مهد البطل</t>
  </si>
  <si>
    <t>جمال سعد سيف</t>
  </si>
  <si>
    <t>شعبان سيد سيف</t>
  </si>
  <si>
    <t>طه محمد اسماعيل</t>
  </si>
  <si>
    <t>سيد محمد حسن</t>
  </si>
  <si>
    <t>رمضان طه الجندي</t>
  </si>
  <si>
    <t>مصطفي محمد الملا</t>
  </si>
  <si>
    <t>جمعه حمدي عبدالرازق</t>
  </si>
  <si>
    <t>سيد سليم ابوالقاسم</t>
  </si>
  <si>
    <t>احمد عويس مصطفي</t>
  </si>
  <si>
    <t>ربيع فكري تمام</t>
  </si>
  <si>
    <t>حسن رجب حسن عبدالجيد</t>
  </si>
  <si>
    <t>احمد رجب حسن عبداللطيف</t>
  </si>
  <si>
    <t>فتحي عبدالوهاب احمد</t>
  </si>
  <si>
    <t>برعي فتحي عبدالوهاب</t>
  </si>
  <si>
    <t>عبدالباسط حسن طه</t>
  </si>
  <si>
    <t>محمد ربيع عقل</t>
  </si>
  <si>
    <t>خلف يوسف حموده</t>
  </si>
  <si>
    <t>يدوي حسن عبدالحميد</t>
  </si>
  <si>
    <t>جمعه هاشم محروس</t>
  </si>
  <si>
    <t>محمد احمد نوفل</t>
  </si>
  <si>
    <t>عقل احمد محمد</t>
  </si>
  <si>
    <t>احمد عوده سليمان</t>
  </si>
  <si>
    <t>اشرف عمر شعبان</t>
  </si>
  <si>
    <t>شعبان صابر عبدالله</t>
  </si>
  <si>
    <t>ربيع جمال جمعه يس</t>
  </si>
  <si>
    <t>طارق قرني عبدالعظيم</t>
  </si>
  <si>
    <t>محمود بكري جوده</t>
  </si>
  <si>
    <t>شريف سيد هنداوي</t>
  </si>
  <si>
    <t>وليد جمال احمد</t>
  </si>
  <si>
    <t>محمود مرسي محمود</t>
  </si>
  <si>
    <t>عبدالعظيم يوسف عبدالعظيم</t>
  </si>
  <si>
    <t>علي حسن جلال امام</t>
  </si>
  <si>
    <t>حنفي ابوزيد احمد خليفه</t>
  </si>
  <si>
    <t>محمد امين عبدالعزيز حسانين</t>
  </si>
  <si>
    <t>قياتي جمعه محمد</t>
  </si>
  <si>
    <t>علي احمد محمد حميده</t>
  </si>
  <si>
    <t>مختار فايز عبدالعظيم</t>
  </si>
  <si>
    <t>403 لسنة 2016</t>
  </si>
  <si>
    <t>461 لسنة 2016</t>
  </si>
  <si>
    <t>591 لسنة 2016</t>
  </si>
  <si>
    <t>592 لسنة 2016</t>
  </si>
  <si>
    <t>593 لسنة 2016</t>
  </si>
  <si>
    <t>594 لسنة 2016</t>
  </si>
  <si>
    <t>595 لسنة 2016</t>
  </si>
  <si>
    <t>698 لسنة 2016</t>
  </si>
  <si>
    <t>ربيع علي احمد موسي</t>
  </si>
  <si>
    <t>سعيد سيد</t>
  </si>
  <si>
    <t>ايمن احمد ماهر</t>
  </si>
  <si>
    <t>فرع الخياط</t>
  </si>
  <si>
    <t>بني منين</t>
  </si>
  <si>
    <t>ساقولا</t>
  </si>
  <si>
    <t>الامان</t>
  </si>
  <si>
    <t>عاطف نجيب محمد ابو زيد</t>
  </si>
  <si>
    <t>عماد نجيب محمد ابو زيد</t>
  </si>
  <si>
    <t>محمد شمردل</t>
  </si>
  <si>
    <t>عطف حيدر</t>
  </si>
  <si>
    <t>قاطع مازوره</t>
  </si>
  <si>
    <t>هنداوي حميده حسن</t>
  </si>
  <si>
    <t>سالم سلطان عبدالجليل</t>
  </si>
  <si>
    <t>حسام مصطفي حسن</t>
  </si>
  <si>
    <t>محمد ربيع عبدالباقي</t>
  </si>
  <si>
    <t>حسام عادل معوض عبدالعظيم</t>
  </si>
  <si>
    <t>احمد عبدالرؤوف حسن سيد</t>
  </si>
  <si>
    <t>احمد علي انور</t>
  </si>
  <si>
    <t>محمد عمار عبدالجابر</t>
  </si>
  <si>
    <t>رجب عمار عبدالجابر</t>
  </si>
  <si>
    <t>ياسر حمدان احمد</t>
  </si>
  <si>
    <t>نصر عبدالونيس راغب</t>
  </si>
  <si>
    <t>سعاد محمد شلقامي</t>
  </si>
  <si>
    <t>محمد السيد عبدالله</t>
  </si>
  <si>
    <t>مختار احمد عبدالعزيز</t>
  </si>
  <si>
    <t>احمد عيسي عبدالعظيم عبدالله</t>
  </si>
  <si>
    <t>عزيز فرج عبدالله فرج</t>
  </si>
  <si>
    <t>مصطفي عطيه علي عبداللطيف</t>
  </si>
  <si>
    <t>احمد محمد عبدالنبي</t>
  </si>
  <si>
    <t>جمعه يوسف معوض</t>
  </si>
  <si>
    <t>شعبان سيد عبدالحسيب</t>
  </si>
  <si>
    <t>شعبان محمد اسماعيل</t>
  </si>
  <si>
    <t>جابر دسوقي رزق ابراهيم</t>
  </si>
  <si>
    <t>ناصر امبيشي نمر كيلاني</t>
  </si>
  <si>
    <t>احمد حلمي شعبان حلمي</t>
  </si>
  <si>
    <t>شحاته بشري يوسف</t>
  </si>
  <si>
    <t>محمد عبدالمنعم امبيشي نمر كيلاني</t>
  </si>
  <si>
    <t>جمال امبيشي نمر كيلاني</t>
  </si>
  <si>
    <t>رمضان احمد عبدالعظيم</t>
  </si>
  <si>
    <t>احمد محمود صالح</t>
  </si>
  <si>
    <t>جمال محمد جوده</t>
  </si>
  <si>
    <t>جمعه عباس محمد رفاعي</t>
  </si>
  <si>
    <t>سنيه محمد احمد عمران</t>
  </si>
  <si>
    <t>عوض عبدالمقصود السيد</t>
  </si>
  <si>
    <t>احمد محمد رزق</t>
  </si>
  <si>
    <t>احمد توفيق محمود</t>
  </si>
  <si>
    <t>رجب محمد علي</t>
  </si>
  <si>
    <t>طه جمعه كامل عبدالنبي</t>
  </si>
  <si>
    <t>احمد خلف صالح</t>
  </si>
  <si>
    <t>عقل علي محمد</t>
  </si>
  <si>
    <t>جمال سيد ياسين</t>
  </si>
  <si>
    <t>خليفه حسن محمد</t>
  </si>
  <si>
    <t>محمد علي حسين</t>
  </si>
  <si>
    <t>هاني طه عبدالعظيم</t>
  </si>
  <si>
    <t>اشرف طه علي فرغلي</t>
  </si>
  <si>
    <t>رجب رمضان سيد</t>
  </si>
  <si>
    <t>عواد سليمان الرويشد</t>
  </si>
  <si>
    <t>رجب مهني حسين</t>
  </si>
  <si>
    <t>عمار عيسوي محمد</t>
  </si>
  <si>
    <t>عبدالصمد احمد ابراهيم</t>
  </si>
  <si>
    <t>احمد معوض عبدالجيد</t>
  </si>
  <si>
    <t>محمد حسن يونس</t>
  </si>
  <si>
    <t>فاطمه علي اسماعيل</t>
  </si>
  <si>
    <t>محمد كامل جاد الرب</t>
  </si>
  <si>
    <t>محمد</t>
  </si>
  <si>
    <t>ابراهيم محمد صالح</t>
  </si>
  <si>
    <t>محمد احمد عبدلله</t>
  </si>
  <si>
    <t>نور عبدالستار احمد عبدالله</t>
  </si>
  <si>
    <t>الخرسه</t>
  </si>
  <si>
    <t>الشراهنه</t>
  </si>
  <si>
    <t>تشوينات</t>
  </si>
  <si>
    <t>كمال علي عيسي</t>
  </si>
  <si>
    <t>عمر علي عيسي</t>
  </si>
  <si>
    <t>مصطفي علي عيسي</t>
  </si>
  <si>
    <t>ماهر جنيدي عويس</t>
  </si>
  <si>
    <t>علي طه عثمان</t>
  </si>
  <si>
    <t>رجب طه عمار</t>
  </si>
  <si>
    <t>ربيع يوسف علي</t>
  </si>
  <si>
    <t>حسن زهير جابر</t>
  </si>
  <si>
    <t>عماد جمال احمد غلاب</t>
  </si>
  <si>
    <t>جمال حسين سليمان</t>
  </si>
  <si>
    <t>خلف محمد زيدان</t>
  </si>
  <si>
    <t>مسعد سليمان احمد</t>
  </si>
  <si>
    <t>جمال سيد ياسين حسن</t>
  </si>
  <si>
    <t>محمد عبدالجواد حسن</t>
  </si>
  <si>
    <t>محمود محمد حسن عبدالمجيد</t>
  </si>
  <si>
    <t>خلف يوسف حسن حموده</t>
  </si>
  <si>
    <t>محمد حسن محمد يحي</t>
  </si>
  <si>
    <t>رجب يوسف محمد حامد</t>
  </si>
  <si>
    <t>محمد حسن علي عبدالمعبود</t>
  </si>
  <si>
    <t>عبدالمنعم زين طه عبدالله</t>
  </si>
  <si>
    <t>شريف شعبان حسن</t>
  </si>
  <si>
    <t>ربيع يوسف عبدالعزيز عبدالحليم</t>
  </si>
  <si>
    <t>ماهر عكاشه هواري</t>
  </si>
  <si>
    <t>عبدالفتاح عبدالجواد عبدالعظيم</t>
  </si>
  <si>
    <t>ثوسن فتحي عبدالوهاب</t>
  </si>
  <si>
    <t>محمد حسين مصطفي محمد</t>
  </si>
  <si>
    <t>محمود حسن محمد محمد</t>
  </si>
  <si>
    <t>يوسف حسين عبدالله سالم</t>
  </si>
  <si>
    <t>شريف عوض محمد محمد</t>
  </si>
  <si>
    <t>رمضان رجب السيد</t>
  </si>
  <si>
    <t>شعبان فرحات علي احمد</t>
  </si>
  <si>
    <t>احمد رجب عبدالصمد احمد</t>
  </si>
  <si>
    <t>توفيق ابراهيم عبدالعظيم محمد</t>
  </si>
  <si>
    <t>محمد حلمي علي احمد</t>
  </si>
  <si>
    <t>عبدالحميد جنيدي حسين</t>
  </si>
  <si>
    <t>محمد علي السيد احمد</t>
  </si>
  <si>
    <t>خميس علي السيد احمد</t>
  </si>
  <si>
    <t>شعبان رفاعي كامل</t>
  </si>
  <si>
    <t>ناجي شعبان احمد علي</t>
  </si>
  <si>
    <t>حسين محمد محمد حسين</t>
  </si>
  <si>
    <t>سعداوي سيد محمود</t>
  </si>
  <si>
    <t>سيد محمود احمد دياب</t>
  </si>
  <si>
    <t>عصمت عبدالمحسن حسين بدوي</t>
  </si>
  <si>
    <t>حسين عبدالصمد طه</t>
  </si>
  <si>
    <t>نجاح شعبان احمد</t>
  </si>
  <si>
    <t>حميده صالح جوده عبدالرحمن</t>
  </si>
  <si>
    <t>عمر شعبان خلف صالح</t>
  </si>
  <si>
    <t>قياتي سيد عبدالمقصود</t>
  </si>
  <si>
    <t xml:space="preserve">حسن سيف سليمان </t>
  </si>
  <si>
    <t>مصطفي ابراهيم يونس</t>
  </si>
  <si>
    <t>سماره صالح عبدالمهدي</t>
  </si>
  <si>
    <t>ربيع عويس عبدالمقصود</t>
  </si>
  <si>
    <t>محمد عطيه عبداللطيف</t>
  </si>
  <si>
    <t>سعيد زكي شحاته</t>
  </si>
  <si>
    <t>خليفه فتحي شحاته</t>
  </si>
  <si>
    <t>ابراهيم ناشد خليل</t>
  </si>
  <si>
    <t>نبيل سيد جمعه</t>
  </si>
  <si>
    <t>حارس سيد عباس سيد</t>
  </si>
  <si>
    <t>عبدالحميد عبدالنعيم حافظ</t>
  </si>
  <si>
    <t>جمعه عبدالله عبدالفضيل</t>
  </si>
  <si>
    <t>غرياني جمعه محمد عبدالعظيم</t>
  </si>
  <si>
    <t>عبدالمقصود ابوالنور عبدالمقصود</t>
  </si>
  <si>
    <t>محمد حسن عطيه</t>
  </si>
  <si>
    <t>نادي سيد عيد عوض</t>
  </si>
  <si>
    <t>محمود سيد عبدالعظيم</t>
  </si>
  <si>
    <t>عبدالتواب عبدالخالق عبدالجواد</t>
  </si>
  <si>
    <t>رمضان محمد عبدالجواد</t>
  </si>
  <si>
    <t>ياسر ناجح محمد</t>
  </si>
  <si>
    <t>حسين عدلي محمد</t>
  </si>
  <si>
    <t>نجاة توفيق عباس</t>
  </si>
  <si>
    <t>طه ابراهيم عبدالعظيم عبدالرازق</t>
  </si>
  <si>
    <t>محمد السعدي عبدالنبي</t>
  </si>
  <si>
    <t>بكار صديق سلطان عبدالجليل</t>
  </si>
  <si>
    <t>510 لسنة 2017</t>
  </si>
  <si>
    <t>511 لسنة 2017</t>
  </si>
  <si>
    <t>512 لسنة 2017</t>
  </si>
  <si>
    <t>513 لسنة 2017</t>
  </si>
  <si>
    <t>514 لسنة 2017</t>
  </si>
  <si>
    <t>515 لسنة 2017</t>
  </si>
  <si>
    <t>516 لسنة 2017</t>
  </si>
  <si>
    <t>517 لسنة 2017</t>
  </si>
  <si>
    <t>518 لسنة 2017</t>
  </si>
  <si>
    <t>519 لسنة 2017</t>
  </si>
  <si>
    <t>520 لسنة 2017</t>
  </si>
  <si>
    <t>521 لسنة 2017</t>
  </si>
  <si>
    <t>522 لسنة 2017</t>
  </si>
  <si>
    <t>615 لسنة 2017</t>
  </si>
  <si>
    <t>616 لسنة 2017</t>
  </si>
  <si>
    <t>617 لسنة 2017</t>
  </si>
  <si>
    <t>618 لسنة 2017</t>
  </si>
  <si>
    <t>619 لسنة 2017</t>
  </si>
  <si>
    <t>620 لسنة 2017</t>
  </si>
  <si>
    <t>621 لسنة 2017</t>
  </si>
  <si>
    <t>622 لسنة 2017</t>
  </si>
  <si>
    <t>623 لسنة 2017</t>
  </si>
  <si>
    <t>624 لسنة 2017</t>
  </si>
  <si>
    <t>625 لسنة 2017</t>
  </si>
  <si>
    <t>626 لسنة 2017</t>
  </si>
  <si>
    <t>627 لسنة 2017</t>
  </si>
  <si>
    <t>628 لسنة 2017</t>
  </si>
  <si>
    <t>629 لسنة 2017</t>
  </si>
  <si>
    <t>630 لسنة 2017</t>
  </si>
  <si>
    <t>631 لسنة 2017</t>
  </si>
  <si>
    <t>632 لسنة 2017</t>
  </si>
  <si>
    <t>633 لسنة 2017</t>
  </si>
  <si>
    <t>634 لسنة 2017</t>
  </si>
  <si>
    <t>635 لسنة 2017</t>
  </si>
  <si>
    <t>636 لسنة 2017</t>
  </si>
  <si>
    <t>637 لسنة 2017</t>
  </si>
  <si>
    <t>638 لسنة 2017</t>
  </si>
  <si>
    <t>589 لسنة 2017</t>
  </si>
  <si>
    <t>820 لسنة 2017</t>
  </si>
  <si>
    <t>821 لسنة 2017</t>
  </si>
  <si>
    <t>822 لسنة 2017</t>
  </si>
  <si>
    <t>823 لسنة 2017</t>
  </si>
  <si>
    <t>824 لسنة 2017</t>
  </si>
  <si>
    <t>825 لسنة 2017</t>
  </si>
  <si>
    <t>826 لسنة 2017</t>
  </si>
  <si>
    <t>827 لسنة 2017</t>
  </si>
  <si>
    <t>828 لسنة 2017</t>
  </si>
  <si>
    <t>829 لسنة 2017</t>
  </si>
  <si>
    <t>830 لسنة 2017</t>
  </si>
  <si>
    <t>831 لسنة 2017</t>
  </si>
  <si>
    <t>832 لسنة 2017</t>
  </si>
  <si>
    <t>833 لسنة 2017</t>
  </si>
  <si>
    <t>834 لسنة 2017</t>
  </si>
  <si>
    <t>835 لسنة 2017</t>
  </si>
  <si>
    <t>836 لسنة 2017</t>
  </si>
  <si>
    <t>837 لسنة 2017</t>
  </si>
  <si>
    <t>838 لسنة 2017</t>
  </si>
  <si>
    <t>839 لسنة 2017</t>
  </si>
  <si>
    <t>84 لسنة 2017</t>
  </si>
  <si>
    <t>841 لسنة 2017</t>
  </si>
  <si>
    <t>843 لسنة 2017</t>
  </si>
  <si>
    <t>845 لسمة 2017</t>
  </si>
  <si>
    <t>846 لسمة 2017</t>
  </si>
  <si>
    <t>847 لسمة 2017</t>
  </si>
  <si>
    <t>848 لسمة 2017</t>
  </si>
  <si>
    <t>فرع ساقولا</t>
  </si>
  <si>
    <t>قاطع مازوره القبلي</t>
  </si>
  <si>
    <t>مواسير صرف صحي (&gt;1م)</t>
  </si>
  <si>
    <t>موقف/تندة</t>
  </si>
  <si>
    <t>مصطفي علي محمد علي</t>
  </si>
  <si>
    <t>ياسر ناجي عبدالغني فضل الله</t>
  </si>
  <si>
    <t>بطل عبدالمنعم عبدالجواد</t>
  </si>
  <si>
    <t>محمد احمد عبداللطيف طنطاوي</t>
  </si>
  <si>
    <t>خالد فتحي وزير</t>
  </si>
  <si>
    <t>محمود عبدالعظيم علي ابراهيم</t>
  </si>
  <si>
    <t>حسني محمد علي</t>
  </si>
  <si>
    <t>رمضان رشدي عبدالغني</t>
  </si>
  <si>
    <t>احمد صلاح قنديل</t>
  </si>
  <si>
    <t>رضا سعيد صاوي</t>
  </si>
  <si>
    <t>محمد ابراهيم عبدالكريم</t>
  </si>
  <si>
    <t>مبروك محمد علي</t>
  </si>
  <si>
    <t>نادي ابراهيم عبدالكريم</t>
  </si>
  <si>
    <t>علي محمد علي</t>
  </si>
  <si>
    <t>حمدي احمد جاد</t>
  </si>
  <si>
    <t>مختار سالم محمد</t>
  </si>
  <si>
    <t>عاشور حسين احمد</t>
  </si>
  <si>
    <t>محمد قرني احمد حسن</t>
  </si>
  <si>
    <t>محمد نادي هريدي عبدالعظيم</t>
  </si>
  <si>
    <t xml:space="preserve">رجب مراد علي </t>
  </si>
  <si>
    <t>محمد طه عبدالغني</t>
  </si>
  <si>
    <t>نمر محمد متولي</t>
  </si>
  <si>
    <t>ابراهيم محمد متولي</t>
  </si>
  <si>
    <t>حمزه فايز عبدالحميد</t>
  </si>
  <si>
    <t>عبدالمنعم خليفه عمار</t>
  </si>
  <si>
    <t>صبحي هارون محمد</t>
  </si>
  <si>
    <t>عبدالنبي سعيد طلبه</t>
  </si>
  <si>
    <t>فولي فرج عثمان عبدالغفار</t>
  </si>
  <si>
    <t>فرج عثمان عبدالغفار</t>
  </si>
  <si>
    <t>نمر معتمد عبدالسلام</t>
  </si>
  <si>
    <t>ماهر سعد صالح</t>
  </si>
  <si>
    <t>راضي محمود يونس</t>
  </si>
  <si>
    <t>سالم جمعه عبدالجيد</t>
  </si>
  <si>
    <t>احمد ابراهيم رشوان</t>
  </si>
  <si>
    <t>سيف مجاور عبدالغفار عبدالله</t>
  </si>
  <si>
    <t>سيد ابوزيد عبدالستار عبدالله</t>
  </si>
  <si>
    <t>احمد عبدالمحسن محمد علي</t>
  </si>
  <si>
    <t>علي قرني احمد علي</t>
  </si>
  <si>
    <t>صلاح بكري معوض</t>
  </si>
  <si>
    <t>حسين عوض حسين</t>
  </si>
  <si>
    <t>معوض عيسي مهدي</t>
  </si>
  <si>
    <t>السعدي عطيه السعدي عبدالنبي</t>
  </si>
  <si>
    <t>ابراهيم احمد احمد</t>
  </si>
  <si>
    <t>طماوي علي عبدالجيد</t>
  </si>
  <si>
    <t>فراج منصور مهدي</t>
  </si>
  <si>
    <t>منياوي سيف عبدالنبي</t>
  </si>
  <si>
    <t>مصطفي السعدي عبدالنبي</t>
  </si>
  <si>
    <t>فرج منصور مهدي</t>
  </si>
  <si>
    <t>محمود عباس محمود علي</t>
  </si>
  <si>
    <t>احمد علي جوده</t>
  </si>
  <si>
    <t>حمدان علي حسن</t>
  </si>
  <si>
    <t>سيد خميس عبدالحميد</t>
  </si>
  <si>
    <t>ماهر محمود يونس</t>
  </si>
  <si>
    <t>81 لسنة 2018</t>
  </si>
  <si>
    <t>80 لسنة 2018</t>
  </si>
  <si>
    <t>79 لسنة 2018</t>
  </si>
  <si>
    <t>77 لسنة 2018</t>
  </si>
  <si>
    <t>75 لسنة 2018</t>
  </si>
  <si>
    <t>74 لسنة 2018</t>
  </si>
  <si>
    <t>64 لسنة 2018</t>
  </si>
  <si>
    <t>65 لسنة 2018</t>
  </si>
  <si>
    <t>72 لسنة 2018</t>
  </si>
  <si>
    <t>71 لسنة 2018</t>
  </si>
  <si>
    <t>70 لسنة 2018</t>
  </si>
  <si>
    <t>69 لسنة 2018</t>
  </si>
  <si>
    <t>68 لنسة 2018</t>
  </si>
  <si>
    <t>67 لسنة 2018</t>
  </si>
  <si>
    <t>66 لسنة 2018</t>
  </si>
  <si>
    <t>95 لسنة 2018</t>
  </si>
  <si>
    <t>96 لسنة 2018</t>
  </si>
  <si>
    <t>272 لسنة 2018</t>
  </si>
  <si>
    <t>274 لسنة 2018</t>
  </si>
  <si>
    <t>273 لسنة 2018</t>
  </si>
  <si>
    <t>275 لسنة 2018</t>
  </si>
  <si>
    <t>276 لسنة 2018</t>
  </si>
  <si>
    <t>285 لسنة 2018</t>
  </si>
  <si>
    <t>277 لسنة 2018</t>
  </si>
  <si>
    <t>278 لسنة 2018</t>
  </si>
  <si>
    <t>284 لسنة 2018</t>
  </si>
  <si>
    <t>279 لسنة 2018</t>
  </si>
  <si>
    <t>280 لسنة 2018</t>
  </si>
  <si>
    <t>281 لسنة 2018</t>
  </si>
  <si>
    <t>282 لسنة 2018</t>
  </si>
  <si>
    <t>286 لسنة 2018</t>
  </si>
  <si>
    <t>283 لسنة 2018</t>
  </si>
  <si>
    <t>324 لسنة 2018</t>
  </si>
  <si>
    <t>325 لسنة 2018</t>
  </si>
  <si>
    <t>478 لسنة 2018</t>
  </si>
  <si>
    <t>فرع الفنت</t>
  </si>
  <si>
    <t>الرشاح</t>
  </si>
  <si>
    <t>كافيتيريا</t>
  </si>
  <si>
    <t>رجب محمد ذكي</t>
  </si>
  <si>
    <t>ماهر جمال غنيمه</t>
  </si>
  <si>
    <t>رمضان جمعه غنيم</t>
  </si>
  <si>
    <t>صالح احمد صالح يونس</t>
  </si>
  <si>
    <t>عيد عبدالعظيم علام</t>
  </si>
  <si>
    <t>سيد علي احمد</t>
  </si>
  <si>
    <t>محمد كمال البحيري</t>
  </si>
  <si>
    <t>جمعه علي طه</t>
  </si>
  <si>
    <t>هنداوي سيد الجبالي</t>
  </si>
  <si>
    <t>حاتم فراج خميس الجبالي</t>
  </si>
  <si>
    <t>عيد ابراهيم عبدالكريم</t>
  </si>
  <si>
    <t>عيد عمر طنطاوي</t>
  </si>
  <si>
    <t>ابراهيم سيد فولي</t>
  </si>
  <si>
    <t>رحيم سعيد عبدالعظيم</t>
  </si>
  <si>
    <t>عمر علي عبدالحليم</t>
  </si>
  <si>
    <t>سيد ابراهيم ابوشلبيه</t>
  </si>
  <si>
    <t>عبدالمنعم مصطفي محمود مرعي</t>
  </si>
  <si>
    <t>احمد عبدالمنعم متولي مبروك</t>
  </si>
  <si>
    <t>محمد حسين علي</t>
  </si>
  <si>
    <t>محمد عبدالمنعم متولي مبروك</t>
  </si>
  <si>
    <t>اسلام سيد محمد عيد</t>
  </si>
  <si>
    <t>حسن احمد علي</t>
  </si>
  <si>
    <t>عيد طه عبدالغني</t>
  </si>
  <si>
    <t>علي حسن علي</t>
  </si>
  <si>
    <t>ناصر علي حسن علي</t>
  </si>
  <si>
    <t>طه احمد علي حسن</t>
  </si>
  <si>
    <t>محمد حمدان العربي</t>
  </si>
  <si>
    <t>محمد غانم سويلم</t>
  </si>
  <si>
    <t>محمود غانم سويلم</t>
  </si>
  <si>
    <t>نمر سليمان علي</t>
  </si>
  <si>
    <t>سليم اسلمان علي</t>
  </si>
  <si>
    <t>عيد سويلم سويلم</t>
  </si>
  <si>
    <t>محمد سليمان العربي</t>
  </si>
  <si>
    <t>نصار حامد حامد</t>
  </si>
  <si>
    <t>سالم حامد سالم حامد</t>
  </si>
  <si>
    <t>سلامه حامد حامد</t>
  </si>
  <si>
    <t>محمد علي جوده</t>
  </si>
  <si>
    <t>محمد احمد عبدالصمد</t>
  </si>
  <si>
    <t>شعبان احمد عبدالصمد</t>
  </si>
  <si>
    <t>محمود عبدالحميد محمود الجندي</t>
  </si>
  <si>
    <t>جابر عبدالعظيم شعبان</t>
  </si>
  <si>
    <t>حسين محمود ابوالخير</t>
  </si>
  <si>
    <t>منصور سلامه سليمان</t>
  </si>
  <si>
    <t>محمود غرياني كريم</t>
  </si>
  <si>
    <t>كريم جمال محمد البطل</t>
  </si>
  <si>
    <t>سيد محمد عيد محمد</t>
  </si>
  <si>
    <t>احمد محمد احمد شحاته</t>
  </si>
  <si>
    <t>رمضان محمد حسن</t>
  </si>
  <si>
    <t>محمد عطا عبدالعليم</t>
  </si>
  <si>
    <t>جابر عبدالتواب محمد</t>
  </si>
  <si>
    <t>محمد عبدالحميد عبدالعاطي</t>
  </si>
  <si>
    <t>محمود محمد محمود محمد</t>
  </si>
  <si>
    <t>سليمان عواد رويشد</t>
  </si>
  <si>
    <t>ابراهيم مهدي حسين</t>
  </si>
  <si>
    <t>محمد رويشد مسلم</t>
  </si>
  <si>
    <t>سالم رويشد مسلم</t>
  </si>
  <si>
    <t>فاطمه رويشد مسلم</t>
  </si>
  <si>
    <t>محمد سيد حسن</t>
  </si>
  <si>
    <t>ابراهيم محمد علي عبدالرحمن</t>
  </si>
  <si>
    <t>يحي محم محمد علي</t>
  </si>
  <si>
    <t>جمال محمد محمد علي</t>
  </si>
  <si>
    <t>محمد عبداللطيف شمردل</t>
  </si>
  <si>
    <t>محمد حسين سيد مظهري</t>
  </si>
  <si>
    <t>عاشور سيد محمد محمد</t>
  </si>
  <si>
    <t>ياسر عبيد حسن عبدالله</t>
  </si>
  <si>
    <t>احمد عيد احمد احمد</t>
  </si>
  <si>
    <t>عماد طه عبدالرحمن محمد</t>
  </si>
  <si>
    <t>شعبان محمد احمد محمد</t>
  </si>
  <si>
    <t>احمد توفيق زيدان محمد</t>
  </si>
  <si>
    <t>محمد محمد احمد محمد بدوي</t>
  </si>
  <si>
    <t>علي محمد علي جاد</t>
  </si>
  <si>
    <t>خليفه حسين علي محمد</t>
  </si>
  <si>
    <t>علي عوض عمار</t>
  </si>
  <si>
    <t>200 لسنة 2019</t>
  </si>
  <si>
    <t>201 لسنة 2019</t>
  </si>
  <si>
    <t>202 لسنة 2019</t>
  </si>
  <si>
    <t>203 لسنة 2019</t>
  </si>
  <si>
    <t>204 لسنة 2019</t>
  </si>
  <si>
    <t>205 لسنة 2019</t>
  </si>
  <si>
    <t>قطع جسر</t>
  </si>
  <si>
    <t>6\1\2020</t>
  </si>
  <si>
    <t>2\2\2020</t>
  </si>
  <si>
    <t>5\3\2020</t>
  </si>
  <si>
    <t>8\3\2020</t>
  </si>
  <si>
    <t>11\3\2020</t>
  </si>
  <si>
    <t>10\3\2020</t>
  </si>
  <si>
    <t>12\3\2020</t>
  </si>
  <si>
    <t>15\3\2020</t>
  </si>
  <si>
    <t>12\7\2020</t>
  </si>
  <si>
    <t>15\7\2020</t>
  </si>
  <si>
    <t>12\8\2020</t>
  </si>
  <si>
    <t>31\12\2020</t>
  </si>
  <si>
    <t>10\12\2020</t>
  </si>
  <si>
    <t>16\12\2020</t>
  </si>
  <si>
    <t>محمد علي حسين علي</t>
  </si>
  <si>
    <t>عماد عبدالستار عماد كيلاني</t>
  </si>
  <si>
    <t>عبدالعظيم محمد طلب</t>
  </si>
  <si>
    <t>نجفة محمد ابراهيم</t>
  </si>
  <si>
    <t>ابراهيم احمد علي صالح</t>
  </si>
  <si>
    <t>ناصر عبدالعظيم  محمود طلب</t>
  </si>
  <si>
    <t>حنفي عمر علي</t>
  </si>
  <si>
    <t>مسعود نصرالله حسين</t>
  </si>
  <si>
    <t>محمد ابراهيم تهامي ادريس</t>
  </si>
  <si>
    <t>محمد حمادة جوده</t>
  </si>
  <si>
    <t>حمدي حسن عويس</t>
  </si>
  <si>
    <t>محمود سعد حامد</t>
  </si>
  <si>
    <t>ممدوح محمد مهران</t>
  </si>
  <si>
    <t>صالح علي عبدالوهاب</t>
  </si>
  <si>
    <t>عبدالجواد عبدالوهاب عبدالله</t>
  </si>
  <si>
    <t>محمود طه عبدالحميد حسن</t>
  </si>
  <si>
    <t>ابراهيم عبدالعزيز محمد نهار</t>
  </si>
  <si>
    <t>بدير محمد عبدالشافي احمد</t>
  </si>
  <si>
    <t>احمد ابراهيم محمد سيد</t>
  </si>
  <si>
    <t>جمعه رجب علي جاد</t>
  </si>
  <si>
    <t>جمال عبد الحميد عثمان اسماعيل</t>
  </si>
  <si>
    <t>عبدالرحيم السيد عبدالوهاب علي</t>
  </si>
  <si>
    <t>ضحي هارون محمد عبدالسلام</t>
  </si>
  <si>
    <t>فولي فراج عثمان عبدالقادر</t>
  </si>
  <si>
    <t>عيسي محمد عبدالعظيم</t>
  </si>
  <si>
    <t>عبدالحميد احمد جابر</t>
  </si>
  <si>
    <t>عبدالرازق مصطفي طلب</t>
  </si>
  <si>
    <t>احمد صديق علي عبدالوهاب</t>
  </si>
  <si>
    <t>ربيع شحاته احمد</t>
  </si>
  <si>
    <t>محمود محمد ابو بكر</t>
  </si>
  <si>
    <t>محمد عبدالجيد محمد</t>
  </si>
  <si>
    <t>عبد الظاهر عبدالمجيد محمد</t>
  </si>
  <si>
    <t>خلف عبدالعظيم ابو سريع</t>
  </si>
  <si>
    <t>ربيع محمد احمد ادريس</t>
  </si>
  <si>
    <t>محمد محمد احمد ادريس</t>
  </si>
  <si>
    <t>عبدالعظيم ابو سريع علي</t>
  </si>
  <si>
    <t>محمد نور الدين محمد محمد عمران</t>
  </si>
  <si>
    <t>حمادة نور الدين محمد محمد عمران</t>
  </si>
  <si>
    <t>حمدي نور الدين محمد محمد عمران</t>
  </si>
  <si>
    <t>مسلم محمد محمد علي عمران</t>
  </si>
  <si>
    <t>هويدا فتحي عبداللطيف</t>
  </si>
  <si>
    <t>صلاح حسن شريف محمد</t>
  </si>
  <si>
    <t>ثوسن فتيحي عبدالوهاب</t>
  </si>
  <si>
    <t>ربيع حمدي عزوز محمد</t>
  </si>
  <si>
    <t>محمد عزوز محمد عزوز</t>
  </si>
  <si>
    <t>جوده محمد حسن جوده</t>
  </si>
  <si>
    <t>بطل عاشور عبدالوهاب</t>
  </si>
  <si>
    <t>رضا سيف عبدالفضيل</t>
  </si>
  <si>
    <t>شعبان ناصر عاشور</t>
  </si>
  <si>
    <t>محمد صلاح ابراهيم محمد</t>
  </si>
  <si>
    <t>محمد حسن عبدالعظيم</t>
  </si>
  <si>
    <t>مصطفي محمد محمد عبدالكريم</t>
  </si>
  <si>
    <t xml:space="preserve">خليفه حسين علي محمد </t>
  </si>
  <si>
    <t>ابراهيم نادي حسين علي</t>
  </si>
  <si>
    <t>حسن يوسف محمود مصطفي</t>
  </si>
  <si>
    <t xml:space="preserve">خالد فتحي وزير </t>
  </si>
  <si>
    <t>محمد حميده جوده عبدالعاطي</t>
  </si>
  <si>
    <t>احمد عبدالتواب محمد سعد</t>
  </si>
  <si>
    <t>خليل مكرم علي صالح</t>
  </si>
  <si>
    <t>أحمد محمد عبداللطيف</t>
  </si>
  <si>
    <t xml:space="preserve">عرفه رمضان سيد </t>
  </si>
  <si>
    <t xml:space="preserve">انور عبدالحميد سالم </t>
  </si>
  <si>
    <t>الحبابي</t>
  </si>
  <si>
    <t>ابو شوشه</t>
  </si>
  <si>
    <t>خطيب محمد</t>
  </si>
  <si>
    <t>28/1/2021</t>
  </si>
  <si>
    <t>29\3\2021</t>
  </si>
  <si>
    <t>22\6\2021</t>
  </si>
  <si>
    <t>30\8\2021</t>
  </si>
  <si>
    <t>29\8\2021</t>
  </si>
  <si>
    <t>31\8\2021</t>
  </si>
  <si>
    <t>ابراهيم رزق الله بطرس</t>
  </si>
  <si>
    <t>محمد احمد محمد عبداللطيف</t>
  </si>
  <si>
    <t>اسلام شعبان عبدالحميد</t>
  </si>
  <si>
    <t>نجية عبدالحميد عبدالجواد</t>
  </si>
  <si>
    <t>فرحات فايز محجوب كيلاني</t>
  </si>
  <si>
    <t>رجب ياسين محمود محمد</t>
  </si>
  <si>
    <t>محمد سيد عبدالله صالح</t>
  </si>
  <si>
    <t>محمد حسن سليمان محمود</t>
  </si>
  <si>
    <t>سعاد سيد شلقامي فرج</t>
  </si>
  <si>
    <t>فرحات عبدالهادي عبدالكريم</t>
  </si>
  <si>
    <t>جمعه شلقامي فرج</t>
  </si>
  <si>
    <t>صلاح احمد دسوقي محمد</t>
  </si>
  <si>
    <t>نادي فتحي ابراهيم شحاته</t>
  </si>
  <si>
    <t>بطل عبدالرحيم احمد دسوقي</t>
  </si>
  <si>
    <t>عبدالغني جويلي مفتاح</t>
  </si>
  <si>
    <t>محمد عبدالوهاب محمد الفولي</t>
  </si>
  <si>
    <t>عمار خليفه سيد سعد</t>
  </si>
  <si>
    <t>ممدوح حسن عبدالحميد</t>
  </si>
  <si>
    <t>حمدية فرج عيسي</t>
  </si>
  <si>
    <t>جمعه حمدي عبدالرازق عبدالله</t>
  </si>
  <si>
    <t>سعد عبدالهادي عبدالكريم</t>
  </si>
  <si>
    <t>سيد سليم ابوالقاسم علي</t>
  </si>
  <si>
    <t>رجب جمعه عبدالله</t>
  </si>
  <si>
    <t>جمال ميهوب عبدالتواب مصطفي</t>
  </si>
  <si>
    <t>15\12\2022</t>
  </si>
  <si>
    <t>راوية سالم حامد سالم</t>
  </si>
  <si>
    <t>فاطمه ابراهيم عيد</t>
  </si>
  <si>
    <t>سوميح سلامه حامد سليم</t>
  </si>
  <si>
    <t>عبدالغني عبدالحميد ناجي</t>
  </si>
  <si>
    <t>مروه ناجي عبدالغني</t>
  </si>
  <si>
    <t>احمد عبدالحميد شحاته محمد</t>
  </si>
  <si>
    <t>هندي عيد عبدالمطلب</t>
  </si>
  <si>
    <t>ابراهيم ناجي عبدالغني فضل الله</t>
  </si>
  <si>
    <t>شريف فتحي ابراهيم شحاته</t>
  </si>
  <si>
    <t>عادل عبدالحميد شحاته</t>
  </si>
  <si>
    <t>حسين عبدالمقصود جوده عبدالرحمن</t>
  </si>
  <si>
    <t>بدوي احمد طه عبدالصمد</t>
  </si>
  <si>
    <t>نمر سليمان علي سليمان</t>
  </si>
  <si>
    <t>نادية عبدالرحمن عبدالغني</t>
  </si>
  <si>
    <t>فيصل محمد سليمان سليمان</t>
  </si>
  <si>
    <t>غنيمه مبارك سليمان سليمان</t>
  </si>
  <si>
    <t>هلاله عوده شحاته عابد</t>
  </si>
  <si>
    <t>غانم محمود غانم</t>
  </si>
  <si>
    <t>مسعود علي حسن علي</t>
  </si>
  <si>
    <t>باسم حسن احمد حسن</t>
  </si>
  <si>
    <t>سليم سليمان علي سليمان</t>
  </si>
  <si>
    <t>سلام سالم حامد سليم</t>
  </si>
  <si>
    <t>نصار حامد سليم نصار</t>
  </si>
  <si>
    <t>شرين كمال احمد احمد</t>
  </si>
  <si>
    <t>عيد سوليم عيد سويلم</t>
  </si>
  <si>
    <t>مايزه سليمان علي سليمان</t>
  </si>
  <si>
    <t>فاطمه محمد طلب محمد</t>
  </si>
  <si>
    <t>طه احمد عبدالمقصود جوده</t>
  </si>
  <si>
    <t>علي اسماعيل طه</t>
  </si>
  <si>
    <t>جمعة سيد محمد حمدان</t>
  </si>
  <si>
    <t>خالد عيد سليمان حسن</t>
  </si>
  <si>
    <t>صبيحة سالم مسلم سليمان</t>
  </si>
  <si>
    <t>احمد ابراهيم محمد عمار</t>
  </si>
  <si>
    <t>عمر احمد عبدالوهاب علي</t>
  </si>
  <si>
    <t>قياتي سعيد ابو العلا</t>
  </si>
  <si>
    <t>جمال عبدالعظيم عبد السلام</t>
  </si>
  <si>
    <t>خالد حلمي محمد محمد</t>
  </si>
  <si>
    <t>وداد عبدالستار مبروك</t>
  </si>
  <si>
    <t>اشرف دسوقي محمد عبدالهادي</t>
  </si>
  <si>
    <t>عصمت عبدالمحسن بدوي</t>
  </si>
  <si>
    <t>حسن عبدالمقصود جوده عبدالرحمن</t>
  </si>
  <si>
    <t>صفط الخرسه</t>
  </si>
  <si>
    <t>الصعايدة</t>
  </si>
  <si>
    <t>2\9\2024</t>
  </si>
  <si>
    <t>13\9\2024</t>
  </si>
  <si>
    <t>10\9\2024</t>
  </si>
  <si>
    <t>16\10\2024</t>
  </si>
  <si>
    <t>4\11\2024</t>
  </si>
  <si>
    <t>12\11\2024</t>
  </si>
  <si>
    <t>احمد علي جودة عبدالله</t>
  </si>
  <si>
    <t>عبدالسلام نبيل خليفة نصار</t>
  </si>
  <si>
    <t>عادل عزيز ابراهيم خليل</t>
  </si>
  <si>
    <t>امتداد تلت</t>
  </si>
  <si>
    <t>جمعه محمد حافظ محمد</t>
  </si>
  <si>
    <t>وليد جمعه علي سيد</t>
  </si>
  <si>
    <t>عويس امين حافظ محمد</t>
  </si>
  <si>
    <t>رضا حسن علي محمد</t>
  </si>
  <si>
    <t>محمد الخياط مبروك علي</t>
  </si>
  <si>
    <t>صابر شعبان سيد محمد</t>
  </si>
  <si>
    <t>خميس جويلي ابوالقاسم</t>
  </si>
  <si>
    <t>زكي علي احمد مهدي</t>
  </si>
  <si>
    <t>عبدالعظيم محمود طلب</t>
  </si>
  <si>
    <t>حنفي عمر علي محمد</t>
  </si>
  <si>
    <t>عمر شعبان عمر شعبان</t>
  </si>
  <si>
    <t>اشرف عمر شعبان عمر</t>
  </si>
  <si>
    <t>ربيع رجب جمعه عبدالله</t>
  </si>
  <si>
    <t>آمنه احمد محمد جمعه</t>
  </si>
  <si>
    <t>مصطفي علي بدوي</t>
  </si>
  <si>
    <t>محمود غرناني محمود</t>
  </si>
  <si>
    <t>محمود عبدالحميد محمود</t>
  </si>
  <si>
    <t>بدوي احمد طه عيد احمد</t>
  </si>
  <si>
    <t>منال صابر الياس ياسين</t>
  </si>
  <si>
    <t>محمد عبدالعاطي عبدالجواد</t>
  </si>
  <si>
    <t>قباني سعيد ابوالعلا</t>
  </si>
  <si>
    <t>بطل محمد ابراهيم</t>
  </si>
  <si>
    <t>اغا مصطفي محمود الجندي</t>
  </si>
  <si>
    <t>بدوي محمد الرويني</t>
  </si>
  <si>
    <t>حماده ربيع عبدالعظيم</t>
  </si>
  <si>
    <t>مجدي حسن ابراهيم</t>
  </si>
  <si>
    <t>حسن محمود الهندي</t>
  </si>
  <si>
    <t>نصر قرني ابراهيم</t>
  </si>
  <si>
    <t>خطيب محمود بدوي</t>
  </si>
  <si>
    <t>شريف سعد كريم</t>
  </si>
  <si>
    <t>فاروق احمد شعراوي احمد</t>
  </si>
  <si>
    <t>مايزه عوده سليمان سليمان</t>
  </si>
  <si>
    <t>عبدالرازق حمدي عبدالرازق</t>
  </si>
  <si>
    <t>عرفه عبدالوهاب محمد علي</t>
  </si>
  <si>
    <t>احمد توفيق احمد محمد</t>
  </si>
  <si>
    <t>محمد عبدالشافي خليفه بدوي</t>
  </si>
  <si>
    <t>ربيع عبدالحفيظ عبدالهادي</t>
  </si>
  <si>
    <t>سيد سعيد احمد عبدالباسط</t>
  </si>
  <si>
    <t xml:space="preserve">حمدالله عبدالباسط حامد </t>
  </si>
  <si>
    <t>صلاح فاروق عبدالعزيز</t>
  </si>
  <si>
    <t>فرجاني حمدي</t>
  </si>
  <si>
    <t>محمد احمد ابراهيم احمد</t>
  </si>
  <si>
    <t>6\1\2025</t>
  </si>
  <si>
    <t>16\1\2025</t>
  </si>
  <si>
    <t>26\1\2025</t>
  </si>
  <si>
    <t>2\2\2025</t>
  </si>
  <si>
    <t>19\2\2025</t>
  </si>
  <si>
    <t>25\2\2025</t>
  </si>
  <si>
    <t>12\3\2025</t>
  </si>
  <si>
    <t>17\4\2025</t>
  </si>
  <si>
    <t>10\8\2025</t>
  </si>
  <si>
    <t>2\9\2025</t>
  </si>
  <si>
    <t>2\9\2026</t>
  </si>
  <si>
    <t>2\9\2027</t>
  </si>
  <si>
    <t>2\9\2028</t>
  </si>
  <si>
    <t>15\9\2025</t>
  </si>
  <si>
    <t>11\9\2025</t>
  </si>
  <si>
    <t>14\9\2025</t>
  </si>
  <si>
    <t>18\9\2025</t>
  </si>
  <si>
    <t>7\10\2025</t>
  </si>
  <si>
    <t>11\11\2025</t>
  </si>
  <si>
    <t>12\11\2025</t>
  </si>
  <si>
    <t>13\11\2025</t>
  </si>
  <si>
    <t>22\12\2025</t>
  </si>
  <si>
    <t>23\12\2025</t>
  </si>
  <si>
    <t>24\12\2025</t>
  </si>
  <si>
    <t>عبدالحميد عبداالنعيم حافظ</t>
  </si>
  <si>
    <t>نادي سيد احمد معوض</t>
  </si>
  <si>
    <t>محمود عبدالله عبدالعظيم</t>
  </si>
  <si>
    <t>عبدالصمد ابراهيم عبدالعظيم</t>
  </si>
  <si>
    <t>سطوحي ابراهيم عبدالعظيم</t>
  </si>
  <si>
    <t>جمعه عبدالله محمد</t>
  </si>
  <si>
    <t>حسن محمد حسن عطيه</t>
  </si>
  <si>
    <t>محمود ربيع موسي عيد</t>
  </si>
  <si>
    <t>محمد شلقامي محمد</t>
  </si>
  <si>
    <t>سامي سمير خليل</t>
  </si>
  <si>
    <t>سامح سيف غالب</t>
  </si>
  <si>
    <t>دعاء محمد الدسوقي</t>
  </si>
  <si>
    <t>وفاء محمود مصطفي محمود</t>
  </si>
  <si>
    <t>ايمن محمود ابوالعين</t>
  </si>
  <si>
    <t>محمد قرني محمد مرسي</t>
  </si>
  <si>
    <t>سعيد كامل محمد ابوالخير</t>
  </si>
  <si>
    <t>ايمن يحي عبدالفتاح حسن</t>
  </si>
  <si>
    <t>احمد محمد ذكي محمد</t>
  </si>
  <si>
    <t xml:space="preserve">محرم هارون محسن </t>
  </si>
  <si>
    <t>ابراهيم عبدالحميد رزق</t>
  </si>
  <si>
    <t>ميرفت فوزي توفيق حسن</t>
  </si>
  <si>
    <t>عبدالرحمن رمضان محمد</t>
  </si>
  <si>
    <t>جمال عبدالملاك مجلي عبدالملاك</t>
  </si>
  <si>
    <t>جيهان محمود شحاته عبدالعظيم</t>
  </si>
  <si>
    <t>احمد محمد احمد عيد</t>
  </si>
  <si>
    <t>احمد طه حسين دسوقي</t>
  </si>
  <si>
    <t>جمال حسين احمد دياب</t>
  </si>
  <si>
    <t>مصطفي عبدالله عبدالتواب</t>
  </si>
  <si>
    <t>احمد بدوي احمد حسن</t>
  </si>
  <si>
    <t>عصام مشرف عبدالوهاب</t>
  </si>
  <si>
    <t>شعبان صقر جاد الرب ابراهيم</t>
  </si>
  <si>
    <t>ضاحي رجب محمد عبدالله</t>
  </si>
  <si>
    <t>عبدالله راتب محمد عبدالله</t>
  </si>
  <si>
    <t>فاطمه حسين محمد ابراهيم</t>
  </si>
  <si>
    <t>محمد محمد عبدالرحيم طه</t>
  </si>
  <si>
    <t>زين مرسي علي مرسي</t>
  </si>
  <si>
    <t>سليمان عواد رويشد مسلم</t>
  </si>
  <si>
    <t>صفوت عيد محمد عبدالله</t>
  </si>
  <si>
    <t>شعبان عبدالظاهر عبدالعظيم</t>
  </si>
  <si>
    <t>محمد صقر جاد الرب ابراهيم</t>
  </si>
  <si>
    <t>قرني عبدالباسط حامد حماد</t>
  </si>
  <si>
    <t>احمد علي محمود حسين</t>
  </si>
  <si>
    <t>مصطفي نده علي عبدالعال</t>
  </si>
  <si>
    <t>حسن عبدالباسط حامد حماد</t>
  </si>
  <si>
    <t>مسلم صقر جاد الرب</t>
  </si>
  <si>
    <t>احمد مصطفي امين مصطفي</t>
  </si>
  <si>
    <t>احمد جابر محمد حسن</t>
  </si>
  <si>
    <t>سونيا سليم محمد احمد</t>
  </si>
  <si>
    <t>عماد فاروق حليم عطيه</t>
  </si>
  <si>
    <t>محمد محمد احمد محمد</t>
  </si>
  <si>
    <t>سالم رويشد مسلم رويشد</t>
  </si>
  <si>
    <t>ياسر عبيد حسين عبدالله</t>
  </si>
  <si>
    <t>محمد احمد حسن عبدالمقصود</t>
  </si>
  <si>
    <t>محمود نور هاشم احمد</t>
  </si>
  <si>
    <t>ميشيل ظريف كامل غبور</t>
  </si>
  <si>
    <t>مؤمن سيد علي عطيه</t>
  </si>
  <si>
    <t>محمد طه محمد سيد</t>
  </si>
  <si>
    <t>عاشور سعيد محمد سيد</t>
  </si>
  <si>
    <t>نوال فرحات علي احمد</t>
  </si>
  <si>
    <t>عماد طه عبدالرحمن</t>
  </si>
  <si>
    <t>نهي احمد كامل احمد</t>
  </si>
  <si>
    <t>احمد علي محمد محمد</t>
  </si>
  <si>
    <t>سمره محمود سيد</t>
  </si>
  <si>
    <t>جمعه رجب جاد الحق</t>
  </si>
  <si>
    <t>سويلمه سليم عابد سليم</t>
  </si>
  <si>
    <t>احمد سلامه سليم عابد</t>
  </si>
  <si>
    <t>جمال محمد محمد عبدالرحمن</t>
  </si>
  <si>
    <t>محمود محمد عبدالشافي محمد</t>
  </si>
  <si>
    <t>محمد عبدالشافي احمد عبدالوهاب</t>
  </si>
  <si>
    <t>علي عصام محمد علي</t>
  </si>
  <si>
    <t>رجب عبدالسلام علي يوسف</t>
  </si>
  <si>
    <t>جمال منير نصرالله</t>
  </si>
  <si>
    <t>ابراهيم عبدالعزيز نصار</t>
  </si>
  <si>
    <t>جمال عبدالله حبيب محمد</t>
  </si>
  <si>
    <t>هنيه احمد عبدالعظيم</t>
  </si>
  <si>
    <t>عرفة عبدالوهاب محمد علي</t>
  </si>
  <si>
    <t>حسن علي عبدالعظيم احمد</t>
  </si>
  <si>
    <t>احمد رجب قرني عبدالعظيم</t>
  </si>
  <si>
    <t>صلاح احمد علي</t>
  </si>
  <si>
    <t>نورا علي عبدالعظيم جمعه</t>
  </si>
  <si>
    <t>محمود عبدالباسط مراد رضوان</t>
  </si>
  <si>
    <t>احمد صالح جاد الحق</t>
  </si>
  <si>
    <t xml:space="preserve">محمد حسين سيد </t>
  </si>
  <si>
    <t>يحي محمد محمد علي</t>
  </si>
  <si>
    <t>طه معاطي محمود عبدالرحمن</t>
  </si>
  <si>
    <t>ابراهيم سليمان سليمان</t>
  </si>
  <si>
    <t>احمد نور هشام احمد</t>
  </si>
  <si>
    <t xml:space="preserve">اسليمان عيد اسليمان </t>
  </si>
  <si>
    <t>محمد نور هاشم احمد ابراهيم</t>
  </si>
  <si>
    <t>ابراهيم الدسوقي محمد</t>
  </si>
  <si>
    <t>سيده محمد طايع سيد</t>
  </si>
  <si>
    <t>جمال عبدالحميد عثمان</t>
  </si>
  <si>
    <t>رجب احمد محمد جمعه</t>
  </si>
  <si>
    <t>عبدالعال محمود راغب</t>
  </si>
  <si>
    <t>جمال عبدالله حسن محمد</t>
  </si>
  <si>
    <t>مصطفي محمد السيد علي</t>
  </si>
  <si>
    <t>حلمي ابراهيم عبدالوهاب</t>
  </si>
  <si>
    <t>حسين كمال محمد حسين</t>
  </si>
  <si>
    <t>عمر عبدالله عبدالله ابوطالب</t>
  </si>
  <si>
    <t>طه عابدين عبدالوهاب حسن</t>
  </si>
  <si>
    <t>ابراهيم عبدالحميد رزق علي</t>
  </si>
  <si>
    <t>محمود عبدالعظيم ابو الخير</t>
  </si>
  <si>
    <t xml:space="preserve">حسام حسن عبدالتواب فهمي </t>
  </si>
  <si>
    <t xml:space="preserve">محمود عبدالعظيم ابو الخير </t>
  </si>
  <si>
    <t>عوده سليمان عمار موسي</t>
  </si>
  <si>
    <t>عبدالله سلطان محمد حامد</t>
  </si>
  <si>
    <t>مخلوف عبدالحميد محمد عبدربه</t>
  </si>
  <si>
    <t>حسين حسن محمد زيدان</t>
  </si>
  <si>
    <t>فايز ابراهيم عبدالوهاب احمد</t>
  </si>
  <si>
    <t>محمود ربيع موسي عبدالقادر</t>
  </si>
  <si>
    <t>عصمت علي عباس</t>
  </si>
  <si>
    <t>الزموط</t>
  </si>
  <si>
    <t xml:space="preserve">بني صالح </t>
  </si>
  <si>
    <t>كوبري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</si>
</sst>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theme="6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14" fontId="2" fillId="0" borderId="5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0" fontId="4" fillId="3" borderId="1" xfId="0" applyFont="1" applyFill="1" applyBorder="1" applyAlignment="1">
      <alignment horizontal="center" vertical="center"/>
    </xf>
    <xf numFmtId="0" fontId="3" fillId="3" borderId="0" xfId="0" applyFont="1" applyFill="1"/>
    <xf numFmtId="0" fontId="2" fillId="0" borderId="1" xfId="0" applyFont="1" applyBorder="1" applyAlignment="1" applyProtection="1">
      <alignment horizontal="center" vertical="center" readingOrder="2"/>
      <protection locked="0"/>
    </xf>
    <xf numFmtId="0" fontId="2" fillId="0" borderId="5" xfId="0" applyFont="1" applyBorder="1" applyAlignment="1" applyProtection="1">
      <alignment horizontal="center" vertical="center" readingOrder="2"/>
      <protection locked="0"/>
    </xf>
    <xf numFmtId="0" fontId="0" fillId="0" borderId="0" xfId="0" applyAlignment="1" applyProtection="1">
      <alignment readingOrder="2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14" fontId="2" fillId="4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5" xfId="0" applyFont="1" applyFill="1" applyBorder="1" applyAlignment="1" applyProtection="1">
      <alignment horizontal="center" vertical="center" readingOrder="2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14" fontId="2" fillId="4" borderId="5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 readingOrder="2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 wrapText="1" readingOrder="2"/>
      <protection locked="0"/>
    </xf>
    <xf numFmtId="14" fontId="4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center" vertical="center"/>
      <protection locked="0"/>
    </xf>
    <xf numFmtId="14" fontId="2" fillId="0" borderId="8" xfId="0" applyNumberFormat="1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 readingOrder="2"/>
      <protection locked="0"/>
    </xf>
    <xf numFmtId="0" fontId="4" fillId="3" borderId="2" xfId="0" applyFont="1" applyFill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14" fontId="2" fillId="0" borderId="10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 readingOrder="2"/>
      <protection locked="0"/>
    </xf>
    <xf numFmtId="0" fontId="4" fillId="3" borderId="10" xfId="0" applyFont="1" applyFill="1" applyBorder="1" applyAlignment="1">
      <alignment horizontal="center" vertical="center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14" fontId="2" fillId="0" borderId="16" xfId="0" applyNumberFormat="1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 readingOrder="2"/>
      <protection locked="0"/>
    </xf>
    <xf numFmtId="0" fontId="4" fillId="3" borderId="16" xfId="0" applyFont="1" applyFill="1" applyBorder="1" applyAlignment="1">
      <alignment horizontal="center" vertical="center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14" fontId="2" fillId="0" borderId="20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 readingOrder="2"/>
      <protection locked="0"/>
    </xf>
    <xf numFmtId="14" fontId="2" fillId="4" borderId="16" xfId="0" applyNumberFormat="1" applyFont="1" applyFill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4" borderId="22" xfId="0" applyFont="1" applyFill="1" applyBorder="1" applyAlignment="1" applyProtection="1">
      <alignment horizontal="center" vertical="center"/>
      <protection locked="0"/>
    </xf>
    <xf numFmtId="0" fontId="2" fillId="4" borderId="19" xfId="0" applyFont="1" applyFill="1" applyBorder="1" applyAlignment="1" applyProtection="1">
      <alignment horizontal="center" vertical="center"/>
      <protection locked="0"/>
    </xf>
    <xf numFmtId="0" fontId="2" fillId="4" borderId="10" xfId="0" applyFont="1" applyFill="1" applyBorder="1" applyAlignment="1" applyProtection="1">
      <alignment horizontal="center" vertical="center"/>
      <protection locked="0"/>
    </xf>
    <xf numFmtId="14" fontId="2" fillId="4" borderId="20" xfId="0" applyNumberFormat="1" applyFont="1" applyFill="1" applyBorder="1" applyAlignment="1" applyProtection="1">
      <alignment horizontal="center" vertical="center"/>
      <protection locked="0"/>
    </xf>
    <xf numFmtId="0" fontId="2" fillId="4" borderId="20" xfId="0" applyFont="1" applyFill="1" applyBorder="1" applyAlignment="1" applyProtection="1">
      <alignment horizontal="center" vertical="center" readingOrder="2"/>
      <protection locked="0"/>
    </xf>
    <xf numFmtId="0" fontId="2" fillId="4" borderId="20" xfId="0" applyFont="1" applyFill="1" applyBorder="1" applyAlignment="1" applyProtection="1">
      <alignment horizontal="center" vertical="center"/>
      <protection locked="0"/>
    </xf>
    <xf numFmtId="0" fontId="2" fillId="4" borderId="16" xfId="0" applyFont="1" applyFill="1" applyBorder="1" applyAlignment="1" applyProtection="1">
      <alignment horizontal="center" vertical="center" readingOrder="2"/>
      <protection locked="0"/>
    </xf>
    <xf numFmtId="0" fontId="2" fillId="4" borderId="16" xfId="0" applyFont="1" applyFill="1" applyBorder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center" vertical="center" readingOrder="2"/>
    </xf>
    <xf numFmtId="164" fontId="1" fillId="0" borderId="10" xfId="0" applyNumberFormat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164" fontId="1" fillId="0" borderId="1" xfId="0" applyNumberFormat="1" applyFont="1" applyBorder="1" applyAlignment="1">
      <alignment horizontal="center" vertical="center" readingOrder="2"/>
    </xf>
    <xf numFmtId="0" fontId="1" fillId="0" borderId="16" xfId="0" applyFont="1" applyBorder="1" applyAlignment="1">
      <alignment horizontal="center" vertical="center" readingOrder="2"/>
    </xf>
    <xf numFmtId="164" fontId="1" fillId="0" borderId="16" xfId="0" applyNumberFormat="1" applyFont="1" applyBorder="1" applyAlignment="1">
      <alignment horizontal="center" vertical="center" readingOrder="2"/>
    </xf>
    <xf numFmtId="0" fontId="2" fillId="0" borderId="3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 readingOrder="2"/>
    </xf>
    <xf numFmtId="0" fontId="1" fillId="0" borderId="20" xfId="0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 readingOrder="2"/>
    </xf>
    <xf numFmtId="164" fontId="1" fillId="0" borderId="5" xfId="0" applyNumberFormat="1" applyFont="1" applyBorder="1" applyAlignment="1">
      <alignment horizontal="center" vertical="center" readingOrder="2"/>
    </xf>
    <xf numFmtId="0" fontId="4" fillId="3" borderId="5" xfId="0" applyFont="1" applyFill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 readingOrder="2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2" fillId="4" borderId="8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4" borderId="8" xfId="0" applyFont="1" applyFill="1" applyBorder="1" applyAlignment="1" applyProtection="1">
      <alignment horizontal="center" vertical="center" readingOrder="2"/>
      <protection locked="0"/>
    </xf>
    <xf numFmtId="14" fontId="2" fillId="4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 applyProtection="1">
      <protection locked="0"/>
    </xf>
    <xf numFmtId="0" fontId="0" fillId="0" borderId="24" xfId="0" applyBorder="1" applyProtection="1">
      <protection locked="0"/>
    </xf>
    <xf numFmtId="0" fontId="2" fillId="5" borderId="5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5" borderId="22" xfId="0" applyFont="1" applyFill="1" applyBorder="1" applyAlignment="1" applyProtection="1">
      <alignment horizontal="center" vertical="center"/>
      <protection locked="0"/>
    </xf>
    <xf numFmtId="0" fontId="2" fillId="5" borderId="15" xfId="0" applyFont="1" applyFill="1" applyBorder="1" applyAlignment="1" applyProtection="1">
      <alignment horizontal="center" vertical="center"/>
      <protection locked="0"/>
    </xf>
    <xf numFmtId="0" fontId="2" fillId="5" borderId="16" xfId="0" applyFont="1" applyFill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 readingOrder="2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14" fontId="2" fillId="0" borderId="10" xfId="0" applyNumberFormat="1" applyFont="1" applyBorder="1" applyAlignment="1" applyProtection="1">
      <alignment horizontal="center" vertical="center" readingOrder="2"/>
      <protection locked="0"/>
    </xf>
    <xf numFmtId="14" fontId="2" fillId="0" borderId="16" xfId="0" applyNumberFormat="1" applyFont="1" applyBorder="1" applyAlignment="1" applyProtection="1">
      <alignment horizontal="center" vertical="center" readingOrder="2"/>
      <protection locked="0"/>
    </xf>
    <xf numFmtId="0" fontId="2" fillId="0" borderId="29" xfId="0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 applyProtection="1">
      <alignment horizontal="center" vertical="center"/>
      <protection locked="0"/>
    </xf>
    <xf numFmtId="0" fontId="2" fillId="0" borderId="3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9"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numFmt numFmtId="0" formatCode="General"/>
      <fill>
        <patternFill>
          <bgColor theme="8" tint="-0.249977111117893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numFmt numFmtId="0" formatCode="General"/>
      <fill>
        <patternFill>
          <bgColor theme="8" tint="-0.249977111117893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numFmt numFmtId="0" formatCode="General"/>
      <fill>
        <patternFill>
          <bgColor theme="8" tint="-0.249977111117893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numFmt numFmtId="0" formatCode="General"/>
      <fill>
        <patternFill>
          <bgColor theme="8" tint="-0.249977111117893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numFmt numFmtId="0" formatCode="General"/>
      <fill>
        <patternFill>
          <bgColor theme="8" tint="-0.249977111117893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numFmt numFmtId="19" formatCode="dd/mm/yyyy"/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numFmt numFmtId="19" formatCode="dd/mm/yyyy"/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numFmt numFmtId="0" formatCode="General"/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Aptos Narrow"/>
        <family val="2"/>
        <scheme val="minor"/>
      </font>
      <alignment horizontal="center" vertical="center" textRotation="0" indent="0" justifyLastLine="0" shrinkToFit="0"/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1BA6E2-8DA3-4051-BA42-79BC0E3ADA60}" name="Table2" displayName="Table2" ref="A1:X944" totalsRowShown="0" headerRowDxfId="28" dataDxfId="26" headerRowBorderDxfId="27" tableBorderDxfId="25" totalsRowBorderDxfId="24">
  <autoFilter ref="A1:X944" xr:uid="{711BA6E2-8DA3-4051-BA42-79BC0E3ADA60}"/>
  <tableColumns count="24">
    <tableColumn id="1" xr3:uid="{FF5BB517-3E9F-4792-B37A-65513F7DB806}" name="م" dataDxfId="23"/>
    <tableColumn id="2" xr3:uid="{EC8F8E9E-7E8D-485B-86B6-C6012D503D41}" name="رقم المحضر" dataDxfId="22"/>
    <tableColumn id="3" xr3:uid="{BB31114B-BED8-4865-954F-77A794147801}" name="سنة المحضر" dataDxfId="21"/>
    <tableColumn id="4" xr3:uid="{E4C53ED5-1CDF-4F69-8BA1-09BF88D1142E}" name="تاريخ المحضر" dataDxfId="20"/>
    <tableColumn id="5" xr3:uid="{D1B11699-1401-49F3-83B7-B11EF0079447}" name="رقم قرار الازالة" dataDxfId="19"/>
    <tableColumn id="6" xr3:uid="{6031BD57-0F5A-4308-A85A-34B9E8BF9E1F}" name="الرقم القضائي" dataDxfId="18"/>
    <tableColumn id="7" xr3:uid="{48B9DC75-E3F5-429D-9824-B28DA8001229}" name="اسم المخالف" dataDxfId="17"/>
    <tableColumn id="8" xr3:uid="{6C2E5900-0B7C-4E4F-B242-824C10AF5536}" name="الرقم القومي" dataDxfId="16"/>
    <tableColumn id="9" xr3:uid="{D88B08C3-BA0A-467C-9391-F50967BBAB59}" name="المصرف" dataDxfId="15"/>
    <tableColumn id="10" xr3:uid="{F06F354D-BBDE-4A3E-9568-56E4CF904A7F}" name="نوع المخالفة" dataDxfId="14"/>
    <tableColumn id="11" xr3:uid="{A1F1B975-10AD-41AB-BD6D-B0638680ED95}" name="المساحة (م2)" dataDxfId="13"/>
    <tableColumn id="12" xr3:uid="{5EC4FBE4-8E0A-4C9C-AFBA-AC568B7ADDEF}" name="اسم الملاحظ" dataDxfId="12"/>
    <tableColumn id="13" xr3:uid="{BA542BC7-AF5F-4F22-9589-4B632EAAA3D9}" name="تاريخ الازالة" dataDxfId="11"/>
    <tableColumn id="14" xr3:uid="{646EA865-1FAC-43C1-9C35-B48A2100C50D}" name="قيمة المحضر" dataDxfId="10"/>
    <tableColumn id="15" xr3:uid="{A742F881-C11C-4E57-ACA3-88F7F584CC91}" name="+47%" dataDxfId="9">
      <calculatedColumnFormula>0.47*Table2[[#This Row],[قيمة المحضر]]</calculatedColumnFormula>
    </tableColumn>
    <tableColumn id="16" xr3:uid="{8A117716-5CDA-4E89-9F69-D34AAA8C500E}" name="قيمة رد الشئ لأصلة" dataDxfId="8">
      <calculatedColumnFormula>0.17*Table2[[#This Row],[قيمة المحضر]]</calculatedColumnFormula>
    </tableColumn>
    <tableColumn id="17" xr3:uid="{0D8536C8-5958-4C45-AC05-3EFCB41E13CE}" name="قيمة مقابل الانتفاع" dataDxfId="7">
      <calculatedColumnFormula>Z2+AA2+AB2+AC2</calculatedColumnFormula>
    </tableColumn>
    <tableColumn id="18" xr3:uid="{C931EADE-789C-493A-A8BB-E1C3CDC9C6B4}" name="الحجز الاداري" dataDxfId="6"/>
    <tableColumn id="19" xr3:uid="{B8998420-5176-43A2-A1B3-61C664A8DF14}" name="التبديد" dataDxfId="5"/>
    <tableColumn id="20" xr3:uid="{8F967B8E-4EE0-4B3F-A314-1807107D5A93}" name="قيمة الحجز الاداري" dataDxfId="4">
      <calculatedColumnFormula>IF(R2="تم الحجز",Q2+O2+N2,"-")</calculatedColumnFormula>
    </tableColumn>
    <tableColumn id="21" xr3:uid="{09923D03-8CF8-465A-B928-1015D3878362}" name="موقف المحضر" dataDxfId="3"/>
    <tableColumn id="22" xr3:uid="{11CEC01E-F0F2-4907-BC83-A771049EBDC0}" name="اجمالي المستحقات" dataDxfId="2">
      <calculatedColumnFormula>IF(OR(U2="قائم",U2="قائم و سدد مقابل انتفاع"),"-",
IF(U2="تم رد الشئ لأصله",P2+Q2,
IF(U2="ازالة جبرية",N2+O2+Q2,"")))</calculatedColumnFormula>
    </tableColumn>
    <tableColumn id="23" xr3:uid="{FB4ED3C9-1088-4EB3-A0A1-F560F8111918}" name="الموقف من السداد" dataDxfId="1"/>
    <tableColumn id="24" xr3:uid="{D1C371AE-BAF4-485B-B932-B3E5D807ACE6}" name="ما تم سداده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0328-DD41-4FFA-A89D-6C65AF0A2B68}">
  <sheetPr>
    <pageSetUpPr fitToPage="1"/>
  </sheetPr>
  <dimension ref="A1:AD944"/>
  <sheetViews>
    <sheetView rightToLeft="1" tabSelected="1" zoomScale="55" zoomScaleNormal="55" workbookViewId="0">
      <selection activeCell="AP103" sqref="AP103"/>
    </sheetView>
  </sheetViews>
  <sheetFormatPr defaultRowHeight="15" x14ac:dyDescent="0.25"/>
  <cols>
    <col min="1" max="1" width="7" style="1" customWidth="1"/>
    <col min="2" max="2" width="12.28515625" style="1" customWidth="1"/>
    <col min="3" max="3" width="12.85546875" style="1" customWidth="1"/>
    <col min="4" max="4" width="17.5703125" style="8" customWidth="1"/>
    <col min="5" max="5" width="18" style="13" customWidth="1"/>
    <col min="6" max="6" width="13.5703125" style="1" customWidth="1"/>
    <col min="7" max="7" width="32.7109375" style="1" customWidth="1"/>
    <col min="8" max="8" width="24.28515625" style="1" customWidth="1"/>
    <col min="9" max="9" width="16.85546875" style="1" customWidth="1"/>
    <col min="10" max="10" width="17.28515625" style="1" customWidth="1"/>
    <col min="11" max="12" width="18" style="1" customWidth="1"/>
    <col min="13" max="13" width="17.7109375" style="8" customWidth="1"/>
    <col min="14" max="14" width="19.85546875" style="1" customWidth="1"/>
    <col min="15" max="15" width="18.140625" style="10" customWidth="1"/>
    <col min="16" max="16" width="20.5703125" style="10" customWidth="1"/>
    <col min="17" max="17" width="25.7109375" style="10" customWidth="1"/>
    <col min="18" max="18" width="15.42578125" style="1" customWidth="1"/>
    <col min="19" max="19" width="17.28515625" style="1" customWidth="1"/>
    <col min="20" max="20" width="19.42578125" style="10" customWidth="1"/>
    <col min="21" max="21" width="19" style="1" customWidth="1"/>
    <col min="22" max="22" width="17.140625" style="10" customWidth="1"/>
    <col min="23" max="23" width="19.42578125" style="1" customWidth="1"/>
    <col min="24" max="24" width="28.28515625" style="1" customWidth="1"/>
    <col min="25" max="25" width="10.140625" style="1" customWidth="1"/>
    <col min="26" max="26" width="17.42578125" style="1" customWidth="1"/>
    <col min="27" max="27" width="25.42578125" style="1" customWidth="1"/>
    <col min="28" max="28" width="10.140625" style="1" customWidth="1"/>
    <col min="29" max="29" width="8.28515625" style="1" customWidth="1"/>
    <col min="30" max="30" width="13.28515625" style="1" customWidth="1"/>
    <col min="31" max="16384" width="9.140625" style="1"/>
  </cols>
  <sheetData>
    <row r="1" spans="1:30" ht="30" customHeight="1" thickBo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1" t="s">
        <v>11</v>
      </c>
      <c r="F1" s="20" t="s">
        <v>4</v>
      </c>
      <c r="G1" s="20" t="s">
        <v>5</v>
      </c>
      <c r="H1" s="20" t="s">
        <v>10</v>
      </c>
      <c r="I1" s="20" t="s">
        <v>6</v>
      </c>
      <c r="J1" s="20" t="s">
        <v>7</v>
      </c>
      <c r="K1" s="20" t="s">
        <v>23</v>
      </c>
      <c r="L1" s="20" t="s">
        <v>8</v>
      </c>
      <c r="M1" s="22" t="s">
        <v>22</v>
      </c>
      <c r="N1" s="20" t="s">
        <v>12</v>
      </c>
      <c r="O1" s="23" t="s">
        <v>13</v>
      </c>
      <c r="P1" s="24" t="s">
        <v>14</v>
      </c>
      <c r="Q1" s="24" t="s">
        <v>15</v>
      </c>
      <c r="R1" s="20" t="s">
        <v>16</v>
      </c>
      <c r="S1" s="20" t="s">
        <v>17</v>
      </c>
      <c r="T1" s="24" t="s">
        <v>18</v>
      </c>
      <c r="U1" s="20" t="s">
        <v>9</v>
      </c>
      <c r="V1" s="24" t="s">
        <v>19</v>
      </c>
      <c r="W1" s="20" t="s">
        <v>20</v>
      </c>
      <c r="X1" s="20" t="s">
        <v>21</v>
      </c>
    </row>
    <row r="2" spans="1:30" ht="30" customHeight="1" thickBot="1" x14ac:dyDescent="0.3">
      <c r="A2" s="30">
        <v>1</v>
      </c>
      <c r="B2" s="31">
        <v>81</v>
      </c>
      <c r="C2" s="31">
        <v>2014</v>
      </c>
      <c r="D2" s="32"/>
      <c r="E2" s="33"/>
      <c r="F2" s="31"/>
      <c r="G2" s="31" t="s">
        <v>32</v>
      </c>
      <c r="H2" s="31" t="s">
        <v>31</v>
      </c>
      <c r="I2" s="31" t="s">
        <v>33</v>
      </c>
      <c r="J2" s="31" t="s">
        <v>27</v>
      </c>
      <c r="K2" s="31">
        <f>6*7</f>
        <v>42</v>
      </c>
      <c r="L2" s="31" t="s">
        <v>88</v>
      </c>
      <c r="M2" s="32"/>
      <c r="N2" s="31"/>
      <c r="O2" s="34">
        <f>0.47*Table2[[#This Row],[قيمة المحضر]]</f>
        <v>0</v>
      </c>
      <c r="P2" s="34">
        <f>0.17*Table2[[#This Row],[قيمة المحضر]]</f>
        <v>0</v>
      </c>
      <c r="Q2" s="34">
        <f ca="1">Z2+AA2+AB2+AC2</f>
        <v>29946</v>
      </c>
      <c r="R2" s="31" t="s">
        <v>24</v>
      </c>
      <c r="S2" s="31"/>
      <c r="T2" s="34">
        <f t="shared" ref="T2:T42" ca="1" si="0">IF(R2="تم الحجز",Q2+O2+N2,"-")</f>
        <v>29946</v>
      </c>
      <c r="U2" s="31" t="s">
        <v>26</v>
      </c>
      <c r="V2" s="34">
        <f t="shared" ref="V2:V42" ca="1" si="1">IF(OR(U2="قائم",U2="قائم و سدد مقابل انتفاع"),"-",
IF(U2="تم رد الشئ لأصله",P2+Q2,
IF(U2="ازالة جبرية",N2+O2+Q2,"")))</f>
        <v>29946</v>
      </c>
      <c r="W2" s="35"/>
      <c r="X2" s="36"/>
      <c r="Y2" s="1">
        <f ca="1">IF(M2="",TODAY(),M2)</f>
        <v>46162</v>
      </c>
      <c r="Z2" s="1" cm="1">
        <f t="array" aca="1" ref="Z2" ca="1">IF(D2&gt;DATE(2015,5,16),0,
K2*
(
INT((MIN(Y2,DATE(2015,5,16))-D2)/365)
+
CEILING(MOD((MIN(Y2,DATE(2015,5,16))-D2)/365,1),0.25)
)
*
_xlfn.SWITCH(J2,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19404</v>
      </c>
      <c r="AA2" s="1" cm="1">
        <f t="array" aca="1" ref="AA2" ca="1">IF(Y2&lt;DATE(2015,5,17),0,
K2*
(
INT((MIN(Y2,DATE(2018,9,23))-MAX(D2,DATE(2015,5,17)))/365)
+
CEILING(MOD((MIN(Y2,DATE(2018,9,23))-MAX(D2,DATE(2015,5,17)))/365,1),0.25)
)
*
_xlfn.SWITCH(J2,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1176</v>
      </c>
      <c r="AB2" s="1" cm="1">
        <f t="array" aca="1" ref="AB2" ca="1">IF(Y2&lt;DATE(2018,9,24),0,
IF(J2="زراعة",
K2*
(
INT((MIN(Y2,DATE(2023,4,30))-MAX(D2,DATE(2018,9,24)))/365)
+
CEILING(MOD((MIN(Y2,DATE(2023,4,30))-MAX(D2,DATE(2018,9,24)))/365,1),0.25)
)
*1,
K2*
(
DATEDIF(MAX(D2,DATE(2018,9,24)),MIN(Y2,DATE(2023,4,30)),"m")+1
)
*
_xlfn.SWITCH(J2,
"موقف/تندة",IF(D2&lt;DATE(2019,11,30),6,30),
"تشوينات",IF(D2&lt;DATE(2019,11,30),4,20),
"مشاتل",IF(D2&lt;DATE(2019,11,30),2,10),
"كافيتيريا",IF(D2&lt;DATE(2019,11,30),30,150),
"نوادي",IF(D2&lt;DATE(2019,11,30),6,30),
"رسو مراكب",IF(D2&lt;DATE(2019,11,30),2,10),
"مباني",IF(D2&lt;DATE(2018,9,24),2,10),
"عشش",IF(D2&lt;DATE(2019,11,30),2,10),
"كشك (تجاري/صناعي)",IF(D2&lt;DATE(2019,11,30),10,50),
"ردم",20,
0)))</f>
        <v>4704</v>
      </c>
      <c r="AC2" s="1" cm="1">
        <f t="array" aca="1" ref="AC2" ca="1">IF(Y2&lt;DATE(2023,5,1),0,
IF(J2="زراعة",
K2*
(
INT((Y2-MAX(DATE(2023,5,1),D2))/365)
+
CEILING(MOD((Y2-MAX(DATE(2023,5,1),D2))/365,1),0.25)
)
*3,
IF(J2="ردم",
K2*20,
K2*
(
DATEDIF(MAX(DATE(2023,5,1),D2),Y2,"m")+1
)
*
_xlfn.SWITCH(J2,
"موقف/تندة",6,
"تشوينات",4,
"مشاتل",2,
"رسو مراكب",6,
"مباني",3,
"عشش",1,
"كشك (تجاري/صناعي)",20,
"مواسير صرف صحي (&lt;1م)",16,
"مواسير صرف صحي (&gt;1م)",18,
0))))</f>
        <v>4662</v>
      </c>
      <c r="AD2" s="1">
        <f ca="1">DATEDIF(MAX(D2,DATE(2018,9,24)),MIN(Y2,DATE(2023,4,30)),"m")</f>
        <v>55</v>
      </c>
    </row>
    <row r="3" spans="1:30" ht="30" customHeight="1" thickBot="1" x14ac:dyDescent="0.3">
      <c r="A3" s="30">
        <v>2</v>
      </c>
      <c r="B3" s="3">
        <v>82</v>
      </c>
      <c r="C3" s="3">
        <v>2014</v>
      </c>
      <c r="D3" s="2"/>
      <c r="E3" s="11"/>
      <c r="F3" s="3"/>
      <c r="G3" s="3" t="s">
        <v>32</v>
      </c>
      <c r="H3" s="3" t="s">
        <v>31</v>
      </c>
      <c r="I3" s="3" t="s">
        <v>33</v>
      </c>
      <c r="J3" s="3" t="s">
        <v>27</v>
      </c>
      <c r="K3" s="3">
        <f>16*15</f>
        <v>240</v>
      </c>
      <c r="L3" s="3" t="s">
        <v>88</v>
      </c>
      <c r="M3" s="2"/>
      <c r="N3" s="3"/>
      <c r="O3" s="9">
        <f>0.47*Table2[[#This Row],[قيمة المحضر]]</f>
        <v>0</v>
      </c>
      <c r="P3" s="9">
        <f>0.17*Table2[[#This Row],[قيمة المحضر]]</f>
        <v>0</v>
      </c>
      <c r="Q3" s="9">
        <f t="shared" ref="Q3:Q42" ca="1" si="2">Z3+AA3+AB3+AC3</f>
        <v>171120</v>
      </c>
      <c r="R3" s="3"/>
      <c r="S3" s="3"/>
      <c r="T3" s="9" t="str">
        <f t="shared" si="0"/>
        <v>-</v>
      </c>
      <c r="U3" s="3" t="s">
        <v>25</v>
      </c>
      <c r="V3" s="9" t="str">
        <f t="shared" si="1"/>
        <v>-</v>
      </c>
      <c r="W3" s="4"/>
      <c r="X3" s="38"/>
      <c r="Y3" s="1">
        <f t="shared" ref="Y3:Y66" ca="1" si="3">IF(M3="",TODAY(),M3)</f>
        <v>46162</v>
      </c>
      <c r="Z3" s="1" cm="1">
        <f t="array" aca="1" ref="Z3" ca="1">IF(D3&gt;DATE(2015,5,16),0,
K3*
(
INT((MIN(Y3,DATE(2015,5,16))-D3)/365)
+
CEILING(MOD((MIN(Y3,DATE(2015,5,16))-D3)/365,1),0.25)
)
*
_xlfn.SWITCH(J3,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110880</v>
      </c>
      <c r="AA3" s="1" cm="1">
        <f t="array" aca="1" ref="AA3" ca="1">IF(Y3&lt;DATE(2015,5,17),0,
K3*
(
INT((MIN(Y3,DATE(2018,9,23))-MAX(D3,DATE(2015,5,17)))/365)
+
CEILING(MOD((MIN(Y3,DATE(2018,9,23))-MAX(D3,DATE(2015,5,17)))/365,1),0.25)
)
*
_xlfn.SWITCH(J3,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6720</v>
      </c>
      <c r="AB3" s="1" cm="1">
        <f t="array" aca="1" ref="AB3" ca="1">IF(Y3&lt;DATE(2018,9,24),0,
IF(J3="زراعة",
K3*
(
INT((MIN(Y3,DATE(2023,4,30))-MAX(D3,DATE(2018,9,24)))/365)
+
CEILING(MOD((MIN(Y3,DATE(2023,4,30))-MAX(D3,DATE(2018,9,24)))/365,1),0.25)
)
*1,
K3*
(
DATEDIF(MAX(D3,DATE(2018,9,24)),MIN(Y3,DATE(2023,4,30)),"m")+1
)
*
_xlfn.SWITCH(J3,
"موقف/تندة",IF(D3&lt;DATE(2019,11,30),6,30),
"تشوينات",IF(D3&lt;DATE(2019,11,30),4,20),
"مشاتل",IF(D3&lt;DATE(2019,11,30),2,10),
"كافيتيريا",IF(D3&lt;DATE(2019,11,30),30,150),
"نوادي",IF(D3&lt;DATE(2019,11,30),6,30),
"رسو مراكب",IF(D3&lt;DATE(2019,11,30),2,10),
"مباني",IF(D3&lt;DATE(2018,9,24),2,10),
"عشش",IF(D3&lt;DATE(2019,11,30),2,10),
"كشك (تجاري/صناعي)",IF(D3&lt;DATE(2019,11,30),10,50),
"ردم",20,
0)))</f>
        <v>26880</v>
      </c>
      <c r="AC3" s="1" cm="1">
        <f t="array" aca="1" ref="AC3" ca="1">IF(Y3&lt;DATE(2023,5,1),0,
IF(J3="زراعة",
K3*
(
INT((Y3-MAX(DATE(2023,5,1),D3))/365)
+
CEILING(MOD((Y3-MAX(DATE(2023,5,1),D3))/365,1),0.25)
)
*3,
IF(J3="ردم",
K3*20,
K3*
(
DATEDIF(MAX(DATE(2023,5,1),D3),Y3,"m")+1
)
*
_xlfn.SWITCH(J3,
"موقف/تندة",6,
"تشوينات",4,
"مشاتل",2,
"رسو مراكب",6,
"مباني",3,
"عشش",1,
"كشك (تجاري/صناعي)",20,
"مواسير صرف صحي (&lt;1م)",16,
"مواسير صرف صحي (&gt;1م)",18,
0))))</f>
        <v>26640</v>
      </c>
      <c r="AD3" s="1">
        <f t="shared" ref="AD3:AD66" ca="1" si="4">DATEDIF(MAX(D3,DATE(2018,9,24)),MIN(Y3,DATE(2023,4,30)),"m")</f>
        <v>55</v>
      </c>
    </row>
    <row r="4" spans="1:30" ht="30" customHeight="1" thickBot="1" x14ac:dyDescent="0.3">
      <c r="A4" s="30">
        <v>3</v>
      </c>
      <c r="B4" s="3">
        <v>83</v>
      </c>
      <c r="C4" s="3">
        <v>2014</v>
      </c>
      <c r="D4" s="2"/>
      <c r="E4" s="11"/>
      <c r="F4" s="3"/>
      <c r="G4" s="3" t="s">
        <v>34</v>
      </c>
      <c r="H4" s="3" t="s">
        <v>31</v>
      </c>
      <c r="I4" s="3" t="s">
        <v>33</v>
      </c>
      <c r="J4" s="3" t="s">
        <v>27</v>
      </c>
      <c r="K4" s="3">
        <f>4*10</f>
        <v>40</v>
      </c>
      <c r="L4" s="3" t="s">
        <v>88</v>
      </c>
      <c r="M4" s="2"/>
      <c r="N4" s="3"/>
      <c r="O4" s="9">
        <f>0.47*Table2[[#This Row],[قيمة المحضر]]</f>
        <v>0</v>
      </c>
      <c r="P4" s="9">
        <f>0.17*Table2[[#This Row],[قيمة المحضر]]</f>
        <v>0</v>
      </c>
      <c r="Q4" s="9">
        <f t="shared" ca="1" si="2"/>
        <v>28520</v>
      </c>
      <c r="R4" s="3"/>
      <c r="S4" s="3"/>
      <c r="T4" s="9" t="str">
        <f t="shared" si="0"/>
        <v>-</v>
      </c>
      <c r="U4" s="3" t="s">
        <v>25</v>
      </c>
      <c r="V4" s="9" t="str">
        <f t="shared" si="1"/>
        <v>-</v>
      </c>
      <c r="W4" s="4"/>
      <c r="X4" s="38"/>
      <c r="Y4" s="1">
        <f t="shared" ca="1" si="3"/>
        <v>46162</v>
      </c>
      <c r="Z4" s="1" cm="1">
        <f t="array" aca="1" ref="Z4" ca="1">IF(D4&gt;DATE(2015,5,16),0,
K4*
(
INT((MIN(Y4,DATE(2015,5,16))-D4)/365)
+
CEILING(MOD((MIN(Y4,DATE(2015,5,16))-D4)/365,1),0.25)
)
*
_xlfn.SWITCH(J4,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18480</v>
      </c>
      <c r="AA4" s="1" cm="1">
        <f t="array" aca="1" ref="AA4" ca="1">IF(Y4&lt;DATE(2015,5,17),0,
K4*
(
INT((MIN(Y4,DATE(2018,9,23))-MAX(D4,DATE(2015,5,17)))/365)
+
CEILING(MOD((MIN(Y4,DATE(2018,9,23))-MAX(D4,DATE(2015,5,17)))/365,1),0.25)
)
*
_xlfn.SWITCH(J4,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1120</v>
      </c>
      <c r="AB4" s="1" cm="1">
        <f t="array" aca="1" ref="AB4" ca="1">IF(Y4&lt;DATE(2018,9,24),0,
IF(J4="زراعة",
K4*
(
INT((MIN(Y4,DATE(2023,4,30))-MAX(D4,DATE(2018,9,24)))/365)
+
CEILING(MOD((MIN(Y4,DATE(2023,4,30))-MAX(D4,DATE(2018,9,24)))/365,1),0.25)
)
*1,
K4*
(
DATEDIF(MAX(D4,DATE(2018,9,24)),MIN(Y4,DATE(2023,4,30)),"m")+1
)
*
_xlfn.SWITCH(J4,
"موقف/تندة",IF(D4&lt;DATE(2019,11,30),6,30),
"تشوينات",IF(D4&lt;DATE(2019,11,30),4,20),
"مشاتل",IF(D4&lt;DATE(2019,11,30),2,10),
"كافيتيريا",IF(D4&lt;DATE(2019,11,30),30,150),
"نوادي",IF(D4&lt;DATE(2019,11,30),6,30),
"رسو مراكب",IF(D4&lt;DATE(2019,11,30),2,10),
"مباني",IF(D4&lt;DATE(2018,9,24),2,10),
"عشش",IF(D4&lt;DATE(2019,11,30),2,10),
"كشك (تجاري/صناعي)",IF(D4&lt;DATE(2019,11,30),10,50),
"ردم",20,
0)))</f>
        <v>4480</v>
      </c>
      <c r="AC4" s="1" cm="1">
        <f t="array" aca="1" ref="AC4" ca="1">IF(Y4&lt;DATE(2023,5,1),0,
IF(J4="زراعة",
K4*
(
INT((Y4-MAX(DATE(2023,5,1),D4))/365)
+
CEILING(MOD((Y4-MAX(DATE(2023,5,1),D4))/365,1),0.25)
)
*3,
IF(J4="ردم",
K4*20,
K4*
(
DATEDIF(MAX(DATE(2023,5,1),D4),Y4,"m")+1
)
*
_xlfn.SWITCH(J4,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4" s="1">
        <f t="shared" ca="1" si="4"/>
        <v>55</v>
      </c>
    </row>
    <row r="5" spans="1:30" ht="30" customHeight="1" thickBot="1" x14ac:dyDescent="0.3">
      <c r="A5" s="30">
        <v>4</v>
      </c>
      <c r="B5" s="3">
        <v>84</v>
      </c>
      <c r="C5" s="3">
        <v>2014</v>
      </c>
      <c r="D5" s="2"/>
      <c r="E5" s="11"/>
      <c r="F5" s="3"/>
      <c r="G5" s="3" t="s">
        <v>35</v>
      </c>
      <c r="H5" s="3" t="s">
        <v>31</v>
      </c>
      <c r="I5" s="3" t="s">
        <v>33</v>
      </c>
      <c r="J5" s="3" t="s">
        <v>27</v>
      </c>
      <c r="K5" s="3">
        <f>4*7</f>
        <v>28</v>
      </c>
      <c r="L5" s="3" t="s">
        <v>88</v>
      </c>
      <c r="M5" s="2"/>
      <c r="N5" s="3"/>
      <c r="O5" s="9">
        <f>0.47*Table2[[#This Row],[قيمة المحضر]]</f>
        <v>0</v>
      </c>
      <c r="P5" s="9">
        <f>0.17*Table2[[#This Row],[قيمة المحضر]]</f>
        <v>0</v>
      </c>
      <c r="Q5" s="9">
        <f t="shared" ca="1" si="2"/>
        <v>19964</v>
      </c>
      <c r="R5" s="3"/>
      <c r="S5" s="3"/>
      <c r="T5" s="9" t="str">
        <f t="shared" si="0"/>
        <v>-</v>
      </c>
      <c r="U5" s="3" t="s">
        <v>25</v>
      </c>
      <c r="V5" s="9" t="str">
        <f t="shared" si="1"/>
        <v>-</v>
      </c>
      <c r="W5" s="4"/>
      <c r="X5" s="38"/>
      <c r="Y5" s="1">
        <f t="shared" ca="1" si="3"/>
        <v>46162</v>
      </c>
      <c r="Z5" s="1" cm="1">
        <f t="array" aca="1" ref="Z5" ca="1">IF(D5&gt;DATE(2015,5,16),0,
K5*
(
INT((MIN(Y5,DATE(2015,5,16))-D5)/365)
+
CEILING(MOD((MIN(Y5,DATE(2015,5,16))-D5)/365,1),0.25)
)
*
_xlfn.SWITCH(J5,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12936</v>
      </c>
      <c r="AA5" s="1" cm="1">
        <f t="array" aca="1" ref="AA5" ca="1">IF(Y5&lt;DATE(2015,5,17),0,
K5*
(
INT((MIN(Y5,DATE(2018,9,23))-MAX(D5,DATE(2015,5,17)))/365)
+
CEILING(MOD((MIN(Y5,DATE(2018,9,23))-MAX(D5,DATE(2015,5,17)))/365,1),0.25)
)
*
_xlfn.SWITCH(J5,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784</v>
      </c>
      <c r="AB5" s="1" cm="1">
        <f t="array" aca="1" ref="AB5" ca="1">IF(Y5&lt;DATE(2018,9,24),0,
IF(J5="زراعة",
K5*
(
INT((MIN(Y5,DATE(2023,4,30))-MAX(D5,DATE(2018,9,24)))/365)
+
CEILING(MOD((MIN(Y5,DATE(2023,4,30))-MAX(D5,DATE(2018,9,24)))/365,1),0.25)
)
*1,
K5*
(
DATEDIF(MAX(D5,DATE(2018,9,24)),MIN(Y5,DATE(2023,4,30)),"m")+1
)
*
_xlfn.SWITCH(J5,
"موقف/تندة",IF(D5&lt;DATE(2019,11,30),6,30),
"تشوينات",IF(D5&lt;DATE(2019,11,30),4,20),
"مشاتل",IF(D5&lt;DATE(2019,11,30),2,10),
"كافيتيريا",IF(D5&lt;DATE(2019,11,30),30,150),
"نوادي",IF(D5&lt;DATE(2019,11,30),6,30),
"رسو مراكب",IF(D5&lt;DATE(2019,11,30),2,10),
"مباني",IF(D5&lt;DATE(2018,9,24),2,10),
"عشش",IF(D5&lt;DATE(2019,11,30),2,10),
"كشك (تجاري/صناعي)",IF(D5&lt;DATE(2019,11,30),10,50),
"ردم",20,
0)))</f>
        <v>3136</v>
      </c>
      <c r="AC5" s="1" cm="1">
        <f t="array" aca="1" ref="AC5" ca="1">IF(Y5&lt;DATE(2023,5,1),0,
IF(J5="زراعة",
K5*
(
INT((Y5-MAX(DATE(2023,5,1),D5))/365)
+
CEILING(MOD((Y5-MAX(DATE(2023,5,1),D5))/365,1),0.25)
)
*3,
IF(J5="ردم",
K5*20,
K5*
(
DATEDIF(MAX(DATE(2023,5,1),D5),Y5,"m")+1
)
*
_xlfn.SWITCH(J5,
"موقف/تندة",6,
"تشوينات",4,
"مشاتل",2,
"رسو مراكب",6,
"مباني",3,
"عشش",1,
"كشك (تجاري/صناعي)",20,
"مواسير صرف صحي (&lt;1م)",16,
"مواسير صرف صحي (&gt;1م)",18,
0))))</f>
        <v>3108</v>
      </c>
      <c r="AD5" s="1">
        <f t="shared" ca="1" si="4"/>
        <v>55</v>
      </c>
    </row>
    <row r="6" spans="1:30" ht="30" customHeight="1" thickBot="1" x14ac:dyDescent="0.3">
      <c r="A6" s="30">
        <v>5</v>
      </c>
      <c r="B6" s="3">
        <v>85</v>
      </c>
      <c r="C6" s="3">
        <v>2014</v>
      </c>
      <c r="D6" s="2"/>
      <c r="E6" s="11"/>
      <c r="F6" s="3"/>
      <c r="G6" s="3" t="s">
        <v>36</v>
      </c>
      <c r="H6" s="3" t="s">
        <v>31</v>
      </c>
      <c r="I6" s="3" t="s">
        <v>33</v>
      </c>
      <c r="J6" s="3" t="s">
        <v>27</v>
      </c>
      <c r="K6" s="3">
        <f>5*11</f>
        <v>55</v>
      </c>
      <c r="L6" s="3" t="s">
        <v>88</v>
      </c>
      <c r="M6" s="2"/>
      <c r="N6" s="3"/>
      <c r="O6" s="9">
        <f>0.47*Table2[[#This Row],[قيمة المحضر]]</f>
        <v>0</v>
      </c>
      <c r="P6" s="9">
        <f>0.17*Table2[[#This Row],[قيمة المحضر]]</f>
        <v>0</v>
      </c>
      <c r="Q6" s="9">
        <f t="shared" ca="1" si="2"/>
        <v>39215</v>
      </c>
      <c r="R6" s="3"/>
      <c r="S6" s="3"/>
      <c r="T6" s="9" t="str">
        <f t="shared" si="0"/>
        <v>-</v>
      </c>
      <c r="U6" s="3" t="s">
        <v>25</v>
      </c>
      <c r="V6" s="9" t="str">
        <f t="shared" si="1"/>
        <v>-</v>
      </c>
      <c r="W6" s="4"/>
      <c r="X6" s="38"/>
      <c r="Y6" s="1">
        <f t="shared" ca="1" si="3"/>
        <v>46162</v>
      </c>
      <c r="Z6" s="1" cm="1">
        <f t="array" aca="1" ref="Z6" ca="1">IF(D6&gt;DATE(2015,5,16),0,
K6*
(
INT((MIN(Y6,DATE(2015,5,16))-D6)/365)
+
CEILING(MOD((MIN(Y6,DATE(2015,5,16))-D6)/365,1),0.25)
)
*
_xlfn.SWITCH(J6,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25410</v>
      </c>
      <c r="AA6" s="1" cm="1">
        <f t="array" aca="1" ref="AA6" ca="1">IF(Y6&lt;DATE(2015,5,17),0,
K6*
(
INT((MIN(Y6,DATE(2018,9,23))-MAX(D6,DATE(2015,5,17)))/365)
+
CEILING(MOD((MIN(Y6,DATE(2018,9,23))-MAX(D6,DATE(2015,5,17)))/365,1),0.25)
)
*
_xlfn.SWITCH(J6,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1540</v>
      </c>
      <c r="AB6" s="1" cm="1">
        <f t="array" aca="1" ref="AB6" ca="1">IF(Y6&lt;DATE(2018,9,24),0,
IF(J6="زراعة",
K6*
(
INT((MIN(Y6,DATE(2023,4,30))-MAX(D6,DATE(2018,9,24)))/365)
+
CEILING(MOD((MIN(Y6,DATE(2023,4,30))-MAX(D6,DATE(2018,9,24)))/365,1),0.25)
)
*1,
K6*
(
DATEDIF(MAX(D6,DATE(2018,9,24)),MIN(Y6,DATE(2023,4,30)),"m")+1
)
*
_xlfn.SWITCH(J6,
"موقف/تندة",IF(D6&lt;DATE(2019,11,30),6,30),
"تشوينات",IF(D6&lt;DATE(2019,11,30),4,20),
"مشاتل",IF(D6&lt;DATE(2019,11,30),2,10),
"كافيتيريا",IF(D6&lt;DATE(2019,11,30),30,150),
"نوادي",IF(D6&lt;DATE(2019,11,30),6,30),
"رسو مراكب",IF(D6&lt;DATE(2019,11,30),2,10),
"مباني",IF(D6&lt;DATE(2018,9,24),2,10),
"عشش",IF(D6&lt;DATE(2019,11,30),2,10),
"كشك (تجاري/صناعي)",IF(D6&lt;DATE(2019,11,30),10,50),
"ردم",20,
0)))</f>
        <v>6160</v>
      </c>
      <c r="AC6" s="1" cm="1">
        <f t="array" aca="1" ref="AC6" ca="1">IF(Y6&lt;DATE(2023,5,1),0,
IF(J6="زراعة",
K6*
(
INT((Y6-MAX(DATE(2023,5,1),D6))/365)
+
CEILING(MOD((Y6-MAX(DATE(2023,5,1),D6))/365,1),0.25)
)
*3,
IF(J6="ردم",
K6*20,
K6*
(
DATEDIF(MAX(DATE(2023,5,1),D6),Y6,"m")+1
)
*
_xlfn.SWITCH(J6,
"موقف/تندة",6,
"تشوينات",4,
"مشاتل",2,
"رسو مراكب",6,
"مباني",3,
"عشش",1,
"كشك (تجاري/صناعي)",20,
"مواسير صرف صحي (&lt;1م)",16,
"مواسير صرف صحي (&gt;1م)",18,
0))))</f>
        <v>6105</v>
      </c>
      <c r="AD6" s="1">
        <f t="shared" ca="1" si="4"/>
        <v>55</v>
      </c>
    </row>
    <row r="7" spans="1:30" ht="30" customHeight="1" thickBot="1" x14ac:dyDescent="0.3">
      <c r="A7" s="30">
        <v>6</v>
      </c>
      <c r="B7" s="3">
        <v>86</v>
      </c>
      <c r="C7" s="3">
        <v>2014</v>
      </c>
      <c r="D7" s="2"/>
      <c r="E7" s="11"/>
      <c r="F7" s="3"/>
      <c r="G7" s="3" t="s">
        <v>37</v>
      </c>
      <c r="H7" s="3" t="s">
        <v>31</v>
      </c>
      <c r="I7" s="3" t="s">
        <v>33</v>
      </c>
      <c r="J7" s="3" t="s">
        <v>27</v>
      </c>
      <c r="K7" s="3">
        <f>13*3</f>
        <v>39</v>
      </c>
      <c r="L7" s="3" t="s">
        <v>88</v>
      </c>
      <c r="M7" s="2"/>
      <c r="N7" s="3"/>
      <c r="O7" s="9">
        <f>0.47*Table2[[#This Row],[قيمة المحضر]]</f>
        <v>0</v>
      </c>
      <c r="P7" s="9">
        <f>0.17*Table2[[#This Row],[قيمة المحضر]]</f>
        <v>0</v>
      </c>
      <c r="Q7" s="9">
        <f t="shared" ca="1" si="2"/>
        <v>27807</v>
      </c>
      <c r="R7" s="3"/>
      <c r="S7" s="3"/>
      <c r="T7" s="9" t="str">
        <f t="shared" si="0"/>
        <v>-</v>
      </c>
      <c r="U7" s="3" t="s">
        <v>30</v>
      </c>
      <c r="V7" s="9">
        <f t="shared" ca="1" si="1"/>
        <v>27807</v>
      </c>
      <c r="W7" s="4"/>
      <c r="X7" s="38"/>
      <c r="Y7" s="1">
        <f t="shared" ca="1" si="3"/>
        <v>46162</v>
      </c>
      <c r="Z7" s="1" cm="1">
        <f t="array" aca="1" ref="Z7" ca="1">IF(D7&gt;DATE(2015,5,16),0,
K7*
(
INT((MIN(Y7,DATE(2015,5,16))-D7)/365)
+
CEILING(MOD((MIN(Y7,DATE(2015,5,16))-D7)/365,1),0.25)
)
*
_xlfn.SWITCH(J7,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18018</v>
      </c>
      <c r="AA7" s="1" cm="1">
        <f t="array" aca="1" ref="AA7" ca="1">IF(Y7&lt;DATE(2015,5,17),0,
K7*
(
INT((MIN(Y7,DATE(2018,9,23))-MAX(D7,DATE(2015,5,17)))/365)
+
CEILING(MOD((MIN(Y7,DATE(2018,9,23))-MAX(D7,DATE(2015,5,17)))/365,1),0.25)
)
*
_xlfn.SWITCH(J7,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1092</v>
      </c>
      <c r="AB7" s="1" cm="1">
        <f t="array" aca="1" ref="AB7" ca="1">IF(Y7&lt;DATE(2018,9,24),0,
IF(J7="زراعة",
K7*
(
INT((MIN(Y7,DATE(2023,4,30))-MAX(D7,DATE(2018,9,24)))/365)
+
CEILING(MOD((MIN(Y7,DATE(2023,4,30))-MAX(D7,DATE(2018,9,24)))/365,1),0.25)
)
*1,
K7*
(
DATEDIF(MAX(D7,DATE(2018,9,24)),MIN(Y7,DATE(2023,4,30)),"m")+1
)
*
_xlfn.SWITCH(J7,
"موقف/تندة",IF(D7&lt;DATE(2019,11,30),6,30),
"تشوينات",IF(D7&lt;DATE(2019,11,30),4,20),
"مشاتل",IF(D7&lt;DATE(2019,11,30),2,10),
"كافيتيريا",IF(D7&lt;DATE(2019,11,30),30,150),
"نوادي",IF(D7&lt;DATE(2019,11,30),6,30),
"رسو مراكب",IF(D7&lt;DATE(2019,11,30),2,10),
"مباني",IF(D7&lt;DATE(2018,9,24),2,10),
"عشش",IF(D7&lt;DATE(2019,11,30),2,10),
"كشك (تجاري/صناعي)",IF(D7&lt;DATE(2019,11,30),10,50),
"ردم",20,
0)))</f>
        <v>4368</v>
      </c>
      <c r="AC7" s="1" cm="1">
        <f t="array" aca="1" ref="AC7" ca="1">IF(Y7&lt;DATE(2023,5,1),0,
IF(J7="زراعة",
K7*
(
INT((Y7-MAX(DATE(2023,5,1),D7))/365)
+
CEILING(MOD((Y7-MAX(DATE(2023,5,1),D7))/365,1),0.25)
)
*3,
IF(J7="ردم",
K7*20,
K7*
(
DATEDIF(MAX(DATE(2023,5,1),D7),Y7,"m")+1
)
*
_xlfn.SWITCH(J7,
"موقف/تندة",6,
"تشوينات",4,
"مشاتل",2,
"رسو مراكب",6,
"مباني",3,
"عشش",1,
"كشك (تجاري/صناعي)",20,
"مواسير صرف صحي (&lt;1م)",16,
"مواسير صرف صحي (&gt;1م)",18,
0))))</f>
        <v>4329</v>
      </c>
      <c r="AD7" s="1">
        <f t="shared" ca="1" si="4"/>
        <v>55</v>
      </c>
    </row>
    <row r="8" spans="1:30" ht="30" customHeight="1" thickBot="1" x14ac:dyDescent="0.3">
      <c r="A8" s="30">
        <v>7</v>
      </c>
      <c r="B8" s="3">
        <v>87</v>
      </c>
      <c r="C8" s="3">
        <v>2014</v>
      </c>
      <c r="D8" s="2"/>
      <c r="E8" s="11"/>
      <c r="F8" s="3"/>
      <c r="G8" s="3" t="s">
        <v>38</v>
      </c>
      <c r="H8" s="3" t="s">
        <v>31</v>
      </c>
      <c r="I8" s="3" t="s">
        <v>33</v>
      </c>
      <c r="J8" s="3" t="s">
        <v>27</v>
      </c>
      <c r="K8" s="3">
        <f>13*10</f>
        <v>130</v>
      </c>
      <c r="L8" s="3" t="s">
        <v>88</v>
      </c>
      <c r="M8" s="2"/>
      <c r="N8" s="3"/>
      <c r="O8" s="9">
        <f>0.47*Table2[[#This Row],[قيمة المحضر]]</f>
        <v>0</v>
      </c>
      <c r="P8" s="9">
        <f>0.17*Table2[[#This Row],[قيمة المحضر]]</f>
        <v>0</v>
      </c>
      <c r="Q8" s="9">
        <f t="shared" ca="1" si="2"/>
        <v>92690</v>
      </c>
      <c r="R8" s="3"/>
      <c r="S8" s="3"/>
      <c r="T8" s="9" t="str">
        <f t="shared" si="0"/>
        <v>-</v>
      </c>
      <c r="U8" s="3" t="s">
        <v>25</v>
      </c>
      <c r="V8" s="9" t="str">
        <f t="shared" si="1"/>
        <v>-</v>
      </c>
      <c r="W8" s="4"/>
      <c r="X8" s="38"/>
      <c r="Y8" s="1">
        <f t="shared" ca="1" si="3"/>
        <v>46162</v>
      </c>
      <c r="Z8" s="1" cm="1">
        <f t="array" aca="1" ref="Z8" ca="1">IF(D8&gt;DATE(2015,5,16),0,
K8*
(
INT((MIN(Y8,DATE(2015,5,16))-D8)/365)
+
CEILING(MOD((MIN(Y8,DATE(2015,5,16))-D8)/365,1),0.25)
)
*
_xlfn.SWITCH(J8,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60060</v>
      </c>
      <c r="AA8" s="1" cm="1">
        <f t="array" aca="1" ref="AA8" ca="1">IF(Y8&lt;DATE(2015,5,17),0,
K8*
(
INT((MIN(Y8,DATE(2018,9,23))-MAX(D8,DATE(2015,5,17)))/365)
+
CEILING(MOD((MIN(Y8,DATE(2018,9,23))-MAX(D8,DATE(2015,5,17)))/365,1),0.25)
)
*
_xlfn.SWITCH(J8,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3640</v>
      </c>
      <c r="AB8" s="1" cm="1">
        <f t="array" aca="1" ref="AB8" ca="1">IF(Y8&lt;DATE(2018,9,24),0,
IF(J8="زراعة",
K8*
(
INT((MIN(Y8,DATE(2023,4,30))-MAX(D8,DATE(2018,9,24)))/365)
+
CEILING(MOD((MIN(Y8,DATE(2023,4,30))-MAX(D8,DATE(2018,9,24)))/365,1),0.25)
)
*1,
K8*
(
DATEDIF(MAX(D8,DATE(2018,9,24)),MIN(Y8,DATE(2023,4,30)),"m")+1
)
*
_xlfn.SWITCH(J8,
"موقف/تندة",IF(D8&lt;DATE(2019,11,30),6,30),
"تشوينات",IF(D8&lt;DATE(2019,11,30),4,20),
"مشاتل",IF(D8&lt;DATE(2019,11,30),2,10),
"كافيتيريا",IF(D8&lt;DATE(2019,11,30),30,150),
"نوادي",IF(D8&lt;DATE(2019,11,30),6,30),
"رسو مراكب",IF(D8&lt;DATE(2019,11,30),2,10),
"مباني",IF(D8&lt;DATE(2018,9,24),2,10),
"عشش",IF(D8&lt;DATE(2019,11,30),2,10),
"كشك (تجاري/صناعي)",IF(D8&lt;DATE(2019,11,30),10,50),
"ردم",20,
0)))</f>
        <v>14560</v>
      </c>
      <c r="AC8" s="1" cm="1">
        <f t="array" aca="1" ref="AC8" ca="1">IF(Y8&lt;DATE(2023,5,1),0,
IF(J8="زراعة",
K8*
(
INT((Y8-MAX(DATE(2023,5,1),D8))/365)
+
CEILING(MOD((Y8-MAX(DATE(2023,5,1),D8))/365,1),0.25)
)
*3,
IF(J8="ردم",
K8*20,
K8*
(
DATEDIF(MAX(DATE(2023,5,1),D8),Y8,"m")+1
)
*
_xlfn.SWITCH(J8,
"موقف/تندة",6,
"تشوينات",4,
"مشاتل",2,
"رسو مراكب",6,
"مباني",3,
"عشش",1,
"كشك (تجاري/صناعي)",20,
"مواسير صرف صحي (&lt;1م)",16,
"مواسير صرف صحي (&gt;1م)",18,
0))))</f>
        <v>14430</v>
      </c>
      <c r="AD8" s="1">
        <f t="shared" ca="1" si="4"/>
        <v>55</v>
      </c>
    </row>
    <row r="9" spans="1:30" ht="30" customHeight="1" thickBot="1" x14ac:dyDescent="0.3">
      <c r="A9" s="30">
        <v>8</v>
      </c>
      <c r="B9" s="3">
        <v>88</v>
      </c>
      <c r="C9" s="3">
        <v>2014</v>
      </c>
      <c r="D9" s="2"/>
      <c r="E9" s="11"/>
      <c r="F9" s="3"/>
      <c r="G9" s="3" t="s">
        <v>39</v>
      </c>
      <c r="H9" s="3" t="s">
        <v>31</v>
      </c>
      <c r="I9" s="3" t="s">
        <v>33</v>
      </c>
      <c r="J9" s="3" t="s">
        <v>27</v>
      </c>
      <c r="K9" s="3">
        <f>5*10</f>
        <v>50</v>
      </c>
      <c r="L9" s="3" t="s">
        <v>88</v>
      </c>
      <c r="M9" s="2"/>
      <c r="N9" s="3"/>
      <c r="O9" s="9">
        <f>0.47*Table2[[#This Row],[قيمة المحضر]]</f>
        <v>0</v>
      </c>
      <c r="P9" s="9">
        <f>0.17*Table2[[#This Row],[قيمة المحضر]]</f>
        <v>0</v>
      </c>
      <c r="Q9" s="9">
        <f t="shared" ca="1" si="2"/>
        <v>35650</v>
      </c>
      <c r="R9" s="3"/>
      <c r="S9" s="3"/>
      <c r="T9" s="9" t="str">
        <f t="shared" si="0"/>
        <v>-</v>
      </c>
      <c r="U9" s="3" t="s">
        <v>25</v>
      </c>
      <c r="V9" s="9" t="str">
        <f t="shared" si="1"/>
        <v>-</v>
      </c>
      <c r="W9" s="4"/>
      <c r="X9" s="38"/>
      <c r="Y9" s="1">
        <f t="shared" ca="1" si="3"/>
        <v>46162</v>
      </c>
      <c r="Z9" s="1" cm="1">
        <f t="array" aca="1" ref="Z9" ca="1">IF(D9&gt;DATE(2015,5,16),0,
K9*
(
INT((MIN(Y9,DATE(2015,5,16))-D9)/365)
+
CEILING(MOD((MIN(Y9,DATE(2015,5,16))-D9)/365,1),0.25)
)
*
_xlfn.SWITCH(J9,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23100</v>
      </c>
      <c r="AA9" s="1" cm="1">
        <f t="array" aca="1" ref="AA9" ca="1">IF(Y9&lt;DATE(2015,5,17),0,
K9*
(
INT((MIN(Y9,DATE(2018,9,23))-MAX(D9,DATE(2015,5,17)))/365)
+
CEILING(MOD((MIN(Y9,DATE(2018,9,23))-MAX(D9,DATE(2015,5,17)))/365,1),0.25)
)
*
_xlfn.SWITCH(J9,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1400</v>
      </c>
      <c r="AB9" s="1" cm="1">
        <f t="array" aca="1" ref="AB9" ca="1">IF(Y9&lt;DATE(2018,9,24),0,
IF(J9="زراعة",
K9*
(
INT((MIN(Y9,DATE(2023,4,30))-MAX(D9,DATE(2018,9,24)))/365)
+
CEILING(MOD((MIN(Y9,DATE(2023,4,30))-MAX(D9,DATE(2018,9,24)))/365,1),0.25)
)
*1,
K9*
(
DATEDIF(MAX(D9,DATE(2018,9,24)),MIN(Y9,DATE(2023,4,30)),"m")+1
)
*
_xlfn.SWITCH(J9,
"موقف/تندة",IF(D9&lt;DATE(2019,11,30),6,30),
"تشوينات",IF(D9&lt;DATE(2019,11,30),4,20),
"مشاتل",IF(D9&lt;DATE(2019,11,30),2,10),
"كافيتيريا",IF(D9&lt;DATE(2019,11,30),30,150),
"نوادي",IF(D9&lt;DATE(2019,11,30),6,30),
"رسو مراكب",IF(D9&lt;DATE(2019,11,30),2,10),
"مباني",IF(D9&lt;DATE(2018,9,24),2,10),
"عشش",IF(D9&lt;DATE(2019,11,30),2,10),
"كشك (تجاري/صناعي)",IF(D9&lt;DATE(2019,11,30),10,50),
"ردم",20,
0)))</f>
        <v>5600</v>
      </c>
      <c r="AC9" s="1" cm="1">
        <f t="array" aca="1" ref="AC9" ca="1">IF(Y9&lt;DATE(2023,5,1),0,
IF(J9="زراعة",
K9*
(
INT((Y9-MAX(DATE(2023,5,1),D9))/365)
+
CEILING(MOD((Y9-MAX(DATE(2023,5,1),D9))/365,1),0.25)
)
*3,
IF(J9="ردم",
K9*20,
K9*
(
DATEDIF(MAX(DATE(2023,5,1),D9),Y9,"m")+1
)
*
_xlfn.SWITCH(J9,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9" s="1">
        <f t="shared" ca="1" si="4"/>
        <v>55</v>
      </c>
    </row>
    <row r="10" spans="1:30" ht="30" customHeight="1" thickBot="1" x14ac:dyDescent="0.3">
      <c r="A10" s="30">
        <v>9</v>
      </c>
      <c r="B10" s="3">
        <v>89</v>
      </c>
      <c r="C10" s="3">
        <v>2014</v>
      </c>
      <c r="D10" s="2"/>
      <c r="E10" s="11"/>
      <c r="F10" s="3"/>
      <c r="G10" s="3" t="s">
        <v>40</v>
      </c>
      <c r="H10" s="3" t="s">
        <v>31</v>
      </c>
      <c r="I10" s="3" t="s">
        <v>33</v>
      </c>
      <c r="J10" s="3" t="s">
        <v>28</v>
      </c>
      <c r="K10" s="3">
        <f>7*10</f>
        <v>70</v>
      </c>
      <c r="L10" s="3" t="s">
        <v>88</v>
      </c>
      <c r="M10" s="2"/>
      <c r="N10" s="3"/>
      <c r="O10" s="9">
        <f>0.47*Table2[[#This Row],[قيمة المحضر]]</f>
        <v>0</v>
      </c>
      <c r="P10" s="9">
        <f>0.17*Table2[[#This Row],[قيمة المحضر]]</f>
        <v>0</v>
      </c>
      <c r="Q10" s="9">
        <f t="shared" ca="1" si="2"/>
        <v>19495</v>
      </c>
      <c r="R10" s="3"/>
      <c r="S10" s="3"/>
      <c r="T10" s="9" t="str">
        <f t="shared" si="0"/>
        <v>-</v>
      </c>
      <c r="U10" s="3" t="s">
        <v>25</v>
      </c>
      <c r="V10" s="9" t="str">
        <f t="shared" si="1"/>
        <v>-</v>
      </c>
      <c r="W10" s="4"/>
      <c r="X10" s="38"/>
      <c r="Y10" s="1">
        <f t="shared" ca="1" si="3"/>
        <v>46162</v>
      </c>
      <c r="Z10" s="1" cm="1">
        <f t="array" aca="1" ref="Z10" ca="1">IF(D10&gt;DATE(2015,5,16),0,
K10*
(
INT((MIN(Y10,DATE(2015,5,16))-D10)/365)
+
CEILING(MOD((MIN(Y10,DATE(2015,5,16))-D10)/365,1),0.25)
)
*
_xlfn.SWITCH(J10,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8085</v>
      </c>
      <c r="AA10" s="1" cm="1">
        <f t="array" aca="1" ref="AA10" ca="1">IF(Y10&lt;DATE(2015,5,17),0,
K10*
(
INT((MIN(Y10,DATE(2018,9,23))-MAX(D10,DATE(2015,5,17)))/365)
+
CEILING(MOD((MIN(Y10,DATE(2018,9,23))-MAX(D10,DATE(2015,5,17)))/365,1),0.25)
)
*
_xlfn.SWITCH(J10,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980</v>
      </c>
      <c r="AB10" s="1" cm="1">
        <f t="array" aca="1" ref="AB10" ca="1">IF(Y10&lt;DATE(2018,9,24),0,
IF(J10="زراعة",
K10*
(
INT((MIN(Y10,DATE(2023,4,30))-MAX(D10,DATE(2018,9,24)))/365)
+
CEILING(MOD((MIN(Y10,DATE(2023,4,30))-MAX(D10,DATE(2018,9,24)))/365,1),0.25)
)
*1,
K10*
(
DATEDIF(MAX(D10,DATE(2018,9,24)),MIN(Y10,DATE(2023,4,30)),"m")+1
)
*
_xlfn.SWITCH(J10,
"موقف/تندة",IF(D10&lt;DATE(2019,11,30),6,30),
"تشوينات",IF(D10&lt;DATE(2019,11,30),4,20),
"مشاتل",IF(D10&lt;DATE(2019,11,30),2,10),
"كافيتيريا",IF(D10&lt;DATE(2019,11,30),30,150),
"نوادي",IF(D10&lt;DATE(2019,11,30),6,30),
"رسو مراكب",IF(D10&lt;DATE(2019,11,30),2,10),
"مباني",IF(D10&lt;DATE(2018,9,24),2,10),
"عشش",IF(D10&lt;DATE(2019,11,30),2,10),
"كشك (تجاري/صناعي)",IF(D10&lt;DATE(2019,11,30),10,50),
"ردم",20,
0)))</f>
        <v>7840</v>
      </c>
      <c r="AC10" s="1" cm="1">
        <f t="array" aca="1" ref="AC10" ca="1">IF(Y10&lt;DATE(2023,5,1),0,
IF(J10="زراعة",
K10*
(
INT((Y10-MAX(DATE(2023,5,1),D10))/365)
+
CEILING(MOD((Y10-MAX(DATE(2023,5,1),D10))/365,1),0.25)
)
*3,
IF(J10="ردم",
K10*20,
K10*
(
DATEDIF(MAX(DATE(2023,5,1),D10),Y10,"m")+1
)
*
_xlfn.SWITCH(J10,
"موقف/تندة",6,
"تشوينات",4,
"مشاتل",2,
"رسو مراكب",6,
"مباني",3,
"عشش",1,
"كشك (تجاري/صناعي)",20,
"مواسير صرف صحي (&lt;1م)",16,
"مواسير صرف صحي (&gt;1م)",18,
0))))</f>
        <v>2590</v>
      </c>
      <c r="AD10" s="1">
        <f t="shared" ca="1" si="4"/>
        <v>55</v>
      </c>
    </row>
    <row r="11" spans="1:30" ht="30" customHeight="1" thickBot="1" x14ac:dyDescent="0.3">
      <c r="A11" s="30">
        <v>10</v>
      </c>
      <c r="B11" s="3">
        <v>90</v>
      </c>
      <c r="C11" s="3">
        <v>2014</v>
      </c>
      <c r="D11" s="2">
        <v>41863</v>
      </c>
      <c r="E11" s="11"/>
      <c r="F11" s="3"/>
      <c r="G11" s="3" t="s">
        <v>41</v>
      </c>
      <c r="H11" s="3" t="s">
        <v>31</v>
      </c>
      <c r="I11" s="3" t="s">
        <v>103</v>
      </c>
      <c r="J11" s="3" t="s">
        <v>27</v>
      </c>
      <c r="K11" s="3">
        <f>8*8</f>
        <v>64</v>
      </c>
      <c r="L11" s="3" t="s">
        <v>89</v>
      </c>
      <c r="M11" s="2"/>
      <c r="N11" s="3"/>
      <c r="O11" s="9">
        <f>0.47*Table2[[#This Row],[قيمة المحضر]]</f>
        <v>0</v>
      </c>
      <c r="P11" s="9">
        <f>0.17*Table2[[#This Row],[قيمة المحضر]]</f>
        <v>0</v>
      </c>
      <c r="Q11" s="9">
        <f t="shared" ca="1" si="2"/>
        <v>16320</v>
      </c>
      <c r="R11" s="3"/>
      <c r="S11" s="3"/>
      <c r="T11" s="9" t="str">
        <f t="shared" si="0"/>
        <v>-</v>
      </c>
      <c r="U11" s="3" t="s">
        <v>25</v>
      </c>
      <c r="V11" s="9" t="str">
        <f t="shared" si="1"/>
        <v>-</v>
      </c>
      <c r="W11" s="4"/>
      <c r="X11" s="38"/>
      <c r="Y11" s="1">
        <f t="shared" ca="1" si="3"/>
        <v>46162</v>
      </c>
      <c r="Z11" s="1" cm="1">
        <f t="array" aca="1" ref="Z11" ca="1">IF(D11&gt;DATE(2015,5,16),0,
K11*
(
INT((MIN(Y11,DATE(2015,5,16))-D11)/365)
+
CEILING(MOD((MIN(Y11,DATE(2015,5,16))-D11)/365,1),0.25)
)
*
_xlfn.SWITCH(J11,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256</v>
      </c>
      <c r="AA11" s="1" cm="1">
        <f t="array" aca="1" ref="AA11" ca="1">IF(Y11&lt;DATE(2015,5,17),0,
K11*
(
INT((MIN(Y11,DATE(2018,9,23))-MAX(D11,DATE(2015,5,17)))/365)
+
CEILING(MOD((MIN(Y11,DATE(2018,9,23))-MAX(D11,DATE(2015,5,17)))/365,1),0.25)
)
*
_xlfn.SWITCH(J11,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1792</v>
      </c>
      <c r="AB11" s="1" cm="1">
        <f t="array" aca="1" ref="AB11" ca="1">IF(Y11&lt;DATE(2018,9,24),0,
IF(J11="زراعة",
K11*
(
INT((MIN(Y11,DATE(2023,4,30))-MAX(D11,DATE(2018,9,24)))/365)
+
CEILING(MOD((MIN(Y11,DATE(2023,4,30))-MAX(D11,DATE(2018,9,24)))/365,1),0.25)
)
*1,
K11*
(
DATEDIF(MAX(D11,DATE(2018,9,24)),MIN(Y11,DATE(2023,4,30)),"m")+1
)
*
_xlfn.SWITCH(J11,
"موقف/تندة",IF(D11&lt;DATE(2019,11,30),6,30),
"تشوينات",IF(D11&lt;DATE(2019,11,30),4,20),
"مشاتل",IF(D11&lt;DATE(2019,11,30),2,10),
"كافيتيريا",IF(D11&lt;DATE(2019,11,30),30,150),
"نوادي",IF(D11&lt;DATE(2019,11,30),6,30),
"رسو مراكب",IF(D11&lt;DATE(2019,11,30),2,10),
"مباني",IF(D11&lt;DATE(2018,9,24),2,10),
"عشش",IF(D11&lt;DATE(2019,11,30),2,10),
"كشك (تجاري/صناعي)",IF(D11&lt;DATE(2019,11,30),10,50),
"ردم",20,
0)))</f>
        <v>7168</v>
      </c>
      <c r="AC11" s="1" cm="1">
        <f t="array" aca="1" ref="AC11" ca="1">IF(Y11&lt;DATE(2023,5,1),0,
IF(J11="زراعة",
K11*
(
INT((Y11-MAX(DATE(2023,5,1),D11))/365)
+
CEILING(MOD((Y11-MAX(DATE(2023,5,1),D11))/365,1),0.25)
)
*3,
IF(J11="ردم",
K11*20,
K11*
(
DATEDIF(MAX(DATE(2023,5,1),D11),Y11,"m")+1
)
*
_xlfn.SWITCH(J11,
"موقف/تندة",6,
"تشوينات",4,
"مشاتل",2,
"رسو مراكب",6,
"مباني",3,
"عشش",1,
"كشك (تجاري/صناعي)",20,
"مواسير صرف صحي (&lt;1م)",16,
"مواسير صرف صحي (&gt;1م)",18,
0))))</f>
        <v>7104</v>
      </c>
      <c r="AD11" s="1">
        <f t="shared" ca="1" si="4"/>
        <v>55</v>
      </c>
    </row>
    <row r="12" spans="1:30" ht="30" customHeight="1" thickBot="1" x14ac:dyDescent="0.3">
      <c r="A12" s="30">
        <v>11</v>
      </c>
      <c r="B12" s="3">
        <v>91</v>
      </c>
      <c r="C12" s="3">
        <v>2014</v>
      </c>
      <c r="D12" s="2">
        <v>41863</v>
      </c>
      <c r="E12" s="11"/>
      <c r="F12" s="3"/>
      <c r="G12" s="3" t="s">
        <v>42</v>
      </c>
      <c r="H12" s="3" t="s">
        <v>31</v>
      </c>
      <c r="I12" s="3" t="s">
        <v>103</v>
      </c>
      <c r="J12" s="3" t="s">
        <v>27</v>
      </c>
      <c r="K12" s="3">
        <f>7*5</f>
        <v>35</v>
      </c>
      <c r="L12" s="3" t="s">
        <v>89</v>
      </c>
      <c r="M12" s="2"/>
      <c r="N12" s="3"/>
      <c r="O12" s="9">
        <f>0.47*Table2[[#This Row],[قيمة المحضر]]</f>
        <v>0</v>
      </c>
      <c r="P12" s="9">
        <f>0.17*Table2[[#This Row],[قيمة المحضر]]</f>
        <v>0</v>
      </c>
      <c r="Q12" s="9">
        <f t="shared" ca="1" si="2"/>
        <v>8925</v>
      </c>
      <c r="R12" s="3"/>
      <c r="S12" s="3"/>
      <c r="T12" s="9" t="str">
        <f t="shared" si="0"/>
        <v>-</v>
      </c>
      <c r="U12" s="3" t="s">
        <v>25</v>
      </c>
      <c r="V12" s="9" t="str">
        <f t="shared" si="1"/>
        <v>-</v>
      </c>
      <c r="W12" s="4"/>
      <c r="X12" s="38"/>
      <c r="Y12" s="1">
        <f t="shared" ca="1" si="3"/>
        <v>46162</v>
      </c>
      <c r="Z12" s="1" cm="1">
        <f t="array" aca="1" ref="Z12" ca="1">IF(D12&gt;DATE(2015,5,16),0,
K12*
(
INT((MIN(Y12,DATE(2015,5,16))-D12)/365)
+
CEILING(MOD((MIN(Y12,DATE(2015,5,16))-D12)/365,1),0.25)
)
*
_xlfn.SWITCH(J12,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140</v>
      </c>
      <c r="AA12" s="1" cm="1">
        <f t="array" aca="1" ref="AA12" ca="1">IF(Y12&lt;DATE(2015,5,17),0,
K12*
(
INT((MIN(Y12,DATE(2018,9,23))-MAX(D12,DATE(2015,5,17)))/365)
+
CEILING(MOD((MIN(Y12,DATE(2018,9,23))-MAX(D12,DATE(2015,5,17)))/365,1),0.25)
)
*
_xlfn.SWITCH(J12,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980</v>
      </c>
      <c r="AB12" s="1" cm="1">
        <f t="array" aca="1" ref="AB12" ca="1">IF(Y12&lt;DATE(2018,9,24),0,
IF(J12="زراعة",
K12*
(
INT((MIN(Y12,DATE(2023,4,30))-MAX(D12,DATE(2018,9,24)))/365)
+
CEILING(MOD((MIN(Y12,DATE(2023,4,30))-MAX(D12,DATE(2018,9,24)))/365,1),0.25)
)
*1,
K12*
(
DATEDIF(MAX(D12,DATE(2018,9,24)),MIN(Y12,DATE(2023,4,30)),"m")+1
)
*
_xlfn.SWITCH(J12,
"موقف/تندة",IF(D12&lt;DATE(2019,11,30),6,30),
"تشوينات",IF(D12&lt;DATE(2019,11,30),4,20),
"مشاتل",IF(D12&lt;DATE(2019,11,30),2,10),
"كافيتيريا",IF(D12&lt;DATE(2019,11,30),30,150),
"نوادي",IF(D12&lt;DATE(2019,11,30),6,30),
"رسو مراكب",IF(D12&lt;DATE(2019,11,30),2,10),
"مباني",IF(D12&lt;DATE(2018,9,24),2,10),
"عشش",IF(D12&lt;DATE(2019,11,30),2,10),
"كشك (تجاري/صناعي)",IF(D12&lt;DATE(2019,11,30),10,50),
"ردم",20,
0)))</f>
        <v>3920</v>
      </c>
      <c r="AC12" s="1" cm="1">
        <f t="array" aca="1" ref="AC12" ca="1">IF(Y12&lt;DATE(2023,5,1),0,
IF(J12="زراعة",
K12*
(
INT((Y12-MAX(DATE(2023,5,1),D12))/365)
+
CEILING(MOD((Y12-MAX(DATE(2023,5,1),D12))/365,1),0.25)
)
*3,
IF(J12="ردم",
K12*20,
K12*
(
DATEDIF(MAX(DATE(2023,5,1),D12),Y12,"m")+1
)
*
_xlfn.SWITCH(J12,
"موقف/تندة",6,
"تشوينات",4,
"مشاتل",2,
"رسو مراكب",6,
"مباني",3,
"عشش",1,
"كشك (تجاري/صناعي)",20,
"مواسير صرف صحي (&lt;1م)",16,
"مواسير صرف صحي (&gt;1م)",18,
0))))</f>
        <v>3885</v>
      </c>
      <c r="AD12" s="1">
        <f t="shared" ca="1" si="4"/>
        <v>55</v>
      </c>
    </row>
    <row r="13" spans="1:30" ht="30" customHeight="1" thickBot="1" x14ac:dyDescent="0.3">
      <c r="A13" s="30">
        <v>12</v>
      </c>
      <c r="B13" s="3">
        <v>92</v>
      </c>
      <c r="C13" s="3">
        <v>2014</v>
      </c>
      <c r="D13" s="2">
        <v>41863</v>
      </c>
      <c r="E13" s="11"/>
      <c r="F13" s="3"/>
      <c r="G13" s="3" t="s">
        <v>43</v>
      </c>
      <c r="H13" s="3" t="s">
        <v>31</v>
      </c>
      <c r="I13" s="3" t="s">
        <v>103</v>
      </c>
      <c r="J13" s="3" t="s">
        <v>27</v>
      </c>
      <c r="K13" s="3">
        <f>12*8</f>
        <v>96</v>
      </c>
      <c r="L13" s="3" t="s">
        <v>89</v>
      </c>
      <c r="M13" s="2"/>
      <c r="N13" s="3"/>
      <c r="O13" s="9">
        <f>0.47*Table2[[#This Row],[قيمة المحضر]]</f>
        <v>0</v>
      </c>
      <c r="P13" s="9">
        <f>0.17*Table2[[#This Row],[قيمة المحضر]]</f>
        <v>0</v>
      </c>
      <c r="Q13" s="9">
        <f t="shared" ca="1" si="2"/>
        <v>24480</v>
      </c>
      <c r="R13" s="3"/>
      <c r="S13" s="3"/>
      <c r="T13" s="9" t="str">
        <f t="shared" si="0"/>
        <v>-</v>
      </c>
      <c r="U13" s="3" t="s">
        <v>25</v>
      </c>
      <c r="V13" s="9" t="str">
        <f t="shared" si="1"/>
        <v>-</v>
      </c>
      <c r="W13" s="4"/>
      <c r="X13" s="38"/>
      <c r="Y13" s="1">
        <f t="shared" ca="1" si="3"/>
        <v>46162</v>
      </c>
      <c r="Z13" s="1" cm="1">
        <f t="array" aca="1" ref="Z13" ca="1">IF(D13&gt;DATE(2015,5,16),0,
K13*
(
INT((MIN(Y13,DATE(2015,5,16))-D13)/365)
+
CEILING(MOD((MIN(Y13,DATE(2015,5,16))-D13)/365,1),0.25)
)
*
_xlfn.SWITCH(J13,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384</v>
      </c>
      <c r="AA13" s="1" cm="1">
        <f t="array" aca="1" ref="AA13" ca="1">IF(Y13&lt;DATE(2015,5,17),0,
K13*
(
INT((MIN(Y13,DATE(2018,9,23))-MAX(D13,DATE(2015,5,17)))/365)
+
CEILING(MOD((MIN(Y13,DATE(2018,9,23))-MAX(D13,DATE(2015,5,17)))/365,1),0.25)
)
*
_xlfn.SWITCH(J13,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2688</v>
      </c>
      <c r="AB13" s="1" cm="1">
        <f t="array" aca="1" ref="AB13" ca="1">IF(Y13&lt;DATE(2018,9,24),0,
IF(J13="زراعة",
K13*
(
INT((MIN(Y13,DATE(2023,4,30))-MAX(D13,DATE(2018,9,24)))/365)
+
CEILING(MOD((MIN(Y13,DATE(2023,4,30))-MAX(D13,DATE(2018,9,24)))/365,1),0.25)
)
*1,
K13*
(
DATEDIF(MAX(D13,DATE(2018,9,24)),MIN(Y13,DATE(2023,4,30)),"m")+1
)
*
_xlfn.SWITCH(J13,
"موقف/تندة",IF(D13&lt;DATE(2019,11,30),6,30),
"تشوينات",IF(D13&lt;DATE(2019,11,30),4,20),
"مشاتل",IF(D13&lt;DATE(2019,11,30),2,10),
"كافيتيريا",IF(D13&lt;DATE(2019,11,30),30,150),
"نوادي",IF(D13&lt;DATE(2019,11,30),6,30),
"رسو مراكب",IF(D13&lt;DATE(2019,11,30),2,10),
"مباني",IF(D13&lt;DATE(2018,9,24),2,10),
"عشش",IF(D13&lt;DATE(2019,11,30),2,10),
"كشك (تجاري/صناعي)",IF(D13&lt;DATE(2019,11,30),10,50),
"ردم",20,
0)))</f>
        <v>10752</v>
      </c>
      <c r="AC13" s="1" cm="1">
        <f t="array" aca="1" ref="AC13" ca="1">IF(Y13&lt;DATE(2023,5,1),0,
IF(J13="زراعة",
K13*
(
INT((Y13-MAX(DATE(2023,5,1),D13))/365)
+
CEILING(MOD((Y13-MAX(DATE(2023,5,1),D13))/365,1),0.25)
)
*3,
IF(J13="ردم",
K13*20,
K13*
(
DATEDIF(MAX(DATE(2023,5,1),D13),Y13,"m")+1
)
*
_xlfn.SWITCH(J13,
"موقف/تندة",6,
"تشوينات",4,
"مشاتل",2,
"رسو مراكب",6,
"مباني",3,
"عشش",1,
"كشك (تجاري/صناعي)",20,
"مواسير صرف صحي (&lt;1م)",16,
"مواسير صرف صحي (&gt;1م)",18,
0))))</f>
        <v>10656</v>
      </c>
      <c r="AD13" s="1">
        <f t="shared" ca="1" si="4"/>
        <v>55</v>
      </c>
    </row>
    <row r="14" spans="1:30" ht="30" customHeight="1" thickBot="1" x14ac:dyDescent="0.3">
      <c r="A14" s="30">
        <v>13</v>
      </c>
      <c r="B14" s="3">
        <v>93</v>
      </c>
      <c r="C14" s="3">
        <v>2014</v>
      </c>
      <c r="D14" s="2">
        <v>41863</v>
      </c>
      <c r="E14" s="11"/>
      <c r="F14" s="3"/>
      <c r="G14" s="3" t="s">
        <v>44</v>
      </c>
      <c r="H14" s="3" t="s">
        <v>31</v>
      </c>
      <c r="I14" s="3" t="s">
        <v>103</v>
      </c>
      <c r="J14" s="3" t="s">
        <v>27</v>
      </c>
      <c r="K14" s="3">
        <f>28*5</f>
        <v>140</v>
      </c>
      <c r="L14" s="3" t="s">
        <v>89</v>
      </c>
      <c r="M14" s="2"/>
      <c r="N14" s="3"/>
      <c r="O14" s="9">
        <f>0.47*Table2[[#This Row],[قيمة المحضر]]</f>
        <v>0</v>
      </c>
      <c r="P14" s="9">
        <f>0.17*Table2[[#This Row],[قيمة المحضر]]</f>
        <v>0</v>
      </c>
      <c r="Q14" s="9">
        <f t="shared" ca="1" si="2"/>
        <v>35700</v>
      </c>
      <c r="R14" s="3"/>
      <c r="S14" s="3"/>
      <c r="T14" s="9" t="str">
        <f t="shared" si="0"/>
        <v>-</v>
      </c>
      <c r="U14" s="3" t="s">
        <v>25</v>
      </c>
      <c r="V14" s="9" t="str">
        <f t="shared" si="1"/>
        <v>-</v>
      </c>
      <c r="W14" s="4"/>
      <c r="X14" s="38"/>
      <c r="Y14" s="1">
        <f t="shared" ca="1" si="3"/>
        <v>46162</v>
      </c>
      <c r="Z14" s="1" cm="1">
        <f t="array" aca="1" ref="Z14" ca="1">IF(D14&gt;DATE(2015,5,16),0,
K14*
(
INT((MIN(Y14,DATE(2015,5,16))-D14)/365)
+
CEILING(MOD((MIN(Y14,DATE(2015,5,16))-D14)/365,1),0.25)
)
*
_xlfn.SWITCH(J14,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560</v>
      </c>
      <c r="AA14" s="1" cm="1">
        <f t="array" aca="1" ref="AA14" ca="1">IF(Y14&lt;DATE(2015,5,17),0,
K14*
(
INT((MIN(Y14,DATE(2018,9,23))-MAX(D14,DATE(2015,5,17)))/365)
+
CEILING(MOD((MIN(Y14,DATE(2018,9,23))-MAX(D14,DATE(2015,5,17)))/365,1),0.25)
)
*
_xlfn.SWITCH(J14,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3920</v>
      </c>
      <c r="AB14" s="1" cm="1">
        <f t="array" aca="1" ref="AB14" ca="1">IF(Y14&lt;DATE(2018,9,24),0,
IF(J14="زراعة",
K14*
(
INT((MIN(Y14,DATE(2023,4,30))-MAX(D14,DATE(2018,9,24)))/365)
+
CEILING(MOD((MIN(Y14,DATE(2023,4,30))-MAX(D14,DATE(2018,9,24)))/365,1),0.25)
)
*1,
K14*
(
DATEDIF(MAX(D14,DATE(2018,9,24)),MIN(Y14,DATE(2023,4,30)),"m")+1
)
*
_xlfn.SWITCH(J14,
"موقف/تندة",IF(D14&lt;DATE(2019,11,30),6,30),
"تشوينات",IF(D14&lt;DATE(2019,11,30),4,20),
"مشاتل",IF(D14&lt;DATE(2019,11,30),2,10),
"كافيتيريا",IF(D14&lt;DATE(2019,11,30),30,150),
"نوادي",IF(D14&lt;DATE(2019,11,30),6,30),
"رسو مراكب",IF(D14&lt;DATE(2019,11,30),2,10),
"مباني",IF(D14&lt;DATE(2018,9,24),2,10),
"عشش",IF(D14&lt;DATE(2019,11,30),2,10),
"كشك (تجاري/صناعي)",IF(D14&lt;DATE(2019,11,30),10,50),
"ردم",20,
0)))</f>
        <v>15680</v>
      </c>
      <c r="AC14" s="1" cm="1">
        <f t="array" aca="1" ref="AC14" ca="1">IF(Y14&lt;DATE(2023,5,1),0,
IF(J14="زراعة",
K14*
(
INT((Y14-MAX(DATE(2023,5,1),D14))/365)
+
CEILING(MOD((Y14-MAX(DATE(2023,5,1),D14))/365,1),0.25)
)
*3,
IF(J14="ردم",
K14*20,
K14*
(
DATEDIF(MAX(DATE(2023,5,1),D14),Y14,"m")+1
)
*
_xlfn.SWITCH(J14,
"موقف/تندة",6,
"تشوينات",4,
"مشاتل",2,
"رسو مراكب",6,
"مباني",3,
"عشش",1,
"كشك (تجاري/صناعي)",20,
"مواسير صرف صحي (&lt;1م)",16,
"مواسير صرف صحي (&gt;1م)",18,
0))))</f>
        <v>15540</v>
      </c>
      <c r="AD14" s="1">
        <f t="shared" ca="1" si="4"/>
        <v>55</v>
      </c>
    </row>
    <row r="15" spans="1:30" ht="30" customHeight="1" thickBot="1" x14ac:dyDescent="0.3">
      <c r="A15" s="30">
        <v>14</v>
      </c>
      <c r="B15" s="3">
        <v>94</v>
      </c>
      <c r="C15" s="3">
        <v>2014</v>
      </c>
      <c r="D15" s="2">
        <v>41863</v>
      </c>
      <c r="E15" s="11"/>
      <c r="F15" s="3"/>
      <c r="G15" s="3" t="s">
        <v>45</v>
      </c>
      <c r="H15" s="3" t="s">
        <v>31</v>
      </c>
      <c r="I15" s="3" t="s">
        <v>103</v>
      </c>
      <c r="J15" s="3" t="s">
        <v>27</v>
      </c>
      <c r="K15" s="3">
        <f>10*5</f>
        <v>50</v>
      </c>
      <c r="L15" s="3" t="s">
        <v>89</v>
      </c>
      <c r="M15" s="2"/>
      <c r="N15" s="3"/>
      <c r="O15" s="9">
        <f>0.47*Table2[[#This Row],[قيمة المحضر]]</f>
        <v>0</v>
      </c>
      <c r="P15" s="9">
        <f>0.17*Table2[[#This Row],[قيمة المحضر]]</f>
        <v>0</v>
      </c>
      <c r="Q15" s="9">
        <f t="shared" ca="1" si="2"/>
        <v>12750</v>
      </c>
      <c r="R15" s="3"/>
      <c r="S15" s="3"/>
      <c r="T15" s="9" t="str">
        <f t="shared" si="0"/>
        <v>-</v>
      </c>
      <c r="U15" s="3" t="s">
        <v>25</v>
      </c>
      <c r="V15" s="9" t="str">
        <f t="shared" si="1"/>
        <v>-</v>
      </c>
      <c r="W15" s="4"/>
      <c r="X15" s="38"/>
      <c r="Y15" s="1">
        <f t="shared" ca="1" si="3"/>
        <v>46162</v>
      </c>
      <c r="Z15" s="1" cm="1">
        <f t="array" aca="1" ref="Z15" ca="1">IF(D15&gt;DATE(2015,5,16),0,
K15*
(
INT((MIN(Y15,DATE(2015,5,16))-D15)/365)
+
CEILING(MOD((MIN(Y15,DATE(2015,5,16))-D15)/365,1),0.25)
)
*
_xlfn.SWITCH(J15,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200</v>
      </c>
      <c r="AA15" s="1" cm="1">
        <f t="array" aca="1" ref="AA15" ca="1">IF(Y15&lt;DATE(2015,5,17),0,
K15*
(
INT((MIN(Y15,DATE(2018,9,23))-MAX(D15,DATE(2015,5,17)))/365)
+
CEILING(MOD((MIN(Y15,DATE(2018,9,23))-MAX(D15,DATE(2015,5,17)))/365,1),0.25)
)
*
_xlfn.SWITCH(J15,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1400</v>
      </c>
      <c r="AB15" s="1" cm="1">
        <f t="array" aca="1" ref="AB15" ca="1">IF(Y15&lt;DATE(2018,9,24),0,
IF(J15="زراعة",
K15*
(
INT((MIN(Y15,DATE(2023,4,30))-MAX(D15,DATE(2018,9,24)))/365)
+
CEILING(MOD((MIN(Y15,DATE(2023,4,30))-MAX(D15,DATE(2018,9,24)))/365,1),0.25)
)
*1,
K15*
(
DATEDIF(MAX(D15,DATE(2018,9,24)),MIN(Y15,DATE(2023,4,30)),"m")+1
)
*
_xlfn.SWITCH(J15,
"موقف/تندة",IF(D15&lt;DATE(2019,11,30),6,30),
"تشوينات",IF(D15&lt;DATE(2019,11,30),4,20),
"مشاتل",IF(D15&lt;DATE(2019,11,30),2,10),
"كافيتيريا",IF(D15&lt;DATE(2019,11,30),30,150),
"نوادي",IF(D15&lt;DATE(2019,11,30),6,30),
"رسو مراكب",IF(D15&lt;DATE(2019,11,30),2,10),
"مباني",IF(D15&lt;DATE(2018,9,24),2,10),
"عشش",IF(D15&lt;DATE(2019,11,30),2,10),
"كشك (تجاري/صناعي)",IF(D15&lt;DATE(2019,11,30),10,50),
"ردم",20,
0)))</f>
        <v>5600</v>
      </c>
      <c r="AC15" s="1" cm="1">
        <f t="array" aca="1" ref="AC15" ca="1">IF(Y15&lt;DATE(2023,5,1),0,
IF(J15="زراعة",
K15*
(
INT((Y15-MAX(DATE(2023,5,1),D15))/365)
+
CEILING(MOD((Y15-MAX(DATE(2023,5,1),D15))/365,1),0.25)
)
*3,
IF(J15="ردم",
K15*20,
K15*
(
DATEDIF(MAX(DATE(2023,5,1),D15),Y15,"m")+1
)
*
_xlfn.SWITCH(J15,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15" s="1">
        <f t="shared" ca="1" si="4"/>
        <v>55</v>
      </c>
    </row>
    <row r="16" spans="1:30" ht="30" customHeight="1" thickBot="1" x14ac:dyDescent="0.3">
      <c r="A16" s="30">
        <v>15</v>
      </c>
      <c r="B16" s="3">
        <v>95</v>
      </c>
      <c r="C16" s="3">
        <v>2014</v>
      </c>
      <c r="D16" s="2">
        <v>41863</v>
      </c>
      <c r="E16" s="11"/>
      <c r="F16" s="3"/>
      <c r="G16" s="3" t="s">
        <v>46</v>
      </c>
      <c r="H16" s="3" t="s">
        <v>31</v>
      </c>
      <c r="I16" s="3" t="s">
        <v>103</v>
      </c>
      <c r="J16" s="3" t="s">
        <v>27</v>
      </c>
      <c r="K16" s="3">
        <f>10*9.5</f>
        <v>95</v>
      </c>
      <c r="L16" s="3" t="s">
        <v>89</v>
      </c>
      <c r="M16" s="2"/>
      <c r="N16" s="3"/>
      <c r="O16" s="9">
        <f>0.47*Table2[[#This Row],[قيمة المحضر]]</f>
        <v>0</v>
      </c>
      <c r="P16" s="9">
        <f>0.17*Table2[[#This Row],[قيمة المحضر]]</f>
        <v>0</v>
      </c>
      <c r="Q16" s="9">
        <f t="shared" ca="1" si="2"/>
        <v>24225</v>
      </c>
      <c r="R16" s="3"/>
      <c r="S16" s="3"/>
      <c r="T16" s="9" t="str">
        <f t="shared" si="0"/>
        <v>-</v>
      </c>
      <c r="U16" s="3" t="s">
        <v>25</v>
      </c>
      <c r="V16" s="9" t="str">
        <f t="shared" si="1"/>
        <v>-</v>
      </c>
      <c r="W16" s="4"/>
      <c r="X16" s="38"/>
      <c r="Y16" s="1">
        <f t="shared" ca="1" si="3"/>
        <v>46162</v>
      </c>
      <c r="Z16" s="1" cm="1">
        <f t="array" aca="1" ref="Z16" ca="1">IF(D16&gt;DATE(2015,5,16),0,
K16*
(
INT((MIN(Y16,DATE(2015,5,16))-D16)/365)
+
CEILING(MOD((MIN(Y16,DATE(2015,5,16))-D16)/365,1),0.25)
)
*
_xlfn.SWITCH(J16,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380</v>
      </c>
      <c r="AA16" s="1" cm="1">
        <f t="array" aca="1" ref="AA16" ca="1">IF(Y16&lt;DATE(2015,5,17),0,
K16*
(
INT((MIN(Y16,DATE(2018,9,23))-MAX(D16,DATE(2015,5,17)))/365)
+
CEILING(MOD((MIN(Y16,DATE(2018,9,23))-MAX(D16,DATE(2015,5,17)))/365,1),0.25)
)
*
_xlfn.SWITCH(J16,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2660</v>
      </c>
      <c r="AB16" s="1" cm="1">
        <f t="array" aca="1" ref="AB16" ca="1">IF(Y16&lt;DATE(2018,9,24),0,
IF(J16="زراعة",
K16*
(
INT((MIN(Y16,DATE(2023,4,30))-MAX(D16,DATE(2018,9,24)))/365)
+
CEILING(MOD((MIN(Y16,DATE(2023,4,30))-MAX(D16,DATE(2018,9,24)))/365,1),0.25)
)
*1,
K16*
(
DATEDIF(MAX(D16,DATE(2018,9,24)),MIN(Y16,DATE(2023,4,30)),"m")+1
)
*
_xlfn.SWITCH(J16,
"موقف/تندة",IF(D16&lt;DATE(2019,11,30),6,30),
"تشوينات",IF(D16&lt;DATE(2019,11,30),4,20),
"مشاتل",IF(D16&lt;DATE(2019,11,30),2,10),
"كافيتيريا",IF(D16&lt;DATE(2019,11,30),30,150),
"نوادي",IF(D16&lt;DATE(2019,11,30),6,30),
"رسو مراكب",IF(D16&lt;DATE(2019,11,30),2,10),
"مباني",IF(D16&lt;DATE(2018,9,24),2,10),
"عشش",IF(D16&lt;DATE(2019,11,30),2,10),
"كشك (تجاري/صناعي)",IF(D16&lt;DATE(2019,11,30),10,50),
"ردم",20,
0)))</f>
        <v>10640</v>
      </c>
      <c r="AC16" s="1" cm="1">
        <f t="array" aca="1" ref="AC16" ca="1">IF(Y16&lt;DATE(2023,5,1),0,
IF(J16="زراعة",
K16*
(
INT((Y16-MAX(DATE(2023,5,1),D16))/365)
+
CEILING(MOD((Y16-MAX(DATE(2023,5,1),D16))/365,1),0.25)
)
*3,
IF(J16="ردم",
K16*20,
K16*
(
DATEDIF(MAX(DATE(2023,5,1),D16),Y16,"m")+1
)
*
_xlfn.SWITCH(J16,
"موقف/تندة",6,
"تشوينات",4,
"مشاتل",2,
"رسو مراكب",6,
"مباني",3,
"عشش",1,
"كشك (تجاري/صناعي)",20,
"مواسير صرف صحي (&lt;1م)",16,
"مواسير صرف صحي (&gt;1م)",18,
0))))</f>
        <v>10545</v>
      </c>
      <c r="AD16" s="1">
        <f t="shared" ca="1" si="4"/>
        <v>55</v>
      </c>
    </row>
    <row r="17" spans="1:30" ht="30" customHeight="1" thickBot="1" x14ac:dyDescent="0.3">
      <c r="A17" s="30">
        <v>16</v>
      </c>
      <c r="B17" s="3">
        <v>96</v>
      </c>
      <c r="C17" s="3">
        <v>2014</v>
      </c>
      <c r="D17" s="2">
        <v>41863</v>
      </c>
      <c r="E17" s="11"/>
      <c r="F17" s="3"/>
      <c r="G17" s="3" t="s">
        <v>47</v>
      </c>
      <c r="H17" s="3" t="s">
        <v>31</v>
      </c>
      <c r="I17" s="3" t="s">
        <v>103</v>
      </c>
      <c r="J17" s="3" t="s">
        <v>27</v>
      </c>
      <c r="K17" s="3">
        <f>8*4</f>
        <v>32</v>
      </c>
      <c r="L17" s="3" t="s">
        <v>89</v>
      </c>
      <c r="M17" s="2"/>
      <c r="N17" s="3"/>
      <c r="O17" s="9">
        <f>0.47*Table2[[#This Row],[قيمة المحضر]]</f>
        <v>0</v>
      </c>
      <c r="P17" s="9">
        <f>0.17*Table2[[#This Row],[قيمة المحضر]]</f>
        <v>0</v>
      </c>
      <c r="Q17" s="9">
        <f t="shared" ca="1" si="2"/>
        <v>8160</v>
      </c>
      <c r="R17" s="3"/>
      <c r="S17" s="3"/>
      <c r="T17" s="9" t="str">
        <f t="shared" si="0"/>
        <v>-</v>
      </c>
      <c r="U17" s="3" t="s">
        <v>25</v>
      </c>
      <c r="V17" s="9" t="str">
        <f t="shared" si="1"/>
        <v>-</v>
      </c>
      <c r="W17" s="4"/>
      <c r="X17" s="38"/>
      <c r="Y17" s="1">
        <f t="shared" ca="1" si="3"/>
        <v>46162</v>
      </c>
      <c r="Z17" s="1" cm="1">
        <f t="array" aca="1" ref="Z17" ca="1">IF(D17&gt;DATE(2015,5,16),0,
K17*
(
INT((MIN(Y17,DATE(2015,5,16))-D17)/365)
+
CEILING(MOD((MIN(Y17,DATE(2015,5,16))-D17)/365,1),0.25)
)
*
_xlfn.SWITCH(J17,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128</v>
      </c>
      <c r="AA17" s="1" cm="1">
        <f t="array" aca="1" ref="AA17" ca="1">IF(Y17&lt;DATE(2015,5,17),0,
K17*
(
INT((MIN(Y17,DATE(2018,9,23))-MAX(D17,DATE(2015,5,17)))/365)
+
CEILING(MOD((MIN(Y17,DATE(2018,9,23))-MAX(D17,DATE(2015,5,17)))/365,1),0.25)
)
*
_xlfn.SWITCH(J17,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896</v>
      </c>
      <c r="AB17" s="1" cm="1">
        <f t="array" aca="1" ref="AB17" ca="1">IF(Y17&lt;DATE(2018,9,24),0,
IF(J17="زراعة",
K17*
(
INT((MIN(Y17,DATE(2023,4,30))-MAX(D17,DATE(2018,9,24)))/365)
+
CEILING(MOD((MIN(Y17,DATE(2023,4,30))-MAX(D17,DATE(2018,9,24)))/365,1),0.25)
)
*1,
K17*
(
DATEDIF(MAX(D17,DATE(2018,9,24)),MIN(Y17,DATE(2023,4,30)),"m")+1
)
*
_xlfn.SWITCH(J17,
"موقف/تندة",IF(D17&lt;DATE(2019,11,30),6,30),
"تشوينات",IF(D17&lt;DATE(2019,11,30),4,20),
"مشاتل",IF(D17&lt;DATE(2019,11,30),2,10),
"كافيتيريا",IF(D17&lt;DATE(2019,11,30),30,150),
"نوادي",IF(D17&lt;DATE(2019,11,30),6,30),
"رسو مراكب",IF(D17&lt;DATE(2019,11,30),2,10),
"مباني",IF(D17&lt;DATE(2018,9,24),2,10),
"عشش",IF(D17&lt;DATE(2019,11,30),2,10),
"كشك (تجاري/صناعي)",IF(D17&lt;DATE(2019,11,30),10,50),
"ردم",20,
0)))</f>
        <v>3584</v>
      </c>
      <c r="AC17" s="1" cm="1">
        <f t="array" aca="1" ref="AC17" ca="1">IF(Y17&lt;DATE(2023,5,1),0,
IF(J17="زراعة",
K17*
(
INT((Y17-MAX(DATE(2023,5,1),D17))/365)
+
CEILING(MOD((Y17-MAX(DATE(2023,5,1),D17))/365,1),0.25)
)
*3,
IF(J17="ردم",
K17*20,
K17*
(
DATEDIF(MAX(DATE(2023,5,1),D17),Y17,"m")+1
)
*
_xlfn.SWITCH(J17,
"موقف/تندة",6,
"تشوينات",4,
"مشاتل",2,
"رسو مراكب",6,
"مباني",3,
"عشش",1,
"كشك (تجاري/صناعي)",20,
"مواسير صرف صحي (&lt;1م)",16,
"مواسير صرف صحي (&gt;1م)",18,
0))))</f>
        <v>3552</v>
      </c>
      <c r="AD17" s="1">
        <f t="shared" ca="1" si="4"/>
        <v>55</v>
      </c>
    </row>
    <row r="18" spans="1:30" ht="30" customHeight="1" thickBot="1" x14ac:dyDescent="0.3">
      <c r="A18" s="30">
        <v>17</v>
      </c>
      <c r="B18" s="3">
        <v>97</v>
      </c>
      <c r="C18" s="3">
        <v>2014</v>
      </c>
      <c r="D18" s="2">
        <v>41863</v>
      </c>
      <c r="E18" s="11"/>
      <c r="F18" s="3"/>
      <c r="G18" s="3" t="s">
        <v>48</v>
      </c>
      <c r="H18" s="3" t="s">
        <v>31</v>
      </c>
      <c r="I18" s="3" t="s">
        <v>103</v>
      </c>
      <c r="J18" s="3" t="s">
        <v>27</v>
      </c>
      <c r="K18" s="3">
        <f>10*5.5</f>
        <v>55</v>
      </c>
      <c r="L18" s="3" t="s">
        <v>89</v>
      </c>
      <c r="M18" s="2"/>
      <c r="N18" s="3"/>
      <c r="O18" s="9">
        <f>0.47*Table2[[#This Row],[قيمة المحضر]]</f>
        <v>0</v>
      </c>
      <c r="P18" s="9">
        <f>0.17*Table2[[#This Row],[قيمة المحضر]]</f>
        <v>0</v>
      </c>
      <c r="Q18" s="9">
        <f t="shared" ca="1" si="2"/>
        <v>14025</v>
      </c>
      <c r="R18" s="3"/>
      <c r="S18" s="3"/>
      <c r="T18" s="9" t="str">
        <f t="shared" si="0"/>
        <v>-</v>
      </c>
      <c r="U18" s="3" t="s">
        <v>25</v>
      </c>
      <c r="V18" s="9" t="str">
        <f t="shared" si="1"/>
        <v>-</v>
      </c>
      <c r="W18" s="4"/>
      <c r="X18" s="38"/>
      <c r="Y18" s="1">
        <f t="shared" ca="1" si="3"/>
        <v>46162</v>
      </c>
      <c r="Z18" s="1" cm="1">
        <f t="array" aca="1" ref="Z18" ca="1">IF(D18&gt;DATE(2015,5,16),0,
K18*
(
INT((MIN(Y18,DATE(2015,5,16))-D18)/365)
+
CEILING(MOD((MIN(Y18,DATE(2015,5,16))-D18)/365,1),0.25)
)
*
_xlfn.SWITCH(J18,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220</v>
      </c>
      <c r="AA18" s="1" cm="1">
        <f t="array" aca="1" ref="AA18" ca="1">IF(Y18&lt;DATE(2015,5,17),0,
K18*
(
INT((MIN(Y18,DATE(2018,9,23))-MAX(D18,DATE(2015,5,17)))/365)
+
CEILING(MOD((MIN(Y18,DATE(2018,9,23))-MAX(D18,DATE(2015,5,17)))/365,1),0.25)
)
*
_xlfn.SWITCH(J18,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1540</v>
      </c>
      <c r="AB18" s="1" cm="1">
        <f t="array" aca="1" ref="AB18" ca="1">IF(Y18&lt;DATE(2018,9,24),0,
IF(J18="زراعة",
K18*
(
INT((MIN(Y18,DATE(2023,4,30))-MAX(D18,DATE(2018,9,24)))/365)
+
CEILING(MOD((MIN(Y18,DATE(2023,4,30))-MAX(D18,DATE(2018,9,24)))/365,1),0.25)
)
*1,
K18*
(
DATEDIF(MAX(D18,DATE(2018,9,24)),MIN(Y18,DATE(2023,4,30)),"m")+1
)
*
_xlfn.SWITCH(J18,
"موقف/تندة",IF(D18&lt;DATE(2019,11,30),6,30),
"تشوينات",IF(D18&lt;DATE(2019,11,30),4,20),
"مشاتل",IF(D18&lt;DATE(2019,11,30),2,10),
"كافيتيريا",IF(D18&lt;DATE(2019,11,30),30,150),
"نوادي",IF(D18&lt;DATE(2019,11,30),6,30),
"رسو مراكب",IF(D18&lt;DATE(2019,11,30),2,10),
"مباني",IF(D18&lt;DATE(2018,9,24),2,10),
"عشش",IF(D18&lt;DATE(2019,11,30),2,10),
"كشك (تجاري/صناعي)",IF(D18&lt;DATE(2019,11,30),10,50),
"ردم",20,
0)))</f>
        <v>6160</v>
      </c>
      <c r="AC18" s="1" cm="1">
        <f t="array" aca="1" ref="AC18" ca="1">IF(Y18&lt;DATE(2023,5,1),0,
IF(J18="زراعة",
K18*
(
INT((Y18-MAX(DATE(2023,5,1),D18))/365)
+
CEILING(MOD((Y18-MAX(DATE(2023,5,1),D18))/365,1),0.25)
)
*3,
IF(J18="ردم",
K18*20,
K18*
(
DATEDIF(MAX(DATE(2023,5,1),D18),Y18,"m")+1
)
*
_xlfn.SWITCH(J18,
"موقف/تندة",6,
"تشوينات",4,
"مشاتل",2,
"رسو مراكب",6,
"مباني",3,
"عشش",1,
"كشك (تجاري/صناعي)",20,
"مواسير صرف صحي (&lt;1م)",16,
"مواسير صرف صحي (&gt;1م)",18,
0))))</f>
        <v>6105</v>
      </c>
      <c r="AD18" s="1">
        <f t="shared" ca="1" si="4"/>
        <v>55</v>
      </c>
    </row>
    <row r="19" spans="1:30" ht="30" customHeight="1" thickBot="1" x14ac:dyDescent="0.3">
      <c r="A19" s="30">
        <v>18</v>
      </c>
      <c r="B19" s="3">
        <v>98</v>
      </c>
      <c r="C19" s="3">
        <v>2014</v>
      </c>
      <c r="D19" s="2">
        <v>41863</v>
      </c>
      <c r="E19" s="11"/>
      <c r="F19" s="3"/>
      <c r="G19" s="3" t="s">
        <v>49</v>
      </c>
      <c r="H19" s="3" t="s">
        <v>31</v>
      </c>
      <c r="I19" s="3" t="s">
        <v>50</v>
      </c>
      <c r="J19" s="3" t="s">
        <v>27</v>
      </c>
      <c r="K19" s="3">
        <f>15*5</f>
        <v>75</v>
      </c>
      <c r="L19" s="3" t="s">
        <v>89</v>
      </c>
      <c r="M19" s="2"/>
      <c r="N19" s="3"/>
      <c r="O19" s="9">
        <f>0.47*Table2[[#This Row],[قيمة المحضر]]</f>
        <v>0</v>
      </c>
      <c r="P19" s="9">
        <f>0.17*Table2[[#This Row],[قيمة المحضر]]</f>
        <v>0</v>
      </c>
      <c r="Q19" s="9">
        <f t="shared" ca="1" si="2"/>
        <v>19125</v>
      </c>
      <c r="R19" s="3"/>
      <c r="S19" s="3"/>
      <c r="T19" s="9" t="str">
        <f t="shared" si="0"/>
        <v>-</v>
      </c>
      <c r="U19" s="3" t="s">
        <v>25</v>
      </c>
      <c r="V19" s="9" t="str">
        <f t="shared" si="1"/>
        <v>-</v>
      </c>
      <c r="W19" s="4"/>
      <c r="X19" s="38"/>
      <c r="Y19" s="1">
        <f t="shared" ca="1" si="3"/>
        <v>46162</v>
      </c>
      <c r="Z19" s="1" cm="1">
        <f t="array" aca="1" ref="Z19" ca="1">IF(D19&gt;DATE(2015,5,16),0,
K19*
(
INT((MIN(Y19,DATE(2015,5,16))-D19)/365)
+
CEILING(MOD((MIN(Y19,DATE(2015,5,16))-D19)/365,1),0.25)
)
*
_xlfn.SWITCH(J19,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300</v>
      </c>
      <c r="AA19" s="1" cm="1">
        <f t="array" aca="1" ref="AA19" ca="1">IF(Y19&lt;DATE(2015,5,17),0,
K19*
(
INT((MIN(Y19,DATE(2018,9,23))-MAX(D19,DATE(2015,5,17)))/365)
+
CEILING(MOD((MIN(Y19,DATE(2018,9,23))-MAX(D19,DATE(2015,5,17)))/365,1),0.25)
)
*
_xlfn.SWITCH(J19,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2100</v>
      </c>
      <c r="AB19" s="1" cm="1">
        <f t="array" aca="1" ref="AB19" ca="1">IF(Y19&lt;DATE(2018,9,24),0,
IF(J19="زراعة",
K19*
(
INT((MIN(Y19,DATE(2023,4,30))-MAX(D19,DATE(2018,9,24)))/365)
+
CEILING(MOD((MIN(Y19,DATE(2023,4,30))-MAX(D19,DATE(2018,9,24)))/365,1),0.25)
)
*1,
K19*
(
DATEDIF(MAX(D19,DATE(2018,9,24)),MIN(Y19,DATE(2023,4,30)),"m")+1
)
*
_xlfn.SWITCH(J19,
"موقف/تندة",IF(D19&lt;DATE(2019,11,30),6,30),
"تشوينات",IF(D19&lt;DATE(2019,11,30),4,20),
"مشاتل",IF(D19&lt;DATE(2019,11,30),2,10),
"كافيتيريا",IF(D19&lt;DATE(2019,11,30),30,150),
"نوادي",IF(D19&lt;DATE(2019,11,30),6,30),
"رسو مراكب",IF(D19&lt;DATE(2019,11,30),2,10),
"مباني",IF(D19&lt;DATE(2018,9,24),2,10),
"عشش",IF(D19&lt;DATE(2019,11,30),2,10),
"كشك (تجاري/صناعي)",IF(D19&lt;DATE(2019,11,30),10,50),
"ردم",20,
0)))</f>
        <v>8400</v>
      </c>
      <c r="AC19" s="1" cm="1">
        <f t="array" aca="1" ref="AC19" ca="1">IF(Y19&lt;DATE(2023,5,1),0,
IF(J19="زراعة",
K19*
(
INT((Y19-MAX(DATE(2023,5,1),D19))/365)
+
CEILING(MOD((Y19-MAX(DATE(2023,5,1),D19))/365,1),0.25)
)
*3,
IF(J19="ردم",
K19*20,
K19*
(
DATEDIF(MAX(DATE(2023,5,1),D19),Y19,"m")+1
)
*
_xlfn.SWITCH(J19,
"موقف/تندة",6,
"تشوينات",4,
"مشاتل",2,
"رسو مراكب",6,
"مباني",3,
"عشش",1,
"كشك (تجاري/صناعي)",20,
"مواسير صرف صحي (&lt;1م)",16,
"مواسير صرف صحي (&gt;1م)",18,
0))))</f>
        <v>8325</v>
      </c>
      <c r="AD19" s="1">
        <f t="shared" ca="1" si="4"/>
        <v>55</v>
      </c>
    </row>
    <row r="20" spans="1:30" ht="30" customHeight="1" thickBot="1" x14ac:dyDescent="0.3">
      <c r="A20" s="30">
        <v>19</v>
      </c>
      <c r="B20" s="3">
        <v>99</v>
      </c>
      <c r="C20" s="3">
        <v>2014</v>
      </c>
      <c r="D20" s="2">
        <v>41863</v>
      </c>
      <c r="E20" s="11" t="s">
        <v>51</v>
      </c>
      <c r="F20" s="3"/>
      <c r="G20" s="3" t="s">
        <v>52</v>
      </c>
      <c r="H20" s="3" t="s">
        <v>31</v>
      </c>
      <c r="I20" s="3" t="s">
        <v>50</v>
      </c>
      <c r="J20" s="3" t="s">
        <v>27</v>
      </c>
      <c r="K20" s="3">
        <f>10*6</f>
        <v>60</v>
      </c>
      <c r="L20" s="3" t="s">
        <v>90</v>
      </c>
      <c r="M20" s="2"/>
      <c r="N20" s="3"/>
      <c r="O20" s="9">
        <f>0.47*Table2[[#This Row],[قيمة المحضر]]</f>
        <v>0</v>
      </c>
      <c r="P20" s="9">
        <f>0.17*Table2[[#This Row],[قيمة المحضر]]</f>
        <v>0</v>
      </c>
      <c r="Q20" s="9">
        <f t="shared" ca="1" si="2"/>
        <v>15300</v>
      </c>
      <c r="R20" s="3"/>
      <c r="S20" s="3"/>
      <c r="T20" s="9" t="str">
        <f t="shared" si="0"/>
        <v>-</v>
      </c>
      <c r="U20" s="3" t="s">
        <v>25</v>
      </c>
      <c r="V20" s="9" t="str">
        <f t="shared" si="1"/>
        <v>-</v>
      </c>
      <c r="W20" s="4"/>
      <c r="X20" s="38"/>
      <c r="Y20" s="1">
        <f t="shared" ca="1" si="3"/>
        <v>46162</v>
      </c>
      <c r="Z20" s="1" cm="1">
        <f t="array" aca="1" ref="Z20" ca="1">IF(D20&gt;DATE(2015,5,16),0,
K20*
(
INT((MIN(Y20,DATE(2015,5,16))-D20)/365)
+
CEILING(MOD((MIN(Y20,DATE(2015,5,16))-D20)/365,1),0.25)
)
*
_xlfn.SWITCH(J20,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240</v>
      </c>
      <c r="AA20" s="1" cm="1">
        <f t="array" aca="1" ref="AA20" ca="1">IF(Y20&lt;DATE(2015,5,17),0,
K20*
(
INT((MIN(Y20,DATE(2018,9,23))-MAX(D20,DATE(2015,5,17)))/365)
+
CEILING(MOD((MIN(Y20,DATE(2018,9,23))-MAX(D20,DATE(2015,5,17)))/365,1),0.25)
)
*
_xlfn.SWITCH(J20,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1680</v>
      </c>
      <c r="AB20" s="1" cm="1">
        <f t="array" aca="1" ref="AB20" ca="1">IF(Y20&lt;DATE(2018,9,24),0,
IF(J20="زراعة",
K20*
(
INT((MIN(Y20,DATE(2023,4,30))-MAX(D20,DATE(2018,9,24)))/365)
+
CEILING(MOD((MIN(Y20,DATE(2023,4,30))-MAX(D20,DATE(2018,9,24)))/365,1),0.25)
)
*1,
K20*
(
DATEDIF(MAX(D20,DATE(2018,9,24)),MIN(Y20,DATE(2023,4,30)),"m")+1
)
*
_xlfn.SWITCH(J20,
"موقف/تندة",IF(D20&lt;DATE(2019,11,30),6,30),
"تشوينات",IF(D20&lt;DATE(2019,11,30),4,20),
"مشاتل",IF(D20&lt;DATE(2019,11,30),2,10),
"كافيتيريا",IF(D20&lt;DATE(2019,11,30),30,150),
"نوادي",IF(D20&lt;DATE(2019,11,30),6,30),
"رسو مراكب",IF(D20&lt;DATE(2019,11,30),2,10),
"مباني",IF(D20&lt;DATE(2018,9,24),2,10),
"عشش",IF(D20&lt;DATE(2019,11,30),2,10),
"كشك (تجاري/صناعي)",IF(D20&lt;DATE(2019,11,30),10,50),
"ردم",20,
0)))</f>
        <v>6720</v>
      </c>
      <c r="AC20" s="1" cm="1">
        <f t="array" aca="1" ref="AC20" ca="1">IF(Y20&lt;DATE(2023,5,1),0,
IF(J20="زراعة",
K20*
(
INT((Y20-MAX(DATE(2023,5,1),D20))/365)
+
CEILING(MOD((Y20-MAX(DATE(2023,5,1),D20))/365,1),0.25)
)
*3,
IF(J20="ردم",
K20*20,
K20*
(
DATEDIF(MAX(DATE(2023,5,1),D20),Y20,"m")+1
)
*
_xlfn.SWITCH(J20,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20" s="1">
        <f t="shared" ca="1" si="4"/>
        <v>55</v>
      </c>
    </row>
    <row r="21" spans="1:30" ht="30" customHeight="1" thickBot="1" x14ac:dyDescent="0.3">
      <c r="A21" s="30">
        <v>20</v>
      </c>
      <c r="B21" s="3">
        <v>100</v>
      </c>
      <c r="C21" s="3">
        <v>2014</v>
      </c>
      <c r="D21" s="2">
        <v>41863</v>
      </c>
      <c r="E21" s="11" t="s">
        <v>53</v>
      </c>
      <c r="F21" s="3"/>
      <c r="G21" s="3" t="s">
        <v>91</v>
      </c>
      <c r="H21" s="3" t="s">
        <v>31</v>
      </c>
      <c r="I21" s="3" t="s">
        <v>103</v>
      </c>
      <c r="J21" s="3" t="s">
        <v>27</v>
      </c>
      <c r="K21" s="3">
        <f>5*5.5</f>
        <v>27.5</v>
      </c>
      <c r="L21" s="3" t="s">
        <v>89</v>
      </c>
      <c r="M21" s="2"/>
      <c r="N21" s="3"/>
      <c r="O21" s="9">
        <f>0.47*Table2[[#This Row],[قيمة المحضر]]</f>
        <v>0</v>
      </c>
      <c r="P21" s="9">
        <f>0.17*Table2[[#This Row],[قيمة المحضر]]</f>
        <v>0</v>
      </c>
      <c r="Q21" s="9">
        <f t="shared" ca="1" si="2"/>
        <v>7012.5</v>
      </c>
      <c r="R21" s="3"/>
      <c r="S21" s="3"/>
      <c r="T21" s="9" t="str">
        <f t="shared" si="0"/>
        <v>-</v>
      </c>
      <c r="U21" s="3" t="s">
        <v>25</v>
      </c>
      <c r="V21" s="9" t="str">
        <f t="shared" si="1"/>
        <v>-</v>
      </c>
      <c r="W21" s="4"/>
      <c r="X21" s="38"/>
      <c r="Y21" s="1">
        <f t="shared" ca="1" si="3"/>
        <v>46162</v>
      </c>
      <c r="Z21" s="1" cm="1">
        <f t="array" aca="1" ref="Z21" ca="1">IF(D21&gt;DATE(2015,5,16),0,
K21*
(
INT((MIN(Y21,DATE(2015,5,16))-D21)/365)
+
CEILING(MOD((MIN(Y21,DATE(2015,5,16))-D21)/365,1),0.25)
)
*
_xlfn.SWITCH(J21,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110</v>
      </c>
      <c r="AA21" s="1" cm="1">
        <f t="array" aca="1" ref="AA21" ca="1">IF(Y21&lt;DATE(2015,5,17),0,
K21*
(
INT((MIN(Y21,DATE(2018,9,23))-MAX(D21,DATE(2015,5,17)))/365)
+
CEILING(MOD((MIN(Y21,DATE(2018,9,23))-MAX(D21,DATE(2015,5,17)))/365,1),0.25)
)
*
_xlfn.SWITCH(J21,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770</v>
      </c>
      <c r="AB21" s="1" cm="1">
        <f t="array" aca="1" ref="AB21" ca="1">IF(Y21&lt;DATE(2018,9,24),0,
IF(J21="زراعة",
K21*
(
INT((MIN(Y21,DATE(2023,4,30))-MAX(D21,DATE(2018,9,24)))/365)
+
CEILING(MOD((MIN(Y21,DATE(2023,4,30))-MAX(D21,DATE(2018,9,24)))/365,1),0.25)
)
*1,
K21*
(
DATEDIF(MAX(D21,DATE(2018,9,24)),MIN(Y21,DATE(2023,4,30)),"m")+1
)
*
_xlfn.SWITCH(J21,
"موقف/تندة",IF(D21&lt;DATE(2019,11,30),6,30),
"تشوينات",IF(D21&lt;DATE(2019,11,30),4,20),
"مشاتل",IF(D21&lt;DATE(2019,11,30),2,10),
"كافيتيريا",IF(D21&lt;DATE(2019,11,30),30,150),
"نوادي",IF(D21&lt;DATE(2019,11,30),6,30),
"رسو مراكب",IF(D21&lt;DATE(2019,11,30),2,10),
"مباني",IF(D21&lt;DATE(2018,9,24),2,10),
"عشش",IF(D21&lt;DATE(2019,11,30),2,10),
"كشك (تجاري/صناعي)",IF(D21&lt;DATE(2019,11,30),10,50),
"ردم",20,
0)))</f>
        <v>3080</v>
      </c>
      <c r="AC21" s="1" cm="1">
        <f t="array" aca="1" ref="AC21" ca="1">IF(Y21&lt;DATE(2023,5,1),0,
IF(J21="زراعة",
K21*
(
INT((Y21-MAX(DATE(2023,5,1),D21))/365)
+
CEILING(MOD((Y21-MAX(DATE(2023,5,1),D21))/365,1),0.25)
)
*3,
IF(J21="ردم",
K21*20,
K21*
(
DATEDIF(MAX(DATE(2023,5,1),D21),Y21,"m")+1
)
*
_xlfn.SWITCH(J21,
"موقف/تندة",6,
"تشوينات",4,
"مشاتل",2,
"رسو مراكب",6,
"مباني",3,
"عشش",1,
"كشك (تجاري/صناعي)",20,
"مواسير صرف صحي (&lt;1م)",16,
"مواسير صرف صحي (&gt;1م)",18,
0))))</f>
        <v>3052.5</v>
      </c>
      <c r="AD21" s="1">
        <f t="shared" ca="1" si="4"/>
        <v>55</v>
      </c>
    </row>
    <row r="22" spans="1:30" ht="30" customHeight="1" thickBot="1" x14ac:dyDescent="0.3">
      <c r="A22" s="30">
        <v>21</v>
      </c>
      <c r="B22" s="3">
        <v>101</v>
      </c>
      <c r="C22" s="3">
        <v>2014</v>
      </c>
      <c r="D22" s="2">
        <v>41863</v>
      </c>
      <c r="E22" s="11" t="s">
        <v>54</v>
      </c>
      <c r="F22" s="3"/>
      <c r="G22" s="3" t="s">
        <v>55</v>
      </c>
      <c r="H22" s="3" t="s">
        <v>31</v>
      </c>
      <c r="I22" s="3" t="s">
        <v>103</v>
      </c>
      <c r="J22" s="3" t="s">
        <v>27</v>
      </c>
      <c r="K22" s="3">
        <f>10*4</f>
        <v>40</v>
      </c>
      <c r="L22" s="3" t="s">
        <v>89</v>
      </c>
      <c r="M22" s="2"/>
      <c r="N22" s="3"/>
      <c r="O22" s="9">
        <f>0.47*Table2[[#This Row],[قيمة المحضر]]</f>
        <v>0</v>
      </c>
      <c r="P22" s="9">
        <f>0.17*Table2[[#This Row],[قيمة المحضر]]</f>
        <v>0</v>
      </c>
      <c r="Q22" s="9">
        <f t="shared" ca="1" si="2"/>
        <v>10200</v>
      </c>
      <c r="R22" s="3"/>
      <c r="S22" s="3"/>
      <c r="T22" s="9" t="str">
        <f t="shared" si="0"/>
        <v>-</v>
      </c>
      <c r="U22" s="3" t="s">
        <v>25</v>
      </c>
      <c r="V22" s="9" t="str">
        <f t="shared" si="1"/>
        <v>-</v>
      </c>
      <c r="W22" s="4"/>
      <c r="X22" s="38"/>
      <c r="Y22" s="1">
        <f t="shared" ca="1" si="3"/>
        <v>46162</v>
      </c>
      <c r="Z22" s="1" cm="1">
        <f t="array" aca="1" ref="Z22" ca="1">IF(D22&gt;DATE(2015,5,16),0,
K22*
(
INT((MIN(Y22,DATE(2015,5,16))-D22)/365)
+
CEILING(MOD((MIN(Y22,DATE(2015,5,16))-D22)/365,1),0.25)
)
*
_xlfn.SWITCH(J22,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160</v>
      </c>
      <c r="AA22" s="1" cm="1">
        <f t="array" aca="1" ref="AA22" ca="1">IF(Y22&lt;DATE(2015,5,17),0,
K22*
(
INT((MIN(Y22,DATE(2018,9,23))-MAX(D22,DATE(2015,5,17)))/365)
+
CEILING(MOD((MIN(Y22,DATE(2018,9,23))-MAX(D22,DATE(2015,5,17)))/365,1),0.25)
)
*
_xlfn.SWITCH(J22,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1120</v>
      </c>
      <c r="AB22" s="1" cm="1">
        <f t="array" aca="1" ref="AB22" ca="1">IF(Y22&lt;DATE(2018,9,24),0,
IF(J22="زراعة",
K22*
(
INT((MIN(Y22,DATE(2023,4,30))-MAX(D22,DATE(2018,9,24)))/365)
+
CEILING(MOD((MIN(Y22,DATE(2023,4,30))-MAX(D22,DATE(2018,9,24)))/365,1),0.25)
)
*1,
K22*
(
DATEDIF(MAX(D22,DATE(2018,9,24)),MIN(Y22,DATE(2023,4,30)),"m")+1
)
*
_xlfn.SWITCH(J22,
"موقف/تندة",IF(D22&lt;DATE(2019,11,30),6,30),
"تشوينات",IF(D22&lt;DATE(2019,11,30),4,20),
"مشاتل",IF(D22&lt;DATE(2019,11,30),2,10),
"كافيتيريا",IF(D22&lt;DATE(2019,11,30),30,150),
"نوادي",IF(D22&lt;DATE(2019,11,30),6,30),
"رسو مراكب",IF(D22&lt;DATE(2019,11,30),2,10),
"مباني",IF(D22&lt;DATE(2018,9,24),2,10),
"عشش",IF(D22&lt;DATE(2019,11,30),2,10),
"كشك (تجاري/صناعي)",IF(D22&lt;DATE(2019,11,30),10,50),
"ردم",20,
0)))</f>
        <v>4480</v>
      </c>
      <c r="AC22" s="1" cm="1">
        <f t="array" aca="1" ref="AC22" ca="1">IF(Y22&lt;DATE(2023,5,1),0,
IF(J22="زراعة",
K22*
(
INT((Y22-MAX(DATE(2023,5,1),D22))/365)
+
CEILING(MOD((Y22-MAX(DATE(2023,5,1),D22))/365,1),0.25)
)
*3,
IF(J22="ردم",
K22*20,
K22*
(
DATEDIF(MAX(DATE(2023,5,1),D22),Y22,"m")+1
)
*
_xlfn.SWITCH(J22,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22" s="1">
        <f t="shared" ca="1" si="4"/>
        <v>55</v>
      </c>
    </row>
    <row r="23" spans="1:30" ht="30" customHeight="1" thickBot="1" x14ac:dyDescent="0.3">
      <c r="A23" s="30">
        <v>22</v>
      </c>
      <c r="B23" s="3">
        <v>102</v>
      </c>
      <c r="C23" s="3">
        <v>2014</v>
      </c>
      <c r="D23" s="2">
        <v>41863</v>
      </c>
      <c r="E23" s="11" t="s">
        <v>56</v>
      </c>
      <c r="F23" s="3"/>
      <c r="G23" s="3" t="s">
        <v>57</v>
      </c>
      <c r="H23" s="3" t="s">
        <v>31</v>
      </c>
      <c r="I23" s="3" t="s">
        <v>103</v>
      </c>
      <c r="J23" s="3" t="s">
        <v>27</v>
      </c>
      <c r="K23" s="3">
        <f>10*9</f>
        <v>90</v>
      </c>
      <c r="L23" s="3" t="s">
        <v>89</v>
      </c>
      <c r="M23" s="2"/>
      <c r="N23" s="3"/>
      <c r="O23" s="9">
        <f>0.47*Table2[[#This Row],[قيمة المحضر]]</f>
        <v>0</v>
      </c>
      <c r="P23" s="9">
        <f>0.17*Table2[[#This Row],[قيمة المحضر]]</f>
        <v>0</v>
      </c>
      <c r="Q23" s="9">
        <f t="shared" ca="1" si="2"/>
        <v>22950</v>
      </c>
      <c r="R23" s="3"/>
      <c r="S23" s="3"/>
      <c r="T23" s="9" t="str">
        <f t="shared" si="0"/>
        <v>-</v>
      </c>
      <c r="U23" s="3" t="s">
        <v>25</v>
      </c>
      <c r="V23" s="9" t="str">
        <f t="shared" si="1"/>
        <v>-</v>
      </c>
      <c r="W23" s="4"/>
      <c r="X23" s="38"/>
      <c r="Y23" s="1">
        <f t="shared" ca="1" si="3"/>
        <v>46162</v>
      </c>
      <c r="Z23" s="1" cm="1">
        <f t="array" aca="1" ref="Z23" ca="1">IF(D23&gt;DATE(2015,5,16),0,
K23*
(
INT((MIN(Y23,DATE(2015,5,16))-D23)/365)
+
CEILING(MOD((MIN(Y23,DATE(2015,5,16))-D23)/365,1),0.25)
)
*
_xlfn.SWITCH(J23,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360</v>
      </c>
      <c r="AA23" s="1" cm="1">
        <f t="array" aca="1" ref="AA23" ca="1">IF(Y23&lt;DATE(2015,5,17),0,
K23*
(
INT((MIN(Y23,DATE(2018,9,23))-MAX(D23,DATE(2015,5,17)))/365)
+
CEILING(MOD((MIN(Y23,DATE(2018,9,23))-MAX(D23,DATE(2015,5,17)))/365,1),0.25)
)
*
_xlfn.SWITCH(J23,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2520</v>
      </c>
      <c r="AB23" s="1" cm="1">
        <f t="array" aca="1" ref="AB23" ca="1">IF(Y23&lt;DATE(2018,9,24),0,
IF(J23="زراعة",
K23*
(
INT((MIN(Y23,DATE(2023,4,30))-MAX(D23,DATE(2018,9,24)))/365)
+
CEILING(MOD((MIN(Y23,DATE(2023,4,30))-MAX(D23,DATE(2018,9,24)))/365,1),0.25)
)
*1,
K23*
(
DATEDIF(MAX(D23,DATE(2018,9,24)),MIN(Y23,DATE(2023,4,30)),"m")+1
)
*
_xlfn.SWITCH(J23,
"موقف/تندة",IF(D23&lt;DATE(2019,11,30),6,30),
"تشوينات",IF(D23&lt;DATE(2019,11,30),4,20),
"مشاتل",IF(D23&lt;DATE(2019,11,30),2,10),
"كافيتيريا",IF(D23&lt;DATE(2019,11,30),30,150),
"نوادي",IF(D23&lt;DATE(2019,11,30),6,30),
"رسو مراكب",IF(D23&lt;DATE(2019,11,30),2,10),
"مباني",IF(D23&lt;DATE(2018,9,24),2,10),
"عشش",IF(D23&lt;DATE(2019,11,30),2,10),
"كشك (تجاري/صناعي)",IF(D23&lt;DATE(2019,11,30),10,50),
"ردم",20,
0)))</f>
        <v>10080</v>
      </c>
      <c r="AC23" s="1" cm="1">
        <f t="array" aca="1" ref="AC23" ca="1">IF(Y23&lt;DATE(2023,5,1),0,
IF(J23="زراعة",
K23*
(
INT((Y23-MAX(DATE(2023,5,1),D23))/365)
+
CEILING(MOD((Y23-MAX(DATE(2023,5,1),D23))/365,1),0.25)
)
*3,
IF(J23="ردم",
K23*20,
K23*
(
DATEDIF(MAX(DATE(2023,5,1),D23),Y23,"m")+1
)
*
_xlfn.SWITCH(J23,
"موقف/تندة",6,
"تشوينات",4,
"مشاتل",2,
"رسو مراكب",6,
"مباني",3,
"عشش",1,
"كشك (تجاري/صناعي)",20,
"مواسير صرف صحي (&lt;1م)",16,
"مواسير صرف صحي (&gt;1م)",18,
0))))</f>
        <v>9990</v>
      </c>
      <c r="AD23" s="1">
        <f t="shared" ca="1" si="4"/>
        <v>55</v>
      </c>
    </row>
    <row r="24" spans="1:30" ht="30" customHeight="1" thickBot="1" x14ac:dyDescent="0.3">
      <c r="A24" s="30">
        <v>23</v>
      </c>
      <c r="B24" s="3">
        <v>103</v>
      </c>
      <c r="C24" s="3">
        <v>2014</v>
      </c>
      <c r="D24" s="2">
        <v>41863</v>
      </c>
      <c r="E24" s="11" t="s">
        <v>58</v>
      </c>
      <c r="F24" s="3"/>
      <c r="G24" s="3" t="s">
        <v>59</v>
      </c>
      <c r="H24" s="3" t="s">
        <v>31</v>
      </c>
      <c r="I24" s="3" t="s">
        <v>103</v>
      </c>
      <c r="J24" s="3" t="s">
        <v>27</v>
      </c>
      <c r="K24" s="3">
        <f>5*8.5</f>
        <v>42.5</v>
      </c>
      <c r="L24" s="3" t="s">
        <v>89</v>
      </c>
      <c r="M24" s="2"/>
      <c r="N24" s="3"/>
      <c r="O24" s="9">
        <f>0.47*Table2[[#This Row],[قيمة المحضر]]</f>
        <v>0</v>
      </c>
      <c r="P24" s="9">
        <f>0.17*Table2[[#This Row],[قيمة المحضر]]</f>
        <v>0</v>
      </c>
      <c r="Q24" s="9">
        <f t="shared" ca="1" si="2"/>
        <v>10837.5</v>
      </c>
      <c r="R24" s="3"/>
      <c r="S24" s="3"/>
      <c r="T24" s="9" t="str">
        <f t="shared" si="0"/>
        <v>-</v>
      </c>
      <c r="U24" s="3" t="s">
        <v>25</v>
      </c>
      <c r="V24" s="9" t="str">
        <f t="shared" si="1"/>
        <v>-</v>
      </c>
      <c r="W24" s="4"/>
      <c r="X24" s="38"/>
      <c r="Y24" s="1">
        <f t="shared" ca="1" si="3"/>
        <v>46162</v>
      </c>
      <c r="Z24" s="1" cm="1">
        <f t="array" aca="1" ref="Z24" ca="1">IF(D24&gt;DATE(2015,5,16),0,
K24*
(
INT((MIN(Y24,DATE(2015,5,16))-D24)/365)
+
CEILING(MOD((MIN(Y24,DATE(2015,5,16))-D24)/365,1),0.25)
)
*
_xlfn.SWITCH(J24,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170</v>
      </c>
      <c r="AA24" s="1" cm="1">
        <f t="array" aca="1" ref="AA24" ca="1">IF(Y24&lt;DATE(2015,5,17),0,
K24*
(
INT((MIN(Y24,DATE(2018,9,23))-MAX(D24,DATE(2015,5,17)))/365)
+
CEILING(MOD((MIN(Y24,DATE(2018,9,23))-MAX(D24,DATE(2015,5,17)))/365,1),0.25)
)
*
_xlfn.SWITCH(J24,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1190</v>
      </c>
      <c r="AB24" s="1" cm="1">
        <f t="array" aca="1" ref="AB24" ca="1">IF(Y24&lt;DATE(2018,9,24),0,
IF(J24="زراعة",
K24*
(
INT((MIN(Y24,DATE(2023,4,30))-MAX(D24,DATE(2018,9,24)))/365)
+
CEILING(MOD((MIN(Y24,DATE(2023,4,30))-MAX(D24,DATE(2018,9,24)))/365,1),0.25)
)
*1,
K24*
(
DATEDIF(MAX(D24,DATE(2018,9,24)),MIN(Y24,DATE(2023,4,30)),"m")+1
)
*
_xlfn.SWITCH(J24,
"موقف/تندة",IF(D24&lt;DATE(2019,11,30),6,30),
"تشوينات",IF(D24&lt;DATE(2019,11,30),4,20),
"مشاتل",IF(D24&lt;DATE(2019,11,30),2,10),
"كافيتيريا",IF(D24&lt;DATE(2019,11,30),30,150),
"نوادي",IF(D24&lt;DATE(2019,11,30),6,30),
"رسو مراكب",IF(D24&lt;DATE(2019,11,30),2,10),
"مباني",IF(D24&lt;DATE(2018,9,24),2,10),
"عشش",IF(D24&lt;DATE(2019,11,30),2,10),
"كشك (تجاري/صناعي)",IF(D24&lt;DATE(2019,11,30),10,50),
"ردم",20,
0)))</f>
        <v>4760</v>
      </c>
      <c r="AC24" s="1" cm="1">
        <f t="array" aca="1" ref="AC24" ca="1">IF(Y24&lt;DATE(2023,5,1),0,
IF(J24="زراعة",
K24*
(
INT((Y24-MAX(DATE(2023,5,1),D24))/365)
+
CEILING(MOD((Y24-MAX(DATE(2023,5,1),D24))/365,1),0.25)
)
*3,
IF(J24="ردم",
K24*20,
K24*
(
DATEDIF(MAX(DATE(2023,5,1),D24),Y24,"m")+1
)
*
_xlfn.SWITCH(J24,
"موقف/تندة",6,
"تشوينات",4,
"مشاتل",2,
"رسو مراكب",6,
"مباني",3,
"عشش",1,
"كشك (تجاري/صناعي)",20,
"مواسير صرف صحي (&lt;1م)",16,
"مواسير صرف صحي (&gt;1م)",18,
0))))</f>
        <v>4717.5</v>
      </c>
      <c r="AD24" s="1">
        <f t="shared" ca="1" si="4"/>
        <v>55</v>
      </c>
    </row>
    <row r="25" spans="1:30" ht="30" customHeight="1" thickBot="1" x14ac:dyDescent="0.3">
      <c r="A25" s="30">
        <v>24</v>
      </c>
      <c r="B25" s="3">
        <v>104</v>
      </c>
      <c r="C25" s="3">
        <v>2014</v>
      </c>
      <c r="D25" s="2">
        <v>41863</v>
      </c>
      <c r="E25" s="11" t="s">
        <v>60</v>
      </c>
      <c r="F25" s="3"/>
      <c r="G25" s="3" t="s">
        <v>61</v>
      </c>
      <c r="H25" s="3" t="s">
        <v>31</v>
      </c>
      <c r="I25" s="3" t="s">
        <v>103</v>
      </c>
      <c r="J25" s="3" t="s">
        <v>27</v>
      </c>
      <c r="K25" s="3">
        <f>7*4</f>
        <v>28</v>
      </c>
      <c r="L25" s="3" t="s">
        <v>89</v>
      </c>
      <c r="M25" s="2"/>
      <c r="N25" s="3"/>
      <c r="O25" s="9">
        <f>0.47*Table2[[#This Row],[قيمة المحضر]]</f>
        <v>0</v>
      </c>
      <c r="P25" s="9">
        <f>0.17*Table2[[#This Row],[قيمة المحضر]]</f>
        <v>0</v>
      </c>
      <c r="Q25" s="9">
        <f t="shared" ca="1" si="2"/>
        <v>7140</v>
      </c>
      <c r="R25" s="3"/>
      <c r="S25" s="3"/>
      <c r="T25" s="9" t="str">
        <f t="shared" si="0"/>
        <v>-</v>
      </c>
      <c r="U25" s="3" t="s">
        <v>25</v>
      </c>
      <c r="V25" s="9" t="str">
        <f t="shared" si="1"/>
        <v>-</v>
      </c>
      <c r="W25" s="4"/>
      <c r="X25" s="38"/>
      <c r="Y25" s="1">
        <f t="shared" ca="1" si="3"/>
        <v>46162</v>
      </c>
      <c r="Z25" s="1" cm="1">
        <f t="array" aca="1" ref="Z25" ca="1">IF(D25&gt;DATE(2015,5,16),0,
K25*
(
INT((MIN(Y25,DATE(2015,5,16))-D25)/365)
+
CEILING(MOD((MIN(Y25,DATE(2015,5,16))-D25)/365,1),0.25)
)
*
_xlfn.SWITCH(J25,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112</v>
      </c>
      <c r="AA25" s="1" cm="1">
        <f t="array" aca="1" ref="AA25" ca="1">IF(Y25&lt;DATE(2015,5,17),0,
K25*
(
INT((MIN(Y25,DATE(2018,9,23))-MAX(D25,DATE(2015,5,17)))/365)
+
CEILING(MOD((MIN(Y25,DATE(2018,9,23))-MAX(D25,DATE(2015,5,17)))/365,1),0.25)
)
*
_xlfn.SWITCH(J25,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784</v>
      </c>
      <c r="AB25" s="1" cm="1">
        <f t="array" aca="1" ref="AB25" ca="1">IF(Y25&lt;DATE(2018,9,24),0,
IF(J25="زراعة",
K25*
(
INT((MIN(Y25,DATE(2023,4,30))-MAX(D25,DATE(2018,9,24)))/365)
+
CEILING(MOD((MIN(Y25,DATE(2023,4,30))-MAX(D25,DATE(2018,9,24)))/365,1),0.25)
)
*1,
K25*
(
DATEDIF(MAX(D25,DATE(2018,9,24)),MIN(Y25,DATE(2023,4,30)),"m")+1
)
*
_xlfn.SWITCH(J25,
"موقف/تندة",IF(D25&lt;DATE(2019,11,30),6,30),
"تشوينات",IF(D25&lt;DATE(2019,11,30),4,20),
"مشاتل",IF(D25&lt;DATE(2019,11,30),2,10),
"كافيتيريا",IF(D25&lt;DATE(2019,11,30),30,150),
"نوادي",IF(D25&lt;DATE(2019,11,30),6,30),
"رسو مراكب",IF(D25&lt;DATE(2019,11,30),2,10),
"مباني",IF(D25&lt;DATE(2018,9,24),2,10),
"عشش",IF(D25&lt;DATE(2019,11,30),2,10),
"كشك (تجاري/صناعي)",IF(D25&lt;DATE(2019,11,30),10,50),
"ردم",20,
0)))</f>
        <v>3136</v>
      </c>
      <c r="AC25" s="1" cm="1">
        <f t="array" aca="1" ref="AC25" ca="1">IF(Y25&lt;DATE(2023,5,1),0,
IF(J25="زراعة",
K25*
(
INT((Y25-MAX(DATE(2023,5,1),D25))/365)
+
CEILING(MOD((Y25-MAX(DATE(2023,5,1),D25))/365,1),0.25)
)
*3,
IF(J25="ردم",
K25*20,
K25*
(
DATEDIF(MAX(DATE(2023,5,1),D25),Y25,"m")+1
)
*
_xlfn.SWITCH(J25,
"موقف/تندة",6,
"تشوينات",4,
"مشاتل",2,
"رسو مراكب",6,
"مباني",3,
"عشش",1,
"كشك (تجاري/صناعي)",20,
"مواسير صرف صحي (&lt;1م)",16,
"مواسير صرف صحي (&gt;1م)",18,
0))))</f>
        <v>3108</v>
      </c>
      <c r="AD25" s="1">
        <f t="shared" ca="1" si="4"/>
        <v>55</v>
      </c>
    </row>
    <row r="26" spans="1:30" ht="30" customHeight="1" thickBot="1" x14ac:dyDescent="0.3">
      <c r="A26" s="30">
        <v>25</v>
      </c>
      <c r="B26" s="3">
        <v>105</v>
      </c>
      <c r="C26" s="3">
        <v>2014</v>
      </c>
      <c r="D26" s="2">
        <v>41863</v>
      </c>
      <c r="E26" s="11" t="s">
        <v>62</v>
      </c>
      <c r="F26" s="3"/>
      <c r="G26" s="3" t="s">
        <v>63</v>
      </c>
      <c r="H26" s="3" t="s">
        <v>31</v>
      </c>
      <c r="I26" s="3" t="s">
        <v>103</v>
      </c>
      <c r="J26" s="3" t="s">
        <v>27</v>
      </c>
      <c r="K26" s="3">
        <f>7*4</f>
        <v>28</v>
      </c>
      <c r="L26" s="3" t="s">
        <v>89</v>
      </c>
      <c r="M26" s="2"/>
      <c r="N26" s="3"/>
      <c r="O26" s="9">
        <f>0.47*Table2[[#This Row],[قيمة المحضر]]</f>
        <v>0</v>
      </c>
      <c r="P26" s="9">
        <f>0.17*Table2[[#This Row],[قيمة المحضر]]</f>
        <v>0</v>
      </c>
      <c r="Q26" s="9">
        <f t="shared" ca="1" si="2"/>
        <v>7140</v>
      </c>
      <c r="R26" s="3"/>
      <c r="S26" s="3"/>
      <c r="T26" s="9" t="str">
        <f t="shared" si="0"/>
        <v>-</v>
      </c>
      <c r="U26" s="3" t="s">
        <v>25</v>
      </c>
      <c r="V26" s="9" t="str">
        <f t="shared" si="1"/>
        <v>-</v>
      </c>
      <c r="W26" s="4"/>
      <c r="X26" s="38"/>
      <c r="Y26" s="1">
        <f t="shared" ca="1" si="3"/>
        <v>46162</v>
      </c>
      <c r="Z26" s="1" cm="1">
        <f t="array" aca="1" ref="Z26" ca="1">IF(D26&gt;DATE(2015,5,16),0,
K26*
(
INT((MIN(Y26,DATE(2015,5,16))-D26)/365)
+
CEILING(MOD((MIN(Y26,DATE(2015,5,16))-D26)/365,1),0.25)
)
*
_xlfn.SWITCH(J26,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112</v>
      </c>
      <c r="AA26" s="1" cm="1">
        <f t="array" aca="1" ref="AA26" ca="1">IF(Y26&lt;DATE(2015,5,17),0,
K26*
(
INT((MIN(Y26,DATE(2018,9,23))-MAX(D26,DATE(2015,5,17)))/365)
+
CEILING(MOD((MIN(Y26,DATE(2018,9,23))-MAX(D26,DATE(2015,5,17)))/365,1),0.25)
)
*
_xlfn.SWITCH(J26,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784</v>
      </c>
      <c r="AB26" s="1" cm="1">
        <f t="array" aca="1" ref="AB26" ca="1">IF(Y26&lt;DATE(2018,9,24),0,
IF(J26="زراعة",
K26*
(
INT((MIN(Y26,DATE(2023,4,30))-MAX(D26,DATE(2018,9,24)))/365)
+
CEILING(MOD((MIN(Y26,DATE(2023,4,30))-MAX(D26,DATE(2018,9,24)))/365,1),0.25)
)
*1,
K26*
(
DATEDIF(MAX(D26,DATE(2018,9,24)),MIN(Y26,DATE(2023,4,30)),"m")+1
)
*
_xlfn.SWITCH(J26,
"موقف/تندة",IF(D26&lt;DATE(2019,11,30),6,30),
"تشوينات",IF(D26&lt;DATE(2019,11,30),4,20),
"مشاتل",IF(D26&lt;DATE(2019,11,30),2,10),
"كافيتيريا",IF(D26&lt;DATE(2019,11,30),30,150),
"نوادي",IF(D26&lt;DATE(2019,11,30),6,30),
"رسو مراكب",IF(D26&lt;DATE(2019,11,30),2,10),
"مباني",IF(D26&lt;DATE(2018,9,24),2,10),
"عشش",IF(D26&lt;DATE(2019,11,30),2,10),
"كشك (تجاري/صناعي)",IF(D26&lt;DATE(2019,11,30),10,50),
"ردم",20,
0)))</f>
        <v>3136</v>
      </c>
      <c r="AC26" s="1" cm="1">
        <f t="array" aca="1" ref="AC26" ca="1">IF(Y26&lt;DATE(2023,5,1),0,
IF(J26="زراعة",
K26*
(
INT((Y26-MAX(DATE(2023,5,1),D26))/365)
+
CEILING(MOD((Y26-MAX(DATE(2023,5,1),D26))/365,1),0.25)
)
*3,
IF(J26="ردم",
K26*20,
K26*
(
DATEDIF(MAX(DATE(2023,5,1),D26),Y26,"m")+1
)
*
_xlfn.SWITCH(J26,
"موقف/تندة",6,
"تشوينات",4,
"مشاتل",2,
"رسو مراكب",6,
"مباني",3,
"عشش",1,
"كشك (تجاري/صناعي)",20,
"مواسير صرف صحي (&lt;1م)",16,
"مواسير صرف صحي (&gt;1م)",18,
0))))</f>
        <v>3108</v>
      </c>
      <c r="AD26" s="1">
        <f t="shared" ca="1" si="4"/>
        <v>55</v>
      </c>
    </row>
    <row r="27" spans="1:30" ht="30" customHeight="1" thickBot="1" x14ac:dyDescent="0.3">
      <c r="A27" s="30">
        <v>26</v>
      </c>
      <c r="B27" s="3">
        <v>106</v>
      </c>
      <c r="C27" s="3">
        <v>2014</v>
      </c>
      <c r="D27" s="2">
        <v>41863</v>
      </c>
      <c r="E27" s="11" t="s">
        <v>64</v>
      </c>
      <c r="F27" s="3"/>
      <c r="G27" s="3" t="s">
        <v>65</v>
      </c>
      <c r="H27" s="3" t="s">
        <v>31</v>
      </c>
      <c r="I27" s="3" t="s">
        <v>103</v>
      </c>
      <c r="J27" s="3" t="s">
        <v>27</v>
      </c>
      <c r="K27" s="3">
        <f>6*8</f>
        <v>48</v>
      </c>
      <c r="L27" s="3" t="s">
        <v>89</v>
      </c>
      <c r="M27" s="2"/>
      <c r="N27" s="3"/>
      <c r="O27" s="9">
        <f>0.47*Table2[[#This Row],[قيمة المحضر]]</f>
        <v>0</v>
      </c>
      <c r="P27" s="9">
        <f>0.17*Table2[[#This Row],[قيمة المحضر]]</f>
        <v>0</v>
      </c>
      <c r="Q27" s="9">
        <f t="shared" ca="1" si="2"/>
        <v>12240</v>
      </c>
      <c r="R27" s="3"/>
      <c r="S27" s="3"/>
      <c r="T27" s="9" t="str">
        <f t="shared" si="0"/>
        <v>-</v>
      </c>
      <c r="U27" s="3" t="s">
        <v>25</v>
      </c>
      <c r="V27" s="9" t="str">
        <f t="shared" si="1"/>
        <v>-</v>
      </c>
      <c r="W27" s="4"/>
      <c r="X27" s="38"/>
      <c r="Y27" s="1">
        <f t="shared" ca="1" si="3"/>
        <v>46162</v>
      </c>
      <c r="Z27" s="1" cm="1">
        <f t="array" aca="1" ref="Z27" ca="1">IF(D27&gt;DATE(2015,5,16),0,
K27*
(
INT((MIN(Y27,DATE(2015,5,16))-D27)/365)
+
CEILING(MOD((MIN(Y27,DATE(2015,5,16))-D27)/365,1),0.25)
)
*
_xlfn.SWITCH(J27,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192</v>
      </c>
      <c r="AA27" s="1" cm="1">
        <f t="array" aca="1" ref="AA27" ca="1">IF(Y27&lt;DATE(2015,5,17),0,
K27*
(
INT((MIN(Y27,DATE(2018,9,23))-MAX(D27,DATE(2015,5,17)))/365)
+
CEILING(MOD((MIN(Y27,DATE(2018,9,23))-MAX(D27,DATE(2015,5,17)))/365,1),0.25)
)
*
_xlfn.SWITCH(J27,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1344</v>
      </c>
      <c r="AB27" s="1" cm="1">
        <f t="array" aca="1" ref="AB27" ca="1">IF(Y27&lt;DATE(2018,9,24),0,
IF(J27="زراعة",
K27*
(
INT((MIN(Y27,DATE(2023,4,30))-MAX(D27,DATE(2018,9,24)))/365)
+
CEILING(MOD((MIN(Y27,DATE(2023,4,30))-MAX(D27,DATE(2018,9,24)))/365,1),0.25)
)
*1,
K27*
(
DATEDIF(MAX(D27,DATE(2018,9,24)),MIN(Y27,DATE(2023,4,30)),"m")+1
)
*
_xlfn.SWITCH(J27,
"موقف/تندة",IF(D27&lt;DATE(2019,11,30),6,30),
"تشوينات",IF(D27&lt;DATE(2019,11,30),4,20),
"مشاتل",IF(D27&lt;DATE(2019,11,30),2,10),
"كافيتيريا",IF(D27&lt;DATE(2019,11,30),30,150),
"نوادي",IF(D27&lt;DATE(2019,11,30),6,30),
"رسو مراكب",IF(D27&lt;DATE(2019,11,30),2,10),
"مباني",IF(D27&lt;DATE(2018,9,24),2,10),
"عشش",IF(D27&lt;DATE(2019,11,30),2,10),
"كشك (تجاري/صناعي)",IF(D27&lt;DATE(2019,11,30),10,50),
"ردم",20,
0)))</f>
        <v>5376</v>
      </c>
      <c r="AC27" s="1" cm="1">
        <f t="array" aca="1" ref="AC27" ca="1">IF(Y27&lt;DATE(2023,5,1),0,
IF(J27="زراعة",
K27*
(
INT((Y27-MAX(DATE(2023,5,1),D27))/365)
+
CEILING(MOD((Y27-MAX(DATE(2023,5,1),D27))/365,1),0.25)
)
*3,
IF(J27="ردم",
K27*20,
K27*
(
DATEDIF(MAX(DATE(2023,5,1),D27),Y27,"m")+1
)
*
_xlfn.SWITCH(J27,
"موقف/تندة",6,
"تشوينات",4,
"مشاتل",2,
"رسو مراكب",6,
"مباني",3,
"عشش",1,
"كشك (تجاري/صناعي)",20,
"مواسير صرف صحي (&lt;1م)",16,
"مواسير صرف صحي (&gt;1م)",18,
0))))</f>
        <v>5328</v>
      </c>
      <c r="AD27" s="1">
        <f t="shared" ca="1" si="4"/>
        <v>55</v>
      </c>
    </row>
    <row r="28" spans="1:30" ht="30" customHeight="1" thickBot="1" x14ac:dyDescent="0.3">
      <c r="A28" s="30">
        <v>27</v>
      </c>
      <c r="B28" s="3">
        <v>107</v>
      </c>
      <c r="C28" s="3">
        <v>2014</v>
      </c>
      <c r="D28" s="2">
        <v>41863</v>
      </c>
      <c r="E28" s="11" t="s">
        <v>66</v>
      </c>
      <c r="F28" s="3"/>
      <c r="G28" s="3" t="s">
        <v>67</v>
      </c>
      <c r="H28" s="3" t="s">
        <v>31</v>
      </c>
      <c r="I28" s="3" t="s">
        <v>103</v>
      </c>
      <c r="J28" s="3" t="s">
        <v>27</v>
      </c>
      <c r="K28" s="3">
        <f>14*5</f>
        <v>70</v>
      </c>
      <c r="L28" s="3" t="s">
        <v>89</v>
      </c>
      <c r="M28" s="2"/>
      <c r="N28" s="3"/>
      <c r="O28" s="9">
        <f>0.47*Table2[[#This Row],[قيمة المحضر]]</f>
        <v>0</v>
      </c>
      <c r="P28" s="9">
        <f>0.17*Table2[[#This Row],[قيمة المحضر]]</f>
        <v>0</v>
      </c>
      <c r="Q28" s="9">
        <f t="shared" ca="1" si="2"/>
        <v>17850</v>
      </c>
      <c r="R28" s="3"/>
      <c r="S28" s="3"/>
      <c r="T28" s="9" t="str">
        <f t="shared" si="0"/>
        <v>-</v>
      </c>
      <c r="U28" s="3" t="s">
        <v>25</v>
      </c>
      <c r="V28" s="9" t="str">
        <f t="shared" si="1"/>
        <v>-</v>
      </c>
      <c r="W28" s="4"/>
      <c r="X28" s="38"/>
      <c r="Y28" s="1">
        <f t="shared" ca="1" si="3"/>
        <v>46162</v>
      </c>
      <c r="Z28" s="1" cm="1">
        <f t="array" aca="1" ref="Z28" ca="1">IF(D28&gt;DATE(2015,5,16),0,
K28*
(
INT((MIN(Y28,DATE(2015,5,16))-D28)/365)
+
CEILING(MOD((MIN(Y28,DATE(2015,5,16))-D28)/365,1),0.25)
)
*
_xlfn.SWITCH(J28,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280</v>
      </c>
      <c r="AA28" s="1" cm="1">
        <f t="array" aca="1" ref="AA28" ca="1">IF(Y28&lt;DATE(2015,5,17),0,
K28*
(
INT((MIN(Y28,DATE(2018,9,23))-MAX(D28,DATE(2015,5,17)))/365)
+
CEILING(MOD((MIN(Y28,DATE(2018,9,23))-MAX(D28,DATE(2015,5,17)))/365,1),0.25)
)
*
_xlfn.SWITCH(J28,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1960</v>
      </c>
      <c r="AB28" s="1" cm="1">
        <f t="array" aca="1" ref="AB28" ca="1">IF(Y28&lt;DATE(2018,9,24),0,
IF(J28="زراعة",
K28*
(
INT((MIN(Y28,DATE(2023,4,30))-MAX(D28,DATE(2018,9,24)))/365)
+
CEILING(MOD((MIN(Y28,DATE(2023,4,30))-MAX(D28,DATE(2018,9,24)))/365,1),0.25)
)
*1,
K28*
(
DATEDIF(MAX(D28,DATE(2018,9,24)),MIN(Y28,DATE(2023,4,30)),"m")+1
)
*
_xlfn.SWITCH(J28,
"موقف/تندة",IF(D28&lt;DATE(2019,11,30),6,30),
"تشوينات",IF(D28&lt;DATE(2019,11,30),4,20),
"مشاتل",IF(D28&lt;DATE(2019,11,30),2,10),
"كافيتيريا",IF(D28&lt;DATE(2019,11,30),30,150),
"نوادي",IF(D28&lt;DATE(2019,11,30),6,30),
"رسو مراكب",IF(D28&lt;DATE(2019,11,30),2,10),
"مباني",IF(D28&lt;DATE(2018,9,24),2,10),
"عشش",IF(D28&lt;DATE(2019,11,30),2,10),
"كشك (تجاري/صناعي)",IF(D28&lt;DATE(2019,11,30),10,50),
"ردم",20,
0)))</f>
        <v>7840</v>
      </c>
      <c r="AC28" s="1" cm="1">
        <f t="array" aca="1" ref="AC28" ca="1">IF(Y28&lt;DATE(2023,5,1),0,
IF(J28="زراعة",
K28*
(
INT((Y28-MAX(DATE(2023,5,1),D28))/365)
+
CEILING(MOD((Y28-MAX(DATE(2023,5,1),D28))/365,1),0.25)
)
*3,
IF(J28="ردم",
K28*20,
K28*
(
DATEDIF(MAX(DATE(2023,5,1),D28),Y28,"m")+1
)
*
_xlfn.SWITCH(J28,
"موقف/تندة",6,
"تشوينات",4,
"مشاتل",2,
"رسو مراكب",6,
"مباني",3,
"عشش",1,
"كشك (تجاري/صناعي)",20,
"مواسير صرف صحي (&lt;1م)",16,
"مواسير صرف صحي (&gt;1م)",18,
0))))</f>
        <v>7770</v>
      </c>
      <c r="AD28" s="1">
        <f t="shared" ca="1" si="4"/>
        <v>55</v>
      </c>
    </row>
    <row r="29" spans="1:30" ht="30" customHeight="1" thickBot="1" x14ac:dyDescent="0.3">
      <c r="A29" s="30">
        <v>28</v>
      </c>
      <c r="B29" s="3">
        <v>108</v>
      </c>
      <c r="C29" s="3">
        <v>2014</v>
      </c>
      <c r="D29" s="2">
        <v>41863</v>
      </c>
      <c r="E29" s="11" t="s">
        <v>68</v>
      </c>
      <c r="F29" s="3"/>
      <c r="G29" s="3" t="s">
        <v>69</v>
      </c>
      <c r="H29" s="3" t="s">
        <v>31</v>
      </c>
      <c r="I29" s="3" t="s">
        <v>103</v>
      </c>
      <c r="J29" s="3" t="s">
        <v>27</v>
      </c>
      <c r="K29" s="3">
        <f>14*5</f>
        <v>70</v>
      </c>
      <c r="L29" s="3" t="s">
        <v>89</v>
      </c>
      <c r="M29" s="2"/>
      <c r="N29" s="3"/>
      <c r="O29" s="9">
        <f>0.47*Table2[[#This Row],[قيمة المحضر]]</f>
        <v>0</v>
      </c>
      <c r="P29" s="9">
        <f>0.17*Table2[[#This Row],[قيمة المحضر]]</f>
        <v>0</v>
      </c>
      <c r="Q29" s="9">
        <f t="shared" ca="1" si="2"/>
        <v>17850</v>
      </c>
      <c r="R29" s="3"/>
      <c r="S29" s="3"/>
      <c r="T29" s="9" t="str">
        <f t="shared" si="0"/>
        <v>-</v>
      </c>
      <c r="U29" s="3" t="s">
        <v>25</v>
      </c>
      <c r="V29" s="9" t="str">
        <f t="shared" si="1"/>
        <v>-</v>
      </c>
      <c r="W29" s="4"/>
      <c r="X29" s="38"/>
      <c r="Y29" s="1">
        <f t="shared" ca="1" si="3"/>
        <v>46162</v>
      </c>
      <c r="Z29" s="1" cm="1">
        <f t="array" aca="1" ref="Z29" ca="1">IF(D29&gt;DATE(2015,5,16),0,
K29*
(
INT((MIN(Y29,DATE(2015,5,16))-D29)/365)
+
CEILING(MOD((MIN(Y29,DATE(2015,5,16))-D29)/365,1),0.25)
)
*
_xlfn.SWITCH(J29,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280</v>
      </c>
      <c r="AA29" s="1" cm="1">
        <f t="array" aca="1" ref="AA29" ca="1">IF(Y29&lt;DATE(2015,5,17),0,
K29*
(
INT((MIN(Y29,DATE(2018,9,23))-MAX(D29,DATE(2015,5,17)))/365)
+
CEILING(MOD((MIN(Y29,DATE(2018,9,23))-MAX(D29,DATE(2015,5,17)))/365,1),0.25)
)
*
_xlfn.SWITCH(J29,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1960</v>
      </c>
      <c r="AB29" s="1" cm="1">
        <f t="array" aca="1" ref="AB29" ca="1">IF(Y29&lt;DATE(2018,9,24),0,
IF(J29="زراعة",
K29*
(
INT((MIN(Y29,DATE(2023,4,30))-MAX(D29,DATE(2018,9,24)))/365)
+
CEILING(MOD((MIN(Y29,DATE(2023,4,30))-MAX(D29,DATE(2018,9,24)))/365,1),0.25)
)
*1,
K29*
(
DATEDIF(MAX(D29,DATE(2018,9,24)),MIN(Y29,DATE(2023,4,30)),"m")+1
)
*
_xlfn.SWITCH(J29,
"موقف/تندة",IF(D29&lt;DATE(2019,11,30),6,30),
"تشوينات",IF(D29&lt;DATE(2019,11,30),4,20),
"مشاتل",IF(D29&lt;DATE(2019,11,30),2,10),
"كافيتيريا",IF(D29&lt;DATE(2019,11,30),30,150),
"نوادي",IF(D29&lt;DATE(2019,11,30),6,30),
"رسو مراكب",IF(D29&lt;DATE(2019,11,30),2,10),
"مباني",IF(D29&lt;DATE(2018,9,24),2,10),
"عشش",IF(D29&lt;DATE(2019,11,30),2,10),
"كشك (تجاري/صناعي)",IF(D29&lt;DATE(2019,11,30),10,50),
"ردم",20,
0)))</f>
        <v>7840</v>
      </c>
      <c r="AC29" s="1" cm="1">
        <f t="array" aca="1" ref="AC29" ca="1">IF(Y29&lt;DATE(2023,5,1),0,
IF(J29="زراعة",
K29*
(
INT((Y29-MAX(DATE(2023,5,1),D29))/365)
+
CEILING(MOD((Y29-MAX(DATE(2023,5,1),D29))/365,1),0.25)
)
*3,
IF(J29="ردم",
K29*20,
K29*
(
DATEDIF(MAX(DATE(2023,5,1),D29),Y29,"m")+1
)
*
_xlfn.SWITCH(J29,
"موقف/تندة",6,
"تشوينات",4,
"مشاتل",2,
"رسو مراكب",6,
"مباني",3,
"عشش",1,
"كشك (تجاري/صناعي)",20,
"مواسير صرف صحي (&lt;1م)",16,
"مواسير صرف صحي (&gt;1م)",18,
0))))</f>
        <v>7770</v>
      </c>
      <c r="AD29" s="1">
        <f t="shared" ca="1" si="4"/>
        <v>55</v>
      </c>
    </row>
    <row r="30" spans="1:30" ht="30" customHeight="1" thickBot="1" x14ac:dyDescent="0.3">
      <c r="A30" s="30">
        <v>29</v>
      </c>
      <c r="B30" s="3">
        <v>109</v>
      </c>
      <c r="C30" s="3">
        <v>2014</v>
      </c>
      <c r="D30" s="2">
        <v>41863</v>
      </c>
      <c r="E30" s="11" t="s">
        <v>70</v>
      </c>
      <c r="F30" s="3"/>
      <c r="G30" s="3" t="s">
        <v>71</v>
      </c>
      <c r="H30" s="3" t="s">
        <v>31</v>
      </c>
      <c r="I30" s="3" t="s">
        <v>103</v>
      </c>
      <c r="J30" s="3" t="s">
        <v>28</v>
      </c>
      <c r="K30" s="3">
        <f>14*5</f>
        <v>70</v>
      </c>
      <c r="L30" s="3" t="s">
        <v>89</v>
      </c>
      <c r="M30" s="2"/>
      <c r="N30" s="3"/>
      <c r="O30" s="9">
        <f>0.47*Table2[[#This Row],[قيمة المحضر]]</f>
        <v>0</v>
      </c>
      <c r="P30" s="9">
        <f>0.17*Table2[[#This Row],[قيمة المحضر]]</f>
        <v>0</v>
      </c>
      <c r="Q30" s="9">
        <f t="shared" ca="1" si="2"/>
        <v>11480</v>
      </c>
      <c r="R30" s="3"/>
      <c r="S30" s="3"/>
      <c r="T30" s="9" t="str">
        <f t="shared" si="0"/>
        <v>-</v>
      </c>
      <c r="U30" s="3" t="s">
        <v>25</v>
      </c>
      <c r="V30" s="9" t="str">
        <f t="shared" si="1"/>
        <v>-</v>
      </c>
      <c r="W30" s="4"/>
      <c r="X30" s="38"/>
      <c r="Y30" s="1">
        <f t="shared" ca="1" si="3"/>
        <v>46162</v>
      </c>
      <c r="Z30" s="1" cm="1">
        <f t="array" aca="1" ref="Z30" ca="1">IF(D30&gt;DATE(2015,5,16),0,
K30*
(
INT((MIN(Y30,DATE(2015,5,16))-D30)/365)
+
CEILING(MOD((MIN(Y30,DATE(2015,5,16))-D30)/365,1),0.25)
)
*
_xlfn.SWITCH(J30,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70</v>
      </c>
      <c r="AA30" s="1" cm="1">
        <f t="array" aca="1" ref="AA30" ca="1">IF(Y30&lt;DATE(2015,5,17),0,
K30*
(
INT((MIN(Y30,DATE(2018,9,23))-MAX(D30,DATE(2015,5,17)))/365)
+
CEILING(MOD((MIN(Y30,DATE(2018,9,23))-MAX(D30,DATE(2015,5,17)))/365,1),0.25)
)
*
_xlfn.SWITCH(J30,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980</v>
      </c>
      <c r="AB30" s="1" cm="1">
        <f t="array" aca="1" ref="AB30" ca="1">IF(Y30&lt;DATE(2018,9,24),0,
IF(J30="زراعة",
K30*
(
INT((MIN(Y30,DATE(2023,4,30))-MAX(D30,DATE(2018,9,24)))/365)
+
CEILING(MOD((MIN(Y30,DATE(2023,4,30))-MAX(D30,DATE(2018,9,24)))/365,1),0.25)
)
*1,
K30*
(
DATEDIF(MAX(D30,DATE(2018,9,24)),MIN(Y30,DATE(2023,4,30)),"m")+1
)
*
_xlfn.SWITCH(J30,
"موقف/تندة",IF(D30&lt;DATE(2019,11,30),6,30),
"تشوينات",IF(D30&lt;DATE(2019,11,30),4,20),
"مشاتل",IF(D30&lt;DATE(2019,11,30),2,10),
"كافيتيريا",IF(D30&lt;DATE(2019,11,30),30,150),
"نوادي",IF(D30&lt;DATE(2019,11,30),6,30),
"رسو مراكب",IF(D30&lt;DATE(2019,11,30),2,10),
"مباني",IF(D30&lt;DATE(2018,9,24),2,10),
"عشش",IF(D30&lt;DATE(2019,11,30),2,10),
"كشك (تجاري/صناعي)",IF(D30&lt;DATE(2019,11,30),10,50),
"ردم",20,
0)))</f>
        <v>7840</v>
      </c>
      <c r="AC30" s="1" cm="1">
        <f t="array" aca="1" ref="AC30" ca="1">IF(Y30&lt;DATE(2023,5,1),0,
IF(J30="زراعة",
K30*
(
INT((Y30-MAX(DATE(2023,5,1),D30))/365)
+
CEILING(MOD((Y30-MAX(DATE(2023,5,1),D30))/365,1),0.25)
)
*3,
IF(J30="ردم",
K30*20,
K30*
(
DATEDIF(MAX(DATE(2023,5,1),D30),Y30,"m")+1
)
*
_xlfn.SWITCH(J30,
"موقف/تندة",6,
"تشوينات",4,
"مشاتل",2,
"رسو مراكب",6,
"مباني",3,
"عشش",1,
"كشك (تجاري/صناعي)",20,
"مواسير صرف صحي (&lt;1م)",16,
"مواسير صرف صحي (&gt;1م)",18,
0))))</f>
        <v>2590</v>
      </c>
      <c r="AD30" s="1">
        <f t="shared" ca="1" si="4"/>
        <v>55</v>
      </c>
    </row>
    <row r="31" spans="1:30" ht="30" customHeight="1" thickBot="1" x14ac:dyDescent="0.3">
      <c r="A31" s="30">
        <v>30</v>
      </c>
      <c r="B31" s="3">
        <v>110</v>
      </c>
      <c r="C31" s="3">
        <v>2014</v>
      </c>
      <c r="D31" s="2">
        <v>41863</v>
      </c>
      <c r="E31" s="11" t="s">
        <v>72</v>
      </c>
      <c r="F31" s="3"/>
      <c r="G31" s="3" t="s">
        <v>73</v>
      </c>
      <c r="H31" s="3" t="s">
        <v>31</v>
      </c>
      <c r="I31" s="3" t="s">
        <v>103</v>
      </c>
      <c r="J31" s="3" t="s">
        <v>28</v>
      </c>
      <c r="K31" s="3">
        <f>14*5</f>
        <v>70</v>
      </c>
      <c r="L31" s="3" t="s">
        <v>89</v>
      </c>
      <c r="M31" s="2"/>
      <c r="N31" s="3"/>
      <c r="O31" s="9">
        <f>0.47*Table2[[#This Row],[قيمة المحضر]]</f>
        <v>0</v>
      </c>
      <c r="P31" s="9">
        <f>0.17*Table2[[#This Row],[قيمة المحضر]]</f>
        <v>0</v>
      </c>
      <c r="Q31" s="9">
        <f t="shared" ca="1" si="2"/>
        <v>11480</v>
      </c>
      <c r="R31" s="3"/>
      <c r="S31" s="3"/>
      <c r="T31" s="9" t="str">
        <f t="shared" si="0"/>
        <v>-</v>
      </c>
      <c r="U31" s="3" t="s">
        <v>25</v>
      </c>
      <c r="V31" s="9" t="str">
        <f t="shared" si="1"/>
        <v>-</v>
      </c>
      <c r="W31" s="4"/>
      <c r="X31" s="38"/>
      <c r="Y31" s="1">
        <f t="shared" ca="1" si="3"/>
        <v>46162</v>
      </c>
      <c r="Z31" s="1" cm="1">
        <f t="array" aca="1" ref="Z31" ca="1">IF(D31&gt;DATE(2015,5,16),0,
K31*
(
INT((MIN(Y31,DATE(2015,5,16))-D31)/365)
+
CEILING(MOD((MIN(Y31,DATE(2015,5,16))-D31)/365,1),0.25)
)
*
_xlfn.SWITCH(J31,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70</v>
      </c>
      <c r="AA31" s="1" cm="1">
        <f t="array" aca="1" ref="AA31" ca="1">IF(Y31&lt;DATE(2015,5,17),0,
K31*
(
INT((MIN(Y31,DATE(2018,9,23))-MAX(D31,DATE(2015,5,17)))/365)
+
CEILING(MOD((MIN(Y31,DATE(2018,9,23))-MAX(D31,DATE(2015,5,17)))/365,1),0.25)
)
*
_xlfn.SWITCH(J31,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980</v>
      </c>
      <c r="AB31" s="1" cm="1">
        <f t="array" aca="1" ref="AB31" ca="1">IF(Y31&lt;DATE(2018,9,24),0,
IF(J31="زراعة",
K31*
(
INT((MIN(Y31,DATE(2023,4,30))-MAX(D31,DATE(2018,9,24)))/365)
+
CEILING(MOD((MIN(Y31,DATE(2023,4,30))-MAX(D31,DATE(2018,9,24)))/365,1),0.25)
)
*1,
K31*
(
DATEDIF(MAX(D31,DATE(2018,9,24)),MIN(Y31,DATE(2023,4,30)),"m")+1
)
*
_xlfn.SWITCH(J31,
"موقف/تندة",IF(D31&lt;DATE(2019,11,30),6,30),
"تشوينات",IF(D31&lt;DATE(2019,11,30),4,20),
"مشاتل",IF(D31&lt;DATE(2019,11,30),2,10),
"كافيتيريا",IF(D31&lt;DATE(2019,11,30),30,150),
"نوادي",IF(D31&lt;DATE(2019,11,30),6,30),
"رسو مراكب",IF(D31&lt;DATE(2019,11,30),2,10),
"مباني",IF(D31&lt;DATE(2018,9,24),2,10),
"عشش",IF(D31&lt;DATE(2019,11,30),2,10),
"كشك (تجاري/صناعي)",IF(D31&lt;DATE(2019,11,30),10,50),
"ردم",20,
0)))</f>
        <v>7840</v>
      </c>
      <c r="AC31" s="1" cm="1">
        <f t="array" aca="1" ref="AC31" ca="1">IF(Y31&lt;DATE(2023,5,1),0,
IF(J31="زراعة",
K31*
(
INT((Y31-MAX(DATE(2023,5,1),D31))/365)
+
CEILING(MOD((Y31-MAX(DATE(2023,5,1),D31))/365,1),0.25)
)
*3,
IF(J31="ردم",
K31*20,
K31*
(
DATEDIF(MAX(DATE(2023,5,1),D31),Y31,"m")+1
)
*
_xlfn.SWITCH(J31,
"موقف/تندة",6,
"تشوينات",4,
"مشاتل",2,
"رسو مراكب",6,
"مباني",3,
"عشش",1,
"كشك (تجاري/صناعي)",20,
"مواسير صرف صحي (&lt;1م)",16,
"مواسير صرف صحي (&gt;1م)",18,
0))))</f>
        <v>2590</v>
      </c>
      <c r="AD31" s="1">
        <f t="shared" ca="1" si="4"/>
        <v>55</v>
      </c>
    </row>
    <row r="32" spans="1:30" ht="30" customHeight="1" thickBot="1" x14ac:dyDescent="0.3">
      <c r="A32" s="30">
        <v>31</v>
      </c>
      <c r="B32" s="3">
        <v>111</v>
      </c>
      <c r="C32" s="3">
        <v>2014</v>
      </c>
      <c r="D32" s="2">
        <v>41858</v>
      </c>
      <c r="E32" s="11" t="s">
        <v>74</v>
      </c>
      <c r="F32" s="3"/>
      <c r="G32" s="3" t="s">
        <v>75</v>
      </c>
      <c r="H32" s="3" t="s">
        <v>31</v>
      </c>
      <c r="I32" s="3" t="s">
        <v>103</v>
      </c>
      <c r="J32" s="3" t="s">
        <v>27</v>
      </c>
      <c r="K32" s="3">
        <f>8*5</f>
        <v>40</v>
      </c>
      <c r="L32" s="3" t="s">
        <v>89</v>
      </c>
      <c r="M32" s="2"/>
      <c r="N32" s="3"/>
      <c r="O32" s="9">
        <f>0.47*Table2[[#This Row],[قيمة المحضر]]</f>
        <v>0</v>
      </c>
      <c r="P32" s="9">
        <f>0.17*Table2[[#This Row],[قيمة المحضر]]</f>
        <v>0</v>
      </c>
      <c r="Q32" s="9">
        <f t="shared" ca="1" si="2"/>
        <v>10200</v>
      </c>
      <c r="R32" s="3"/>
      <c r="S32" s="3"/>
      <c r="T32" s="9" t="str">
        <f t="shared" si="0"/>
        <v>-</v>
      </c>
      <c r="U32" s="3" t="s">
        <v>25</v>
      </c>
      <c r="V32" s="9" t="str">
        <f t="shared" si="1"/>
        <v>-</v>
      </c>
      <c r="W32" s="4"/>
      <c r="X32" s="38"/>
      <c r="Y32" s="1">
        <f t="shared" ca="1" si="3"/>
        <v>46162</v>
      </c>
      <c r="Z32" s="1" cm="1">
        <f t="array" aca="1" ref="Z32" ca="1">IF(D32&gt;DATE(2015,5,16),0,
K32*
(
INT((MIN(Y32,DATE(2015,5,16))-D32)/365)
+
CEILING(MOD((MIN(Y32,DATE(2015,5,16))-D32)/365,1),0.25)
)
*
_xlfn.SWITCH(J32,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160</v>
      </c>
      <c r="AA32" s="1" cm="1">
        <f t="array" aca="1" ref="AA32" ca="1">IF(Y32&lt;DATE(2015,5,17),0,
K32*
(
INT((MIN(Y32,DATE(2018,9,23))-MAX(D32,DATE(2015,5,17)))/365)
+
CEILING(MOD((MIN(Y32,DATE(2018,9,23))-MAX(D32,DATE(2015,5,17)))/365,1),0.25)
)
*
_xlfn.SWITCH(J32,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1120</v>
      </c>
      <c r="AB32" s="1" cm="1">
        <f t="array" aca="1" ref="AB32" ca="1">IF(Y32&lt;DATE(2018,9,24),0,
IF(J32="زراعة",
K32*
(
INT((MIN(Y32,DATE(2023,4,30))-MAX(D32,DATE(2018,9,24)))/365)
+
CEILING(MOD((MIN(Y32,DATE(2023,4,30))-MAX(D32,DATE(2018,9,24)))/365,1),0.25)
)
*1,
K32*
(
DATEDIF(MAX(D32,DATE(2018,9,24)),MIN(Y32,DATE(2023,4,30)),"m")+1
)
*
_xlfn.SWITCH(J32,
"موقف/تندة",IF(D32&lt;DATE(2019,11,30),6,30),
"تشوينات",IF(D32&lt;DATE(2019,11,30),4,20),
"مشاتل",IF(D32&lt;DATE(2019,11,30),2,10),
"كافيتيريا",IF(D32&lt;DATE(2019,11,30),30,150),
"نوادي",IF(D32&lt;DATE(2019,11,30),6,30),
"رسو مراكب",IF(D32&lt;DATE(2019,11,30),2,10),
"مباني",IF(D32&lt;DATE(2018,9,24),2,10),
"عشش",IF(D32&lt;DATE(2019,11,30),2,10),
"كشك (تجاري/صناعي)",IF(D32&lt;DATE(2019,11,30),10,50),
"ردم",20,
0)))</f>
        <v>4480</v>
      </c>
      <c r="AC32" s="1" cm="1">
        <f t="array" aca="1" ref="AC32" ca="1">IF(Y32&lt;DATE(2023,5,1),0,
IF(J32="زراعة",
K32*
(
INT((Y32-MAX(DATE(2023,5,1),D32))/365)
+
CEILING(MOD((Y32-MAX(DATE(2023,5,1),D32))/365,1),0.25)
)
*3,
IF(J32="ردم",
K32*20,
K32*
(
DATEDIF(MAX(DATE(2023,5,1),D32),Y32,"m")+1
)
*
_xlfn.SWITCH(J32,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2" s="1">
        <f t="shared" ca="1" si="4"/>
        <v>55</v>
      </c>
    </row>
    <row r="33" spans="1:30" ht="30" customHeight="1" thickBot="1" x14ac:dyDescent="0.3">
      <c r="A33" s="30">
        <v>32</v>
      </c>
      <c r="B33" s="3">
        <v>112</v>
      </c>
      <c r="C33" s="3">
        <v>2014</v>
      </c>
      <c r="D33" s="2">
        <v>41889</v>
      </c>
      <c r="E33" s="11"/>
      <c r="F33" s="3"/>
      <c r="G33" s="3" t="s">
        <v>76</v>
      </c>
      <c r="H33" s="3" t="s">
        <v>31</v>
      </c>
      <c r="I33" s="3" t="s">
        <v>103</v>
      </c>
      <c r="J33" s="3" t="s">
        <v>77</v>
      </c>
      <c r="K33" s="3">
        <f>15*1</f>
        <v>15</v>
      </c>
      <c r="L33" s="3" t="s">
        <v>89</v>
      </c>
      <c r="M33" s="2"/>
      <c r="N33" s="3"/>
      <c r="O33" s="9">
        <f>0.47*Table2[[#This Row],[قيمة المحضر]]</f>
        <v>0</v>
      </c>
      <c r="P33" s="9">
        <f>0.17*Table2[[#This Row],[قيمة المحضر]]</f>
        <v>0</v>
      </c>
      <c r="Q33" s="9">
        <f t="shared" ca="1" si="2"/>
        <v>18375</v>
      </c>
      <c r="R33" s="3"/>
      <c r="S33" s="3"/>
      <c r="T33" s="9" t="str">
        <f t="shared" si="0"/>
        <v>-</v>
      </c>
      <c r="U33" s="3" t="s">
        <v>25</v>
      </c>
      <c r="V33" s="9" t="str">
        <f t="shared" si="1"/>
        <v>-</v>
      </c>
      <c r="W33" s="4"/>
      <c r="X33" s="38"/>
      <c r="Y33" s="1">
        <f t="shared" ca="1" si="3"/>
        <v>46162</v>
      </c>
      <c r="Z33" s="1" cm="1">
        <f t="array" aca="1" ref="Z33" ca="1">IF(D33&gt;DATE(2015,5,16),0,
K33*
(
INT((MIN(Y33,DATE(2015,5,16))-D33)/365)
+
CEILING(MOD((MIN(Y33,DATE(2015,5,16))-D33)/365,1),0.25)
)
*
_xlfn.SWITCH(J33,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225</v>
      </c>
      <c r="AA33" s="1" cm="1">
        <f t="array" aca="1" ref="AA33" ca="1">IF(Y33&lt;DATE(2015,5,17),0,
K33*
(
INT((MIN(Y33,DATE(2018,9,23))-MAX(D33,DATE(2015,5,17)))/365)
+
CEILING(MOD((MIN(Y33,DATE(2018,9,23))-MAX(D33,DATE(2015,5,17)))/365,1),0.25)
)
*
_xlfn.SWITCH(J33,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1050</v>
      </c>
      <c r="AB33" s="1" cm="1">
        <f t="array" aca="1" ref="AB33" ca="1">IF(Y33&lt;DATE(2018,9,24),0,
IF(J33="زراعة",
K33*
(
INT((MIN(Y33,DATE(2023,4,30))-MAX(D33,DATE(2018,9,24)))/365)
+
CEILING(MOD((MIN(Y33,DATE(2023,4,30))-MAX(D33,DATE(2018,9,24)))/365,1),0.25)
)
*1,
K33*
(
DATEDIF(MAX(D33,DATE(2018,9,24)),MIN(Y33,DATE(2023,4,30)),"m")+1
)
*
_xlfn.SWITCH(J33,
"موقف/تندة",IF(D33&lt;DATE(2019,11,30),6,30),
"تشوينات",IF(D33&lt;DATE(2019,11,30),4,20),
"مشاتل",IF(D33&lt;DATE(2019,11,30),2,10),
"كافيتيريا",IF(D33&lt;DATE(2019,11,30),30,150),
"نوادي",IF(D33&lt;DATE(2019,11,30),6,30),
"رسو مراكب",IF(D33&lt;DATE(2019,11,30),2,10),
"مباني",IF(D33&lt;DATE(2018,9,24),2,10),
"عشش",IF(D33&lt;DATE(2019,11,30),2,10),
"كشك (تجاري/صناعي)",IF(D33&lt;DATE(2019,11,30),10,50),
"ردم",20,
0)))</f>
        <v>16800</v>
      </c>
      <c r="AC33" s="1" cm="1">
        <f t="array" aca="1" ref="AC33" ca="1">IF(Y33&lt;DATE(2023,5,1),0,
IF(J33="زراعة",
K33*
(
INT((Y33-MAX(DATE(2023,5,1),D33))/365)
+
CEILING(MOD((Y33-MAX(DATE(2023,5,1),D33))/365,1),0.25)
)
*3,
IF(J33="ردم",
K33*20,
K33*
(
DATEDIF(MAX(DATE(2023,5,1),D33),Y33,"m")+1
)
*
_xlfn.SWITCH(J33,
"موقف/تندة",6,
"تشوينات",4,
"مشاتل",2,
"رسو مراكب",6,
"مباني",3,
"عشش",1,
"كشك (تجاري/صناعي)",20,
"مواسير صرف صحي (&lt;1م)",16,
"مواسير صرف صحي (&gt;1م)",18,
0))))</f>
        <v>300</v>
      </c>
      <c r="AD33" s="1">
        <f t="shared" ca="1" si="4"/>
        <v>55</v>
      </c>
    </row>
    <row r="34" spans="1:30" ht="30" customHeight="1" thickBot="1" x14ac:dyDescent="0.3">
      <c r="A34" s="30">
        <v>33</v>
      </c>
      <c r="B34" s="3">
        <v>113</v>
      </c>
      <c r="C34" s="3">
        <v>2014</v>
      </c>
      <c r="D34" s="2" t="s">
        <v>31</v>
      </c>
      <c r="E34" s="11" t="s">
        <v>78</v>
      </c>
      <c r="F34" s="3"/>
      <c r="G34" s="3" t="s">
        <v>79</v>
      </c>
      <c r="H34" s="3" t="s">
        <v>31</v>
      </c>
      <c r="I34" s="3" t="s">
        <v>103</v>
      </c>
      <c r="J34" s="3" t="s">
        <v>27</v>
      </c>
      <c r="K34" s="3">
        <f>12*2</f>
        <v>24</v>
      </c>
      <c r="L34" s="3" t="s">
        <v>89</v>
      </c>
      <c r="M34" s="2"/>
      <c r="N34" s="3"/>
      <c r="O34" s="9">
        <f>0.47*Table2[[#This Row],[قيمة المحضر]]</f>
        <v>0</v>
      </c>
      <c r="P34" s="9">
        <f>0.17*Table2[[#This Row],[قيمة المحضر]]</f>
        <v>0</v>
      </c>
      <c r="Q34" s="9">
        <f t="shared" ca="1" si="2"/>
        <v>16776</v>
      </c>
      <c r="R34" s="3"/>
      <c r="S34" s="3"/>
      <c r="T34" s="9" t="str">
        <f t="shared" si="0"/>
        <v>-</v>
      </c>
      <c r="U34" s="3" t="s">
        <v>25</v>
      </c>
      <c r="V34" s="9" t="str">
        <f t="shared" si="1"/>
        <v>-</v>
      </c>
      <c r="W34" s="4"/>
      <c r="X34" s="38"/>
      <c r="Y34" s="1">
        <f t="shared" ca="1" si="3"/>
        <v>46162</v>
      </c>
      <c r="Z34" s="1" cm="1">
        <f t="array" ref="Z34">IF(D34&gt;DATE(2015,5,16),0,
K34*
(
INT((MIN(Y34,DATE(2015,5,16))-D34)/365)
+
CEILING(MOD((MIN(Y34,DATE(2015,5,16))-D34)/365,1),0.25)
)
*
_xlfn.SWITCH(J34,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4" s="1" cm="1">
        <f t="array" aca="1" ref="AA34" ca="1">IF(Y34&lt;DATE(2015,5,17),0,
K34*
(
INT((MIN(Y34,DATE(2018,9,23))-MAX(D34,DATE(2015,5,17)))/365)
+
CEILING(MOD((MIN(Y34,DATE(2018,9,23))-MAX(D34,DATE(2015,5,17)))/365,1),0.25)
)
*
_xlfn.SWITCH(J34,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672</v>
      </c>
      <c r="AB34" s="1" cm="1">
        <f t="array" aca="1" ref="AB34" ca="1">IF(Y34&lt;DATE(2018,9,24),0,
IF(J34="زراعة",
K34*
(
INT((MIN(Y34,DATE(2023,4,30))-MAX(D34,DATE(2018,9,24)))/365)
+
CEILING(MOD((MIN(Y34,DATE(2023,4,30))-MAX(D34,DATE(2018,9,24)))/365,1),0.25)
)
*1,
K34*
(
DATEDIF(MAX(D34,DATE(2018,9,24)),MIN(Y34,DATE(2023,4,30)),"m")+1
)
*
_xlfn.SWITCH(J34,
"موقف/تندة",IF(D34&lt;DATE(2019,11,30),6,30),
"تشوينات",IF(D34&lt;DATE(2019,11,30),4,20),
"مشاتل",IF(D34&lt;DATE(2019,11,30),2,10),
"كافيتيريا",IF(D34&lt;DATE(2019,11,30),30,150),
"نوادي",IF(D34&lt;DATE(2019,11,30),6,30),
"رسو مراكب",IF(D34&lt;DATE(2019,11,30),2,10),
"مباني",IF(D34&lt;DATE(2018,9,24),2,10),
"عشش",IF(D34&lt;DATE(2019,11,30),2,10),
"كشك (تجاري/صناعي)",IF(D34&lt;DATE(2019,11,30),10,50),
"ردم",20,
0)))</f>
        <v>13440</v>
      </c>
      <c r="AC34" s="1" cm="1">
        <f t="array" aca="1" ref="AC34" ca="1">IF(Y34&lt;DATE(2023,5,1),0,
IF(J34="زراعة",
K34*
(
INT((Y34-MAX(DATE(2023,5,1),D34))/365)
+
CEILING(MOD((Y34-MAX(DATE(2023,5,1),D34))/365,1),0.25)
)
*3,
IF(J34="ردم",
K34*20,
K34*
(
DATEDIF(MAX(DATE(2023,5,1),D34),Y34,"m")+1
)
*
_xlfn.SWITCH(J34,
"موقف/تندة",6,
"تشوينات",4,
"مشاتل",2,
"رسو مراكب",6,
"مباني",3,
"عشش",1,
"كشك (تجاري/صناعي)",20,
"مواسير صرف صحي (&lt;1م)",16,
"مواسير صرف صحي (&gt;1م)",18,
0))))</f>
        <v>2664</v>
      </c>
      <c r="AD34" s="1">
        <f t="shared" ca="1" si="4"/>
        <v>55</v>
      </c>
    </row>
    <row r="35" spans="1:30" ht="30" customHeight="1" thickBot="1" x14ac:dyDescent="0.3">
      <c r="A35" s="30">
        <v>34</v>
      </c>
      <c r="B35" s="3">
        <v>114</v>
      </c>
      <c r="C35" s="3">
        <v>2014</v>
      </c>
      <c r="D35" s="2">
        <v>41889</v>
      </c>
      <c r="E35" s="11"/>
      <c r="F35" s="3"/>
      <c r="G35" s="3" t="s">
        <v>80</v>
      </c>
      <c r="H35" s="3" t="s">
        <v>31</v>
      </c>
      <c r="I35" s="3" t="s">
        <v>103</v>
      </c>
      <c r="J35" s="3" t="s">
        <v>27</v>
      </c>
      <c r="K35" s="3">
        <f>35*7</f>
        <v>245</v>
      </c>
      <c r="L35" s="3" t="s">
        <v>89</v>
      </c>
      <c r="M35" s="2"/>
      <c r="N35" s="3"/>
      <c r="O35" s="9">
        <f>0.47*Table2[[#This Row],[قيمة المحضر]]</f>
        <v>0</v>
      </c>
      <c r="P35" s="9">
        <f>0.17*Table2[[#This Row],[قيمة المحضر]]</f>
        <v>0</v>
      </c>
      <c r="Q35" s="9">
        <f t="shared" ca="1" si="2"/>
        <v>62230</v>
      </c>
      <c r="R35" s="3"/>
      <c r="S35" s="3"/>
      <c r="T35" s="9" t="str">
        <f t="shared" si="0"/>
        <v>-</v>
      </c>
      <c r="U35" s="3" t="s">
        <v>25</v>
      </c>
      <c r="V35" s="9" t="str">
        <f t="shared" si="1"/>
        <v>-</v>
      </c>
      <c r="W35" s="4"/>
      <c r="X35" s="38"/>
      <c r="Y35" s="1">
        <f t="shared" ca="1" si="3"/>
        <v>46162</v>
      </c>
      <c r="Z35" s="1" cm="1">
        <f t="array" aca="1" ref="Z35" ca="1">IF(D35&gt;DATE(2015,5,16),0,
K35*
(
INT((MIN(Y35,DATE(2015,5,16))-D35)/365)
+
CEILING(MOD((MIN(Y35,DATE(2015,5,16))-D35)/365,1),0.25)
)
*
_xlfn.SWITCH(J35,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735</v>
      </c>
      <c r="AA35" s="1" cm="1">
        <f t="array" aca="1" ref="AA35" ca="1">IF(Y35&lt;DATE(2015,5,17),0,
K35*
(
INT((MIN(Y35,DATE(2018,9,23))-MAX(D35,DATE(2015,5,17)))/365)
+
CEILING(MOD((MIN(Y35,DATE(2018,9,23))-MAX(D35,DATE(2015,5,17)))/365,1),0.25)
)
*
_xlfn.SWITCH(J35,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6860</v>
      </c>
      <c r="AB35" s="1" cm="1">
        <f t="array" aca="1" ref="AB35" ca="1">IF(Y35&lt;DATE(2018,9,24),0,
IF(J35="زراعة",
K35*
(
INT((MIN(Y35,DATE(2023,4,30))-MAX(D35,DATE(2018,9,24)))/365)
+
CEILING(MOD((MIN(Y35,DATE(2023,4,30))-MAX(D35,DATE(2018,9,24)))/365,1),0.25)
)
*1,
K35*
(
DATEDIF(MAX(D35,DATE(2018,9,24)),MIN(Y35,DATE(2023,4,30)),"m")+1
)
*
_xlfn.SWITCH(J35,
"موقف/تندة",IF(D35&lt;DATE(2019,11,30),6,30),
"تشوينات",IF(D35&lt;DATE(2019,11,30),4,20),
"مشاتل",IF(D35&lt;DATE(2019,11,30),2,10),
"كافيتيريا",IF(D35&lt;DATE(2019,11,30),30,150),
"نوادي",IF(D35&lt;DATE(2019,11,30),6,30),
"رسو مراكب",IF(D35&lt;DATE(2019,11,30),2,10),
"مباني",IF(D35&lt;DATE(2018,9,24),2,10),
"عشش",IF(D35&lt;DATE(2019,11,30),2,10),
"كشك (تجاري/صناعي)",IF(D35&lt;DATE(2019,11,30),10,50),
"ردم",20,
0)))</f>
        <v>27440</v>
      </c>
      <c r="AC35" s="1" cm="1">
        <f t="array" aca="1" ref="AC35" ca="1">IF(Y35&lt;DATE(2023,5,1),0,
IF(J35="زراعة",
K35*
(
INT((Y35-MAX(DATE(2023,5,1),D35))/365)
+
CEILING(MOD((Y35-MAX(DATE(2023,5,1),D35))/365,1),0.25)
)
*3,
IF(J35="ردم",
K35*20,
K35*
(
DATEDIF(MAX(DATE(2023,5,1),D35),Y35,"m")+1
)
*
_xlfn.SWITCH(J35,
"موقف/تندة",6,
"تشوينات",4,
"مشاتل",2,
"رسو مراكب",6,
"مباني",3,
"عشش",1,
"كشك (تجاري/صناعي)",20,
"مواسير صرف صحي (&lt;1م)",16,
"مواسير صرف صحي (&gt;1م)",18,
0))))</f>
        <v>27195</v>
      </c>
      <c r="AD35" s="1">
        <f t="shared" ca="1" si="4"/>
        <v>55</v>
      </c>
    </row>
    <row r="36" spans="1:30" ht="30" customHeight="1" thickBot="1" x14ac:dyDescent="0.3">
      <c r="A36" s="30">
        <v>35</v>
      </c>
      <c r="B36" s="3">
        <v>115</v>
      </c>
      <c r="C36" s="3">
        <v>2014</v>
      </c>
      <c r="D36" s="2">
        <v>41889</v>
      </c>
      <c r="E36" s="11"/>
      <c r="F36" s="3"/>
      <c r="G36" s="3" t="s">
        <v>81</v>
      </c>
      <c r="H36" s="3" t="s">
        <v>31</v>
      </c>
      <c r="I36" s="3" t="s">
        <v>82</v>
      </c>
      <c r="J36" s="3" t="s">
        <v>27</v>
      </c>
      <c r="K36" s="3">
        <f>20*7</f>
        <v>140</v>
      </c>
      <c r="L36" s="3" t="s">
        <v>89</v>
      </c>
      <c r="M36" s="2"/>
      <c r="N36" s="3"/>
      <c r="O36" s="9">
        <f>0.47*Table2[[#This Row],[قيمة المحضر]]</f>
        <v>0</v>
      </c>
      <c r="P36" s="9">
        <f>0.17*Table2[[#This Row],[قيمة المحضر]]</f>
        <v>0</v>
      </c>
      <c r="Q36" s="9">
        <f t="shared" ca="1" si="2"/>
        <v>35560</v>
      </c>
      <c r="R36" s="3"/>
      <c r="S36" s="3"/>
      <c r="T36" s="9" t="str">
        <f t="shared" si="0"/>
        <v>-</v>
      </c>
      <c r="U36" s="3" t="s">
        <v>25</v>
      </c>
      <c r="V36" s="9" t="str">
        <f t="shared" si="1"/>
        <v>-</v>
      </c>
      <c r="W36" s="4"/>
      <c r="X36" s="38"/>
      <c r="Y36" s="1">
        <f t="shared" ca="1" si="3"/>
        <v>46162</v>
      </c>
      <c r="Z36" s="1" cm="1">
        <f t="array" aca="1" ref="Z36" ca="1">IF(D36&gt;DATE(2015,5,16),0,
K36*
(
INT((MIN(Y36,DATE(2015,5,16))-D36)/365)
+
CEILING(MOD((MIN(Y36,DATE(2015,5,16))-D36)/365,1),0.25)
)
*
_xlfn.SWITCH(J36,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420</v>
      </c>
      <c r="AA36" s="1" cm="1">
        <f t="array" aca="1" ref="AA36" ca="1">IF(Y36&lt;DATE(2015,5,17),0,
K36*
(
INT((MIN(Y36,DATE(2018,9,23))-MAX(D36,DATE(2015,5,17)))/365)
+
CEILING(MOD((MIN(Y36,DATE(2018,9,23))-MAX(D36,DATE(2015,5,17)))/365,1),0.25)
)
*
_xlfn.SWITCH(J36,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3920</v>
      </c>
      <c r="AB36" s="1" cm="1">
        <f t="array" aca="1" ref="AB36" ca="1">IF(Y36&lt;DATE(2018,9,24),0,
IF(J36="زراعة",
K36*
(
INT((MIN(Y36,DATE(2023,4,30))-MAX(D36,DATE(2018,9,24)))/365)
+
CEILING(MOD((MIN(Y36,DATE(2023,4,30))-MAX(D36,DATE(2018,9,24)))/365,1),0.25)
)
*1,
K36*
(
DATEDIF(MAX(D36,DATE(2018,9,24)),MIN(Y36,DATE(2023,4,30)),"m")+1
)
*
_xlfn.SWITCH(J36,
"موقف/تندة",IF(D36&lt;DATE(2019,11,30),6,30),
"تشوينات",IF(D36&lt;DATE(2019,11,30),4,20),
"مشاتل",IF(D36&lt;DATE(2019,11,30),2,10),
"كافيتيريا",IF(D36&lt;DATE(2019,11,30),30,150),
"نوادي",IF(D36&lt;DATE(2019,11,30),6,30),
"رسو مراكب",IF(D36&lt;DATE(2019,11,30),2,10),
"مباني",IF(D36&lt;DATE(2018,9,24),2,10),
"عشش",IF(D36&lt;DATE(2019,11,30),2,10),
"كشك (تجاري/صناعي)",IF(D36&lt;DATE(2019,11,30),10,50),
"ردم",20,
0)))</f>
        <v>15680</v>
      </c>
      <c r="AC36" s="1" cm="1">
        <f t="array" aca="1" ref="AC36" ca="1">IF(Y36&lt;DATE(2023,5,1),0,
IF(J36="زراعة",
K36*
(
INT((Y36-MAX(DATE(2023,5,1),D36))/365)
+
CEILING(MOD((Y36-MAX(DATE(2023,5,1),D36))/365,1),0.25)
)
*3,
IF(J36="ردم",
K36*20,
K36*
(
DATEDIF(MAX(DATE(2023,5,1),D36),Y36,"m")+1
)
*
_xlfn.SWITCH(J36,
"موقف/تندة",6,
"تشوينات",4,
"مشاتل",2,
"رسو مراكب",6,
"مباني",3,
"عشش",1,
"كشك (تجاري/صناعي)",20,
"مواسير صرف صحي (&lt;1م)",16,
"مواسير صرف صحي (&gt;1م)",18,
0))))</f>
        <v>15540</v>
      </c>
      <c r="AD36" s="1">
        <f t="shared" ca="1" si="4"/>
        <v>55</v>
      </c>
    </row>
    <row r="37" spans="1:30" ht="30" customHeight="1" thickBot="1" x14ac:dyDescent="0.3">
      <c r="A37" s="30">
        <v>36</v>
      </c>
      <c r="B37" s="14">
        <v>116</v>
      </c>
      <c r="C37" s="14">
        <v>2014</v>
      </c>
      <c r="D37" s="15">
        <v>41889</v>
      </c>
      <c r="E37" s="19"/>
      <c r="F37" s="14"/>
      <c r="G37" s="14" t="s">
        <v>83</v>
      </c>
      <c r="H37" s="14" t="s">
        <v>31</v>
      </c>
      <c r="I37" s="14" t="s">
        <v>103</v>
      </c>
      <c r="J37" s="14" t="s">
        <v>27</v>
      </c>
      <c r="K37" s="14">
        <f>15*1</f>
        <v>15</v>
      </c>
      <c r="L37" s="14" t="s">
        <v>89</v>
      </c>
      <c r="M37" s="2"/>
      <c r="N37" s="3"/>
      <c r="O37" s="9">
        <f>0.47*Table2[[#This Row],[قيمة المحضر]]</f>
        <v>0</v>
      </c>
      <c r="P37" s="9">
        <f>0.17*Table2[[#This Row],[قيمة المحضر]]</f>
        <v>0</v>
      </c>
      <c r="Q37" s="9">
        <f t="shared" ca="1" si="2"/>
        <v>3810</v>
      </c>
      <c r="R37" s="3"/>
      <c r="S37" s="3"/>
      <c r="T37" s="9" t="str">
        <f t="shared" si="0"/>
        <v>-</v>
      </c>
      <c r="U37" s="3" t="s">
        <v>25</v>
      </c>
      <c r="V37" s="9" t="str">
        <f t="shared" si="1"/>
        <v>-</v>
      </c>
      <c r="W37" s="4"/>
      <c r="X37" s="38"/>
      <c r="Y37" s="1">
        <f t="shared" ca="1" si="3"/>
        <v>46162</v>
      </c>
      <c r="Z37" s="1" cm="1">
        <f t="array" aca="1" ref="Z37" ca="1">IF(D37&gt;DATE(2015,5,16),0,
K37*
(
INT((MIN(Y37,DATE(2015,5,16))-D37)/365)
+
CEILING(MOD((MIN(Y37,DATE(2015,5,16))-D37)/365,1),0.25)
)
*
_xlfn.SWITCH(J37,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45</v>
      </c>
      <c r="AA37" s="1" cm="1">
        <f t="array" aca="1" ref="AA37" ca="1">IF(Y37&lt;DATE(2015,5,17),0,
K37*
(
INT((MIN(Y37,DATE(2018,9,23))-MAX(D37,DATE(2015,5,17)))/365)
+
CEILING(MOD((MIN(Y37,DATE(2018,9,23))-MAX(D37,DATE(2015,5,17)))/365,1),0.25)
)
*
_xlfn.SWITCH(J37,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420</v>
      </c>
      <c r="AB37" s="1" cm="1">
        <f t="array" aca="1" ref="AB37" ca="1">IF(Y37&lt;DATE(2018,9,24),0,
IF(J37="زراعة",
K37*
(
INT((MIN(Y37,DATE(2023,4,30))-MAX(D37,DATE(2018,9,24)))/365)
+
CEILING(MOD((MIN(Y37,DATE(2023,4,30))-MAX(D37,DATE(2018,9,24)))/365,1),0.25)
)
*1,
K37*
(
DATEDIF(MAX(D37,DATE(2018,9,24)),MIN(Y37,DATE(2023,4,30)),"m")+1
)
*
_xlfn.SWITCH(J37,
"موقف/تندة",IF(D37&lt;DATE(2019,11,30),6,30),
"تشوينات",IF(D37&lt;DATE(2019,11,30),4,20),
"مشاتل",IF(D37&lt;DATE(2019,11,30),2,10),
"كافيتيريا",IF(D37&lt;DATE(2019,11,30),30,150),
"نوادي",IF(D37&lt;DATE(2019,11,30),6,30),
"رسو مراكب",IF(D37&lt;DATE(2019,11,30),2,10),
"مباني",IF(D37&lt;DATE(2018,9,24),2,10),
"عشش",IF(D37&lt;DATE(2019,11,30),2,10),
"كشك (تجاري/صناعي)",IF(D37&lt;DATE(2019,11,30),10,50),
"ردم",20,
0)))</f>
        <v>1680</v>
      </c>
      <c r="AC37" s="1" cm="1">
        <f t="array" aca="1" ref="AC37" ca="1">IF(Y37&lt;DATE(2023,5,1),0,
IF(J37="زراعة",
K37*
(
INT((Y37-MAX(DATE(2023,5,1),D37))/365)
+
CEILING(MOD((Y37-MAX(DATE(2023,5,1),D37))/365,1),0.25)
)
*3,
IF(J37="ردم",
K37*20,
K37*
(
DATEDIF(MAX(DATE(2023,5,1),D37),Y37,"m")+1
)
*
_xlfn.SWITCH(J37,
"موقف/تندة",6,
"تشوينات",4,
"مشاتل",2,
"رسو مراكب",6,
"مباني",3,
"عشش",1,
"كشك (تجاري/صناعي)",20,
"مواسير صرف صحي (&lt;1م)",16,
"مواسير صرف صحي (&gt;1م)",18,
0))))</f>
        <v>1665</v>
      </c>
      <c r="AD37" s="1">
        <f t="shared" ca="1" si="4"/>
        <v>55</v>
      </c>
    </row>
    <row r="38" spans="1:30" ht="30" customHeight="1" thickBot="1" x14ac:dyDescent="0.3">
      <c r="A38" s="30">
        <v>37</v>
      </c>
      <c r="B38" s="3">
        <v>117</v>
      </c>
      <c r="C38" s="3">
        <v>2014</v>
      </c>
      <c r="D38" s="2">
        <v>41889</v>
      </c>
      <c r="E38" s="11" t="s">
        <v>84</v>
      </c>
      <c r="F38" s="3"/>
      <c r="G38" s="3" t="s">
        <v>85</v>
      </c>
      <c r="H38" s="3" t="s">
        <v>31</v>
      </c>
      <c r="I38" s="3" t="s">
        <v>105</v>
      </c>
      <c r="J38" s="3" t="s">
        <v>29</v>
      </c>
      <c r="K38" s="3">
        <f>3*4</f>
        <v>12</v>
      </c>
      <c r="L38" s="3" t="s">
        <v>90</v>
      </c>
      <c r="M38" s="2"/>
      <c r="N38" s="3"/>
      <c r="O38" s="9">
        <f>0.47*Table2[[#This Row],[قيمة المحضر]]</f>
        <v>0</v>
      </c>
      <c r="P38" s="9">
        <f>0.17*Table2[[#This Row],[قيمة المحضر]]</f>
        <v>0</v>
      </c>
      <c r="Q38" s="9">
        <f t="shared" ca="1" si="2"/>
        <v>20910</v>
      </c>
      <c r="R38" s="3"/>
      <c r="S38" s="3"/>
      <c r="T38" s="9" t="str">
        <f t="shared" si="0"/>
        <v>-</v>
      </c>
      <c r="U38" s="3" t="s">
        <v>25</v>
      </c>
      <c r="V38" s="9" t="str">
        <f t="shared" si="1"/>
        <v>-</v>
      </c>
      <c r="W38" s="4"/>
      <c r="X38" s="38"/>
      <c r="Y38" s="1">
        <f t="shared" ca="1" si="3"/>
        <v>46162</v>
      </c>
      <c r="Z38" s="1" cm="1">
        <f t="array" aca="1" ref="Z38" ca="1">IF(D38&gt;DATE(2015,5,16),0,
K38*
(
INT((MIN(Y38,DATE(2015,5,16))-D38)/365)
+
CEILING(MOD((MIN(Y38,DATE(2015,5,16))-D38)/365,1),0.25)
)
*
_xlfn.SWITCH(J38,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270</v>
      </c>
      <c r="AA38" s="1" cm="1">
        <f t="array" aca="1" ref="AA38" ca="1">IF(Y38&lt;DATE(2015,5,17),0,
K38*
(
INT((MIN(Y38,DATE(2018,9,23))-MAX(D38,DATE(2015,5,17)))/365)
+
CEILING(MOD((MIN(Y38,DATE(2018,9,23))-MAX(D38,DATE(2015,5,17)))/365,1),0.25)
)
*
_xlfn.SWITCH(J38,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5040</v>
      </c>
      <c r="AB38" s="1" cm="1">
        <f t="array" aca="1" ref="AB38" ca="1">IF(Y38&lt;DATE(2018,9,24),0,
IF(J38="زراعة",
K38*
(
INT((MIN(Y38,DATE(2023,4,30))-MAX(D38,DATE(2018,9,24)))/365)
+
CEILING(MOD((MIN(Y38,DATE(2023,4,30))-MAX(D38,DATE(2018,9,24)))/365,1),0.25)
)
*1,
K38*
(
DATEDIF(MAX(D38,DATE(2018,9,24)),MIN(Y38,DATE(2023,4,30)),"m")+1
)
*
_xlfn.SWITCH(J38,
"موقف/تندة",IF(D38&lt;DATE(2019,11,30),6,30),
"تشوينات",IF(D38&lt;DATE(2019,11,30),4,20),
"مشاتل",IF(D38&lt;DATE(2019,11,30),2,10),
"كافيتيريا",IF(D38&lt;DATE(2019,11,30),30,150),
"نوادي",IF(D38&lt;DATE(2019,11,30),6,30),
"رسو مراكب",IF(D38&lt;DATE(2019,11,30),2,10),
"مباني",IF(D38&lt;DATE(2018,9,24),2,10),
"عشش",IF(D38&lt;DATE(2019,11,30),2,10),
"كشك (تجاري/صناعي)",IF(D38&lt;DATE(2019,11,30),10,50),
"ردم",20,
0)))</f>
        <v>6720</v>
      </c>
      <c r="AC38" s="1" cm="1">
        <f t="array" aca="1" ref="AC38" ca="1">IF(Y38&lt;DATE(2023,5,1),0,
IF(J38="زراعة",
K38*
(
INT((Y38-MAX(DATE(2023,5,1),D38))/365)
+
CEILING(MOD((Y38-MAX(DATE(2023,5,1),D38))/365,1),0.25)
)
*3,
IF(J38="ردم",
K38*20,
K38*
(
DATEDIF(MAX(DATE(2023,5,1),D38),Y38,"m")+1
)
*
_xlfn.SWITCH(J38,
"موقف/تندة",6,
"تشوينات",4,
"مشاتل",2,
"رسو مراكب",6,
"مباني",3,
"عشش",1,
"كشك (تجاري/صناعي)",20,
"مواسير صرف صحي (&lt;1م)",16,
"مواسير صرف صحي (&gt;1م)",18,
0))))</f>
        <v>8880</v>
      </c>
      <c r="AD38" s="1">
        <f t="shared" ca="1" si="4"/>
        <v>55</v>
      </c>
    </row>
    <row r="39" spans="1:30" ht="30" customHeight="1" thickBot="1" x14ac:dyDescent="0.3">
      <c r="A39" s="30">
        <v>38</v>
      </c>
      <c r="B39" s="14">
        <v>118</v>
      </c>
      <c r="C39" s="14">
        <v>2014</v>
      </c>
      <c r="D39" s="15">
        <v>41889</v>
      </c>
      <c r="E39" s="19" t="s">
        <v>86</v>
      </c>
      <c r="F39" s="14"/>
      <c r="G39" s="14" t="s">
        <v>87</v>
      </c>
      <c r="H39" s="14" t="s">
        <v>31</v>
      </c>
      <c r="I39" s="14" t="s">
        <v>105</v>
      </c>
      <c r="J39" s="14" t="s">
        <v>77</v>
      </c>
      <c r="K39" s="14">
        <f>25*3</f>
        <v>75</v>
      </c>
      <c r="L39" s="14" t="s">
        <v>90</v>
      </c>
      <c r="M39" s="2"/>
      <c r="N39" s="3"/>
      <c r="O39" s="9">
        <f>0.47*Table2[[#This Row],[قيمة المحضر]]</f>
        <v>0</v>
      </c>
      <c r="P39" s="9">
        <f>0.17*Table2[[#This Row],[قيمة المحضر]]</f>
        <v>0</v>
      </c>
      <c r="Q39" s="9">
        <f t="shared" ca="1" si="2"/>
        <v>91875</v>
      </c>
      <c r="R39" s="3"/>
      <c r="S39" s="3"/>
      <c r="T39" s="9" t="str">
        <f t="shared" si="0"/>
        <v>-</v>
      </c>
      <c r="U39" s="3" t="s">
        <v>25</v>
      </c>
      <c r="V39" s="9" t="str">
        <f t="shared" si="1"/>
        <v>-</v>
      </c>
      <c r="W39" s="4"/>
      <c r="X39" s="38"/>
      <c r="Y39" s="1">
        <f t="shared" ca="1" si="3"/>
        <v>46162</v>
      </c>
      <c r="Z39" s="1" cm="1">
        <f t="array" aca="1" ref="Z39" ca="1">IF(D39&gt;DATE(2015,5,16),0,
K39*
(
INT((MIN(Y39,DATE(2015,5,16))-D39)/365)
+
CEILING(MOD((MIN(Y39,DATE(2015,5,16))-D39)/365,1),0.25)
)
*
_xlfn.SWITCH(J39,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1125</v>
      </c>
      <c r="AA39" s="1" cm="1">
        <f t="array" aca="1" ref="AA39" ca="1">IF(Y39&lt;DATE(2015,5,17),0,
K39*
(
INT((MIN(Y39,DATE(2018,9,23))-MAX(D39,DATE(2015,5,17)))/365)
+
CEILING(MOD((MIN(Y39,DATE(2018,9,23))-MAX(D39,DATE(2015,5,17)))/365,1),0.25)
)
*
_xlfn.SWITCH(J39,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5250</v>
      </c>
      <c r="AB39" s="1" cm="1">
        <f t="array" aca="1" ref="AB39" ca="1">IF(Y39&lt;DATE(2018,9,24),0,
IF(J39="زراعة",
K39*
(
INT((MIN(Y39,DATE(2023,4,30))-MAX(D39,DATE(2018,9,24)))/365)
+
CEILING(MOD((MIN(Y39,DATE(2023,4,30))-MAX(D39,DATE(2018,9,24)))/365,1),0.25)
)
*1,
K39*
(
DATEDIF(MAX(D39,DATE(2018,9,24)),MIN(Y39,DATE(2023,4,30)),"m")+1
)
*
_xlfn.SWITCH(J39,
"موقف/تندة",IF(D39&lt;DATE(2019,11,30),6,30),
"تشوينات",IF(D39&lt;DATE(2019,11,30),4,20),
"مشاتل",IF(D39&lt;DATE(2019,11,30),2,10),
"كافيتيريا",IF(D39&lt;DATE(2019,11,30),30,150),
"نوادي",IF(D39&lt;DATE(2019,11,30),6,30),
"رسو مراكب",IF(D39&lt;DATE(2019,11,30),2,10),
"مباني",IF(D39&lt;DATE(2018,9,24),2,10),
"عشش",IF(D39&lt;DATE(2019,11,30),2,10),
"كشك (تجاري/صناعي)",IF(D39&lt;DATE(2019,11,30),10,50),
"ردم",20,
0)))</f>
        <v>84000</v>
      </c>
      <c r="AC39" s="1" cm="1">
        <f t="array" aca="1" ref="AC39" ca="1">IF(Y39&lt;DATE(2023,5,1),0,
IF(J39="زراعة",
K39*
(
INT((Y39-MAX(DATE(2023,5,1),D39))/365)
+
CEILING(MOD((Y39-MAX(DATE(2023,5,1),D39))/365,1),0.25)
)
*3,
IF(J39="ردم",
K39*20,
K39*
(
DATEDIF(MAX(DATE(2023,5,1),D39),Y39,"m")+1
)
*
_xlfn.SWITCH(J39,
"موقف/تندة",6,
"تشوينات",4,
"مشاتل",2,
"رسو مراكب",6,
"مباني",3,
"عشش",1,
"كشك (تجاري/صناعي)",20,
"مواسير صرف صحي (&lt;1م)",16,
"مواسير صرف صحي (&gt;1م)",18,
0))))</f>
        <v>1500</v>
      </c>
      <c r="AD39" s="1">
        <f t="shared" ca="1" si="4"/>
        <v>55</v>
      </c>
    </row>
    <row r="40" spans="1:30" ht="30" customHeight="1" thickBot="1" x14ac:dyDescent="0.3">
      <c r="A40" s="30">
        <v>39</v>
      </c>
      <c r="B40" s="14">
        <v>119</v>
      </c>
      <c r="C40" s="14">
        <v>2014</v>
      </c>
      <c r="D40" s="15">
        <v>41890</v>
      </c>
      <c r="E40" s="19" t="s">
        <v>98</v>
      </c>
      <c r="F40" s="14"/>
      <c r="G40" s="14" t="s">
        <v>92</v>
      </c>
      <c r="H40" s="14"/>
      <c r="I40" s="14" t="s">
        <v>102</v>
      </c>
      <c r="J40" s="14" t="s">
        <v>27</v>
      </c>
      <c r="K40" s="14">
        <f>9*7</f>
        <v>63</v>
      </c>
      <c r="L40" s="14" t="s">
        <v>90</v>
      </c>
      <c r="M40" s="2"/>
      <c r="N40" s="3"/>
      <c r="O40" s="9">
        <f>0.47*Table2[[#This Row],[قيمة المحضر]]</f>
        <v>0</v>
      </c>
      <c r="P40" s="9">
        <f>0.17*Table2[[#This Row],[قيمة المحضر]]</f>
        <v>0</v>
      </c>
      <c r="Q40" s="9">
        <f t="shared" ca="1" si="2"/>
        <v>16002</v>
      </c>
      <c r="R40" s="3"/>
      <c r="S40" s="3"/>
      <c r="T40" s="9" t="str">
        <f t="shared" si="0"/>
        <v>-</v>
      </c>
      <c r="U40" s="3" t="s">
        <v>25</v>
      </c>
      <c r="V40" s="9" t="str">
        <f t="shared" si="1"/>
        <v>-</v>
      </c>
      <c r="W40" s="4"/>
      <c r="X40" s="38"/>
      <c r="Y40" s="1">
        <f t="shared" ca="1" si="3"/>
        <v>46162</v>
      </c>
      <c r="Z40" s="1" cm="1">
        <f t="array" aca="1" ref="Z40" ca="1">IF(D40&gt;DATE(2015,5,16),0,
K40*
(
INT((MIN(Y40,DATE(2015,5,16))-D40)/365)
+
CEILING(MOD((MIN(Y40,DATE(2015,5,16))-D40)/365,1),0.25)
)
*
_xlfn.SWITCH(J40,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189</v>
      </c>
      <c r="AA40" s="1" cm="1">
        <f t="array" aca="1" ref="AA40" ca="1">IF(Y40&lt;DATE(2015,5,17),0,
K40*
(
INT((MIN(Y40,DATE(2018,9,23))-MAX(D40,DATE(2015,5,17)))/365)
+
CEILING(MOD((MIN(Y40,DATE(2018,9,23))-MAX(D40,DATE(2015,5,17)))/365,1),0.25)
)
*
_xlfn.SWITCH(J40,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1764</v>
      </c>
      <c r="AB40" s="1" cm="1">
        <f t="array" aca="1" ref="AB40" ca="1">IF(Y40&lt;DATE(2018,9,24),0,
IF(J40="زراعة",
K40*
(
INT((MIN(Y40,DATE(2023,4,30))-MAX(D40,DATE(2018,9,24)))/365)
+
CEILING(MOD((MIN(Y40,DATE(2023,4,30))-MAX(D40,DATE(2018,9,24)))/365,1),0.25)
)
*1,
K40*
(
DATEDIF(MAX(D40,DATE(2018,9,24)),MIN(Y40,DATE(2023,4,30)),"m")+1
)
*
_xlfn.SWITCH(J40,
"موقف/تندة",IF(D40&lt;DATE(2019,11,30),6,30),
"تشوينات",IF(D40&lt;DATE(2019,11,30),4,20),
"مشاتل",IF(D40&lt;DATE(2019,11,30),2,10),
"كافيتيريا",IF(D40&lt;DATE(2019,11,30),30,150),
"نوادي",IF(D40&lt;DATE(2019,11,30),6,30),
"رسو مراكب",IF(D40&lt;DATE(2019,11,30),2,10),
"مباني",IF(D40&lt;DATE(2018,9,24),2,10),
"عشش",IF(D40&lt;DATE(2019,11,30),2,10),
"كشك (تجاري/صناعي)",IF(D40&lt;DATE(2019,11,30),10,50),
"ردم",20,
0)))</f>
        <v>7056</v>
      </c>
      <c r="AC40" s="1" cm="1">
        <f t="array" aca="1" ref="AC40" ca="1">IF(Y40&lt;DATE(2023,5,1),0,
IF(J40="زراعة",
K40*
(
INT((Y40-MAX(DATE(2023,5,1),D40))/365)
+
CEILING(MOD((Y40-MAX(DATE(2023,5,1),D40))/365,1),0.25)
)
*3,
IF(J40="ردم",
K40*20,
K40*
(
DATEDIF(MAX(DATE(2023,5,1),D40),Y40,"m")+1
)
*
_xlfn.SWITCH(J40,
"موقف/تندة",6,
"تشوينات",4,
"مشاتل",2,
"رسو مراكب",6,
"مباني",3,
"عشش",1,
"كشك (تجاري/صناعي)",20,
"مواسير صرف صحي (&lt;1م)",16,
"مواسير صرف صحي (&gt;1م)",18,
0))))</f>
        <v>6993</v>
      </c>
      <c r="AD40" s="1">
        <f t="shared" ca="1" si="4"/>
        <v>55</v>
      </c>
    </row>
    <row r="41" spans="1:30" ht="30" customHeight="1" thickBot="1" x14ac:dyDescent="0.3">
      <c r="A41" s="30">
        <v>40</v>
      </c>
      <c r="B41" s="3">
        <v>120</v>
      </c>
      <c r="C41" s="3">
        <v>2014</v>
      </c>
      <c r="D41" s="2">
        <v>41891</v>
      </c>
      <c r="E41" s="11" t="s">
        <v>99</v>
      </c>
      <c r="F41" s="3"/>
      <c r="G41" s="3" t="s">
        <v>93</v>
      </c>
      <c r="H41" s="3"/>
      <c r="I41" s="3" t="s">
        <v>103</v>
      </c>
      <c r="J41" s="3" t="s">
        <v>27</v>
      </c>
      <c r="K41" s="3">
        <v>25</v>
      </c>
      <c r="L41" s="3" t="s">
        <v>89</v>
      </c>
      <c r="M41" s="2"/>
      <c r="N41" s="3"/>
      <c r="O41" s="9">
        <f>0.47*Table2[[#This Row],[قيمة المحضر]]</f>
        <v>0</v>
      </c>
      <c r="P41" s="9">
        <f>0.17*Table2[[#This Row],[قيمة المحضر]]</f>
        <v>0</v>
      </c>
      <c r="Q41" s="9">
        <f t="shared" ca="1" si="2"/>
        <v>6350</v>
      </c>
      <c r="R41" s="3"/>
      <c r="S41" s="3"/>
      <c r="T41" s="9" t="str">
        <f t="shared" si="0"/>
        <v>-</v>
      </c>
      <c r="U41" s="3" t="s">
        <v>25</v>
      </c>
      <c r="V41" s="9" t="str">
        <f t="shared" si="1"/>
        <v>-</v>
      </c>
      <c r="W41" s="4"/>
      <c r="X41" s="38"/>
      <c r="Y41" s="1">
        <f t="shared" ca="1" si="3"/>
        <v>46162</v>
      </c>
      <c r="Z41" s="1" cm="1">
        <f t="array" aca="1" ref="Z41" ca="1">IF(D41&gt;DATE(2015,5,16),0,
K41*
(
INT((MIN(Y41,DATE(2015,5,16))-D41)/365)
+
CEILING(MOD((MIN(Y41,DATE(2015,5,16))-D41)/365,1),0.25)
)
*
_xlfn.SWITCH(J41,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75</v>
      </c>
      <c r="AA41" s="1" cm="1">
        <f t="array" aca="1" ref="AA41" ca="1">IF(Y41&lt;DATE(2015,5,17),0,
K41*
(
INT((MIN(Y41,DATE(2018,9,23))-MAX(D41,DATE(2015,5,17)))/365)
+
CEILING(MOD((MIN(Y41,DATE(2018,9,23))-MAX(D41,DATE(2015,5,17)))/365,1),0.25)
)
*
_xlfn.SWITCH(J41,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700</v>
      </c>
      <c r="AB41" s="1" cm="1">
        <f t="array" aca="1" ref="AB41" ca="1">IF(Y41&lt;DATE(2018,9,24),0,
IF(J41="زراعة",
K41*
(
INT((MIN(Y41,DATE(2023,4,30))-MAX(D41,DATE(2018,9,24)))/365)
+
CEILING(MOD((MIN(Y41,DATE(2023,4,30))-MAX(D41,DATE(2018,9,24)))/365,1),0.25)
)
*1,
K41*
(
DATEDIF(MAX(D41,DATE(2018,9,24)),MIN(Y41,DATE(2023,4,30)),"m")+1
)
*
_xlfn.SWITCH(J41,
"موقف/تندة",IF(D41&lt;DATE(2019,11,30),6,30),
"تشوينات",IF(D41&lt;DATE(2019,11,30),4,20),
"مشاتل",IF(D41&lt;DATE(2019,11,30),2,10),
"كافيتيريا",IF(D41&lt;DATE(2019,11,30),30,150),
"نوادي",IF(D41&lt;DATE(2019,11,30),6,30),
"رسو مراكب",IF(D41&lt;DATE(2019,11,30),2,10),
"مباني",IF(D41&lt;DATE(2018,9,24),2,10),
"عشش",IF(D41&lt;DATE(2019,11,30),2,10),
"كشك (تجاري/صناعي)",IF(D41&lt;DATE(2019,11,30),10,50),
"ردم",20,
0)))</f>
        <v>2800</v>
      </c>
      <c r="AC41" s="1" cm="1">
        <f t="array" aca="1" ref="AC41" ca="1">IF(Y41&lt;DATE(2023,5,1),0,
IF(J41="زراعة",
K41*
(
INT((Y41-MAX(DATE(2023,5,1),D41))/365)
+
CEILING(MOD((Y41-MAX(DATE(2023,5,1),D41))/365,1),0.25)
)
*3,
IF(J41="ردم",
K41*20,
K41*
(
DATEDIF(MAX(DATE(2023,5,1),D41),Y41,"m")+1
)
*
_xlfn.SWITCH(J41,
"موقف/تندة",6,
"تشوينات",4,
"مشاتل",2,
"رسو مراكب",6,
"مباني",3,
"عشش",1,
"كشك (تجاري/صناعي)",20,
"مواسير صرف صحي (&lt;1م)",16,
"مواسير صرف صحي (&gt;1م)",18,
0))))</f>
        <v>2775</v>
      </c>
      <c r="AD41" s="1">
        <f t="shared" ca="1" si="4"/>
        <v>55</v>
      </c>
    </row>
    <row r="42" spans="1:30" ht="30" customHeight="1" thickBot="1" x14ac:dyDescent="0.3">
      <c r="A42" s="30">
        <v>41</v>
      </c>
      <c r="B42" s="3">
        <v>121</v>
      </c>
      <c r="C42" s="3">
        <v>2014</v>
      </c>
      <c r="D42" s="2">
        <v>41892</v>
      </c>
      <c r="E42" s="11" t="s">
        <v>100</v>
      </c>
      <c r="F42" s="6"/>
      <c r="G42" s="6" t="s">
        <v>94</v>
      </c>
      <c r="H42" s="6"/>
      <c r="I42" s="6" t="s">
        <v>103</v>
      </c>
      <c r="J42" s="3" t="s">
        <v>27</v>
      </c>
      <c r="K42" s="6">
        <v>25</v>
      </c>
      <c r="L42" s="3" t="s">
        <v>89</v>
      </c>
      <c r="M42" s="7"/>
      <c r="N42" s="6"/>
      <c r="O42" s="9">
        <f>0.47*Table2[[#This Row],[قيمة المحضر]]</f>
        <v>0</v>
      </c>
      <c r="P42" s="9">
        <f>0.17*Table2[[#This Row],[قيمة المحضر]]</f>
        <v>0</v>
      </c>
      <c r="Q42" s="9">
        <f t="shared" ca="1" si="2"/>
        <v>6350</v>
      </c>
      <c r="R42" s="3"/>
      <c r="S42" s="3"/>
      <c r="T42" s="9" t="str">
        <f t="shared" si="0"/>
        <v>-</v>
      </c>
      <c r="U42" s="3" t="s">
        <v>25</v>
      </c>
      <c r="V42" s="9" t="str">
        <f t="shared" si="1"/>
        <v>-</v>
      </c>
      <c r="W42" s="4"/>
      <c r="X42" s="38"/>
      <c r="Y42" s="1">
        <f t="shared" ca="1" si="3"/>
        <v>46162</v>
      </c>
      <c r="Z42" s="1" cm="1">
        <f t="array" aca="1" ref="Z42" ca="1">IF(D42&gt;DATE(2015,5,16),0,
K42*
(
INT((MIN(Y42,DATE(2015,5,16))-D42)/365)
+
CEILING(MOD((MIN(Y42,DATE(2015,5,16))-D42)/365,1),0.25)
)
*
_xlfn.SWITCH(J42,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75</v>
      </c>
      <c r="AA42" s="1" cm="1">
        <f t="array" aca="1" ref="AA42" ca="1">IF(Y42&lt;DATE(2015,5,17),0,
K42*
(
INT((MIN(Y42,DATE(2018,9,23))-MAX(D42,DATE(2015,5,17)))/365)
+
CEILING(MOD((MIN(Y42,DATE(2018,9,23))-MAX(D42,DATE(2015,5,17)))/365,1),0.25)
)
*
_xlfn.SWITCH(J42,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700</v>
      </c>
      <c r="AB42" s="1" cm="1">
        <f t="array" aca="1" ref="AB42" ca="1">IF(Y42&lt;DATE(2018,9,24),0,
IF(J42="زراعة",
K42*
(
INT((MIN(Y42,DATE(2023,4,30))-MAX(D42,DATE(2018,9,24)))/365)
+
CEILING(MOD((MIN(Y42,DATE(2023,4,30))-MAX(D42,DATE(2018,9,24)))/365,1),0.25)
)
*1,
K42*
(
DATEDIF(MAX(D42,DATE(2018,9,24)),MIN(Y42,DATE(2023,4,30)),"m")+1
)
*
_xlfn.SWITCH(J42,
"موقف/تندة",IF(D42&lt;DATE(2019,11,30),6,30),
"تشوينات",IF(D42&lt;DATE(2019,11,30),4,20),
"مشاتل",IF(D42&lt;DATE(2019,11,30),2,10),
"كافيتيريا",IF(D42&lt;DATE(2019,11,30),30,150),
"نوادي",IF(D42&lt;DATE(2019,11,30),6,30),
"رسو مراكب",IF(D42&lt;DATE(2019,11,30),2,10),
"مباني",IF(D42&lt;DATE(2018,9,24),2,10),
"عشش",IF(D42&lt;DATE(2019,11,30),2,10),
"كشك (تجاري/صناعي)",IF(D42&lt;DATE(2019,11,30),10,50),
"ردم",20,
0)))</f>
        <v>2800</v>
      </c>
      <c r="AC42" s="1" cm="1">
        <f t="array" aca="1" ref="AC42" ca="1">IF(Y42&lt;DATE(2023,5,1),0,
IF(J42="زراعة",
K42*
(
INT((Y42-MAX(DATE(2023,5,1),D42))/365)
+
CEILING(MOD((Y42-MAX(DATE(2023,5,1),D42))/365,1),0.25)
)
*3,
IF(J42="ردم",
K42*20,
K42*
(
DATEDIF(MAX(DATE(2023,5,1),D42),Y42,"m")+1
)
*
_xlfn.SWITCH(J42,
"موقف/تندة",6,
"تشوينات",4,
"مشاتل",2,
"رسو مراكب",6,
"مباني",3,
"عشش",1,
"كشك (تجاري/صناعي)",20,
"مواسير صرف صحي (&lt;1م)",16,
"مواسير صرف صحي (&gt;1م)",18,
0))))</f>
        <v>2775</v>
      </c>
      <c r="AD42" s="1">
        <f t="shared" ca="1" si="4"/>
        <v>55</v>
      </c>
    </row>
    <row r="43" spans="1:30" ht="19.5" thickBot="1" x14ac:dyDescent="0.3">
      <c r="A43" s="30">
        <v>42</v>
      </c>
      <c r="B43" s="3">
        <v>122</v>
      </c>
      <c r="C43" s="3">
        <v>2014</v>
      </c>
      <c r="D43" s="2">
        <v>41893</v>
      </c>
      <c r="E43" s="11" t="s">
        <v>101</v>
      </c>
      <c r="F43" s="6"/>
      <c r="G43" s="6" t="s">
        <v>95</v>
      </c>
      <c r="H43" s="6"/>
      <c r="I43" s="6" t="s">
        <v>104</v>
      </c>
      <c r="J43" s="3" t="s">
        <v>28</v>
      </c>
      <c r="K43" s="6">
        <f>2.5*4</f>
        <v>10</v>
      </c>
      <c r="L43" s="3" t="s">
        <v>89</v>
      </c>
      <c r="M43" s="7"/>
      <c r="N43" s="6"/>
      <c r="O43" s="9">
        <f>0.47*Table2[[#This Row],[قيمة المحضر]]</f>
        <v>0</v>
      </c>
      <c r="P43" s="9">
        <f>0.17*Table2[[#This Row],[قيمة المحضر]]</f>
        <v>0</v>
      </c>
      <c r="Q43" s="9">
        <f t="shared" ref="Q43:Q87" ca="1" si="5">Z43+AA43+AB43+AC43</f>
        <v>1637.5</v>
      </c>
      <c r="R43" s="3"/>
      <c r="S43" s="3"/>
      <c r="T43" s="9" t="str">
        <f t="shared" ref="T43:T87" si="6">IF(R43="تم الحجز",Q43+O43+N43,"-")</f>
        <v>-</v>
      </c>
      <c r="U43" s="3" t="s">
        <v>25</v>
      </c>
      <c r="V43" s="9" t="str">
        <f t="shared" ref="V43:V87" si="7">IF(OR(U43="قائم",U43="قائم و سدد مقابل انتفاع"),"-",
IF(U43="تم رد الشئ لأصله",P43+Q43,
IF(U43="ازالة جبرية",N43+O43+Q43,"")))</f>
        <v>-</v>
      </c>
      <c r="W43" s="4"/>
      <c r="X43" s="38"/>
      <c r="Y43" s="1">
        <f t="shared" ca="1" si="3"/>
        <v>46162</v>
      </c>
      <c r="Z43" s="1" cm="1">
        <f t="array" aca="1" ref="Z43" ca="1">IF(D43&gt;DATE(2015,5,16),0,
K43*
(
INT((MIN(Y43,DATE(2015,5,16))-D43)/365)
+
CEILING(MOD((MIN(Y43,DATE(2015,5,16))-D43)/365,1),0.25)
)
*
_xlfn.SWITCH(J43,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7.5</v>
      </c>
      <c r="AA43" s="1" cm="1">
        <f t="array" aca="1" ref="AA43" ca="1">IF(Y43&lt;DATE(2015,5,17),0,
K43*
(
INT((MIN(Y43,DATE(2018,9,23))-MAX(D43,DATE(2015,5,17)))/365)
+
CEILING(MOD((MIN(Y43,DATE(2018,9,23))-MAX(D43,DATE(2015,5,17)))/365,1),0.25)
)
*
_xlfn.SWITCH(J43,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</v>
      </c>
      <c r="AB43" s="1" cm="1">
        <f t="array" aca="1" ref="AB43" ca="1">IF(Y43&lt;DATE(2018,9,24),0,
IF(J43="زراعة",
K43*
(
INT((MIN(Y43,DATE(2023,4,30))-MAX(D43,DATE(2018,9,24)))/365)
+
CEILING(MOD((MIN(Y43,DATE(2023,4,30))-MAX(D43,DATE(2018,9,24)))/365,1),0.25)
)
*1,
K43*
(
DATEDIF(MAX(D43,DATE(2018,9,24)),MIN(Y43,DATE(2023,4,30)),"m")+1
)
*
_xlfn.SWITCH(J43,
"موقف/تندة",IF(D43&lt;DATE(2019,11,30),6,30),
"تشوينات",IF(D43&lt;DATE(2019,11,30),4,20),
"مشاتل",IF(D43&lt;DATE(2019,11,30),2,10),
"كافيتيريا",IF(D43&lt;DATE(2019,11,30),30,150),
"نوادي",IF(D43&lt;DATE(2019,11,30),6,30),
"رسو مراكب",IF(D43&lt;DATE(2019,11,30),2,10),
"مباني",IF(D43&lt;DATE(2018,9,24),2,10),
"عشش",IF(D43&lt;DATE(2019,11,30),2,10),
"كشك (تجاري/صناعي)",IF(D43&lt;DATE(2019,11,30),10,50),
"ردم",20,
0)))</f>
        <v>1120</v>
      </c>
      <c r="AC43" s="1" cm="1">
        <f t="array" aca="1" ref="AC43" ca="1">IF(Y43&lt;DATE(2023,5,1),0,
IF(J43="زراعة",
K43*
(
INT((Y43-MAX(DATE(2023,5,1),D43))/365)
+
CEILING(MOD((Y43-MAX(DATE(2023,5,1),D43))/365,1),0.25)
)
*3,
IF(J43="ردم",
K43*20,
K43*
(
DATEDIF(MAX(DATE(2023,5,1),D43),Y43,"m")+1
)
*
_xlfn.SWITCH(J43,
"موقف/تندة",6,
"تشوينات",4,
"مشاتل",2,
"رسو مراكب",6,
"مباني",3,
"عشش",1,
"كشك (تجاري/صناعي)",20,
"مواسير صرف صحي (&lt;1م)",16,
"مواسير صرف صحي (&gt;1م)",18,
0))))</f>
        <v>370</v>
      </c>
      <c r="AD43" s="1">
        <f t="shared" ca="1" si="4"/>
        <v>55</v>
      </c>
    </row>
    <row r="44" spans="1:30" ht="19.5" thickBot="1" x14ac:dyDescent="0.3">
      <c r="A44" s="30">
        <v>43</v>
      </c>
      <c r="B44" s="3">
        <v>123</v>
      </c>
      <c r="C44" s="3">
        <v>2014</v>
      </c>
      <c r="D44" s="2">
        <v>41910</v>
      </c>
      <c r="E44" s="12"/>
      <c r="F44" s="6"/>
      <c r="G44" s="6" t="s">
        <v>96</v>
      </c>
      <c r="H44" s="6"/>
      <c r="I44" s="6" t="s">
        <v>105</v>
      </c>
      <c r="J44" s="3" t="s">
        <v>106</v>
      </c>
      <c r="K44" s="6">
        <v>10</v>
      </c>
      <c r="L44" s="3" t="s">
        <v>90</v>
      </c>
      <c r="M44" s="7"/>
      <c r="N44" s="6"/>
      <c r="O44" s="9">
        <f>0.47*Table2[[#This Row],[قيمة المحضر]]</f>
        <v>0</v>
      </c>
      <c r="P44" s="9">
        <f>0.17*Table2[[#This Row],[قيمة المحضر]]</f>
        <v>0</v>
      </c>
      <c r="Q44" s="9">
        <f t="shared" ca="1" si="5"/>
        <v>0</v>
      </c>
      <c r="R44" s="3"/>
      <c r="S44" s="3"/>
      <c r="T44" s="9" t="str">
        <f t="shared" si="6"/>
        <v>-</v>
      </c>
      <c r="U44" s="3" t="s">
        <v>25</v>
      </c>
      <c r="V44" s="9" t="str">
        <f t="shared" si="7"/>
        <v>-</v>
      </c>
      <c r="W44" s="4"/>
      <c r="X44" s="38"/>
      <c r="Y44" s="1">
        <f t="shared" ca="1" si="3"/>
        <v>46162</v>
      </c>
      <c r="Z44" s="1" cm="1">
        <f t="array" aca="1" ref="Z44" ca="1">IF(D44&gt;DATE(2015,5,16),0,
K44*
(
INT((MIN(Y44,DATE(2015,5,16))-D44)/365)
+
CEILING(MOD((MIN(Y44,DATE(2015,5,16))-D44)/365,1),0.25)
)
*
_xlfn.SWITCH(J44,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4" s="1" cm="1">
        <f t="array" aca="1" ref="AA44" ca="1">IF(Y44&lt;DATE(2015,5,17),0,
K44*
(
INT((MIN(Y44,DATE(2018,9,23))-MAX(D44,DATE(2015,5,17)))/365)
+
CEILING(MOD((MIN(Y44,DATE(2018,9,23))-MAX(D44,DATE(2015,5,17)))/365,1),0.25)
)
*
_xlfn.SWITCH(J44,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44" s="1" cm="1">
        <f t="array" aca="1" ref="AB44" ca="1">IF(Y44&lt;DATE(2018,9,24),0,
IF(J44="زراعة",
K44*
(
INT((MIN(Y44,DATE(2023,4,30))-MAX(D44,DATE(2018,9,24)))/365)
+
CEILING(MOD((MIN(Y44,DATE(2023,4,30))-MAX(D44,DATE(2018,9,24)))/365,1),0.25)
)
*1,
K44*
(
DATEDIF(MAX(D44,DATE(2018,9,24)),MIN(Y44,DATE(2023,4,30)),"m")+1
)
*
_xlfn.SWITCH(J44,
"موقف/تندة",IF(D44&lt;DATE(2019,11,30),6,30),
"تشوينات",IF(D44&lt;DATE(2019,11,30),4,20),
"مشاتل",IF(D44&lt;DATE(2019,11,30),2,10),
"كافيتيريا",IF(D44&lt;DATE(2019,11,30),30,150),
"نوادي",IF(D44&lt;DATE(2019,11,30),6,30),
"رسو مراكب",IF(D44&lt;DATE(2019,11,30),2,10),
"مباني",IF(D44&lt;DATE(2018,9,24),2,10),
"عشش",IF(D44&lt;DATE(2019,11,30),2,10),
"كشك (تجاري/صناعي)",IF(D44&lt;DATE(2019,11,30),10,50),
"ردم",20,
0)))</f>
        <v>0</v>
      </c>
      <c r="AC44" s="1" cm="1">
        <f t="array" aca="1" ref="AC44" ca="1">IF(Y44&lt;DATE(2023,5,1),0,
IF(J44="زراعة",
K44*
(
INT((Y44-MAX(DATE(2023,5,1),D44))/365)
+
CEILING(MOD((Y44-MAX(DATE(2023,5,1),D44))/365,1),0.25)
)
*3,
IF(J44="ردم",
K44*20,
K44*
(
DATEDIF(MAX(DATE(2023,5,1),D44),Y44,"m")+1
)
*
_xlfn.SWITCH(J44,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44" s="1">
        <f t="shared" ca="1" si="4"/>
        <v>55</v>
      </c>
    </row>
    <row r="45" spans="1:30" ht="19.5" thickBot="1" x14ac:dyDescent="0.3">
      <c r="A45" s="30">
        <v>44</v>
      </c>
      <c r="B45" s="14">
        <v>124</v>
      </c>
      <c r="C45" s="14">
        <v>2014</v>
      </c>
      <c r="D45" s="15">
        <v>41910</v>
      </c>
      <c r="E45" s="16"/>
      <c r="F45" s="17"/>
      <c r="G45" s="17" t="s">
        <v>97</v>
      </c>
      <c r="H45" s="17"/>
      <c r="I45" s="17" t="s">
        <v>105</v>
      </c>
      <c r="J45" s="14" t="s">
        <v>106</v>
      </c>
      <c r="K45" s="17"/>
      <c r="L45" s="14" t="s">
        <v>90</v>
      </c>
      <c r="M45" s="7"/>
      <c r="N45" s="6"/>
      <c r="O45" s="9">
        <f>0.47*Table2[[#This Row],[قيمة المحضر]]</f>
        <v>0</v>
      </c>
      <c r="P45" s="9">
        <f>0.17*Table2[[#This Row],[قيمة المحضر]]</f>
        <v>0</v>
      </c>
      <c r="Q45" s="9">
        <f t="shared" ca="1" si="5"/>
        <v>0</v>
      </c>
      <c r="R45" s="3"/>
      <c r="S45" s="3"/>
      <c r="T45" s="9" t="str">
        <f t="shared" si="6"/>
        <v>-</v>
      </c>
      <c r="U45" s="3" t="s">
        <v>25</v>
      </c>
      <c r="V45" s="9" t="str">
        <f t="shared" si="7"/>
        <v>-</v>
      </c>
      <c r="W45" s="4"/>
      <c r="X45" s="38"/>
      <c r="Y45" s="1">
        <f t="shared" ca="1" si="3"/>
        <v>46162</v>
      </c>
      <c r="Z45" s="1" cm="1">
        <f t="array" aca="1" ref="Z45" ca="1">IF(D45&gt;DATE(2015,5,16),0,
K45*
(
INT((MIN(Y45,DATE(2015,5,16))-D45)/365)
+
CEILING(MOD((MIN(Y45,DATE(2015,5,16))-D45)/365,1),0.25)
)
*
_xlfn.SWITCH(J45,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5" s="1" cm="1">
        <f t="array" aca="1" ref="AA45" ca="1">IF(Y45&lt;DATE(2015,5,17),0,
K45*
(
INT((MIN(Y45,DATE(2018,9,23))-MAX(D45,DATE(2015,5,17)))/365)
+
CEILING(MOD((MIN(Y45,DATE(2018,9,23))-MAX(D45,DATE(2015,5,17)))/365,1),0.25)
)
*
_xlfn.SWITCH(J45,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45" s="1" cm="1">
        <f t="array" aca="1" ref="AB45" ca="1">IF(Y45&lt;DATE(2018,9,24),0,
IF(J45="زراعة",
K45*
(
INT((MIN(Y45,DATE(2023,4,30))-MAX(D45,DATE(2018,9,24)))/365)
+
CEILING(MOD((MIN(Y45,DATE(2023,4,30))-MAX(D45,DATE(2018,9,24)))/365,1),0.25)
)
*1,
K45*
(
DATEDIF(MAX(D45,DATE(2018,9,24)),MIN(Y45,DATE(2023,4,30)),"m")+1
)
*
_xlfn.SWITCH(J45,
"موقف/تندة",IF(D45&lt;DATE(2019,11,30),6,30),
"تشوينات",IF(D45&lt;DATE(2019,11,30),4,20),
"مشاتل",IF(D45&lt;DATE(2019,11,30),2,10),
"كافيتيريا",IF(D45&lt;DATE(2019,11,30),30,150),
"نوادي",IF(D45&lt;DATE(2019,11,30),6,30),
"رسو مراكب",IF(D45&lt;DATE(2019,11,30),2,10),
"مباني",IF(D45&lt;DATE(2018,9,24),2,10),
"عشش",IF(D45&lt;DATE(2019,11,30),2,10),
"كشك (تجاري/صناعي)",IF(D45&lt;DATE(2019,11,30),10,50),
"ردم",20,
0)))</f>
        <v>0</v>
      </c>
      <c r="AC45" s="1" cm="1">
        <f t="array" aca="1" ref="AC45" ca="1">IF(Y45&lt;DATE(2023,5,1),0,
IF(J45="زراعة",
K45*
(
INT((Y45-MAX(DATE(2023,5,1),D45))/365)
+
CEILING(MOD((Y45-MAX(DATE(2023,5,1),D45))/365,1),0.25)
)
*3,
IF(J45="ردم",
K45*20,
K45*
(
DATEDIF(MAX(DATE(2023,5,1),D45),Y45,"m")+1
)
*
_xlfn.SWITCH(J45,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45" s="1">
        <f t="shared" ca="1" si="4"/>
        <v>55</v>
      </c>
    </row>
    <row r="46" spans="1:30" ht="19.5" thickBot="1" x14ac:dyDescent="0.3">
      <c r="A46" s="30">
        <v>45</v>
      </c>
      <c r="B46" s="6">
        <v>125</v>
      </c>
      <c r="C46" s="6">
        <v>2014</v>
      </c>
      <c r="D46" s="2">
        <v>41910</v>
      </c>
      <c r="E46" s="12"/>
      <c r="F46" s="6"/>
      <c r="G46" s="6" t="s">
        <v>107</v>
      </c>
      <c r="H46" s="6"/>
      <c r="I46" s="6" t="s">
        <v>103</v>
      </c>
      <c r="J46" s="3" t="s">
        <v>77</v>
      </c>
      <c r="K46" s="6">
        <v>8</v>
      </c>
      <c r="L46" s="3"/>
      <c r="M46" s="7"/>
      <c r="N46" s="6"/>
      <c r="O46" s="9">
        <f>0.47*Table2[[#This Row],[قيمة المحضر]]</f>
        <v>0</v>
      </c>
      <c r="P46" s="9">
        <f>0.17*Table2[[#This Row],[قيمة المحضر]]</f>
        <v>0</v>
      </c>
      <c r="Q46" s="9">
        <f t="shared" ca="1" si="5"/>
        <v>9800</v>
      </c>
      <c r="R46" s="3"/>
      <c r="S46" s="3"/>
      <c r="T46" s="9" t="str">
        <f t="shared" si="6"/>
        <v>-</v>
      </c>
      <c r="U46" s="3" t="s">
        <v>25</v>
      </c>
      <c r="V46" s="9" t="str">
        <f t="shared" si="7"/>
        <v>-</v>
      </c>
      <c r="W46" s="4"/>
      <c r="X46" s="38"/>
      <c r="Y46" s="1">
        <f t="shared" ca="1" si="3"/>
        <v>46162</v>
      </c>
      <c r="Z46" s="1" cm="1">
        <f t="array" aca="1" ref="Z46" ca="1">IF(D46&gt;DATE(2015,5,16),0,
K46*
(
INT((MIN(Y46,DATE(2015,5,16))-D46)/365)
+
CEILING(MOD((MIN(Y46,DATE(2015,5,16))-D46)/365,1),0.25)
)
*
_xlfn.SWITCH(J46,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120</v>
      </c>
      <c r="AA46" s="1" cm="1">
        <f t="array" aca="1" ref="AA46" ca="1">IF(Y46&lt;DATE(2015,5,17),0,
K46*
(
INT((MIN(Y46,DATE(2018,9,23))-MAX(D46,DATE(2015,5,17)))/365)
+
CEILING(MOD((MIN(Y46,DATE(2018,9,23))-MAX(D46,DATE(2015,5,17)))/365,1),0.25)
)
*
_xlfn.SWITCH(J46,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560</v>
      </c>
      <c r="AB46" s="1" cm="1">
        <f t="array" aca="1" ref="AB46" ca="1">IF(Y46&lt;DATE(2018,9,24),0,
IF(J46="زراعة",
K46*
(
INT((MIN(Y46,DATE(2023,4,30))-MAX(D46,DATE(2018,9,24)))/365)
+
CEILING(MOD((MIN(Y46,DATE(2023,4,30))-MAX(D46,DATE(2018,9,24)))/365,1),0.25)
)
*1,
K46*
(
DATEDIF(MAX(D46,DATE(2018,9,24)),MIN(Y46,DATE(2023,4,30)),"m")+1
)
*
_xlfn.SWITCH(J46,
"موقف/تندة",IF(D46&lt;DATE(2019,11,30),6,30),
"تشوينات",IF(D46&lt;DATE(2019,11,30),4,20),
"مشاتل",IF(D46&lt;DATE(2019,11,30),2,10),
"كافيتيريا",IF(D46&lt;DATE(2019,11,30),30,150),
"نوادي",IF(D46&lt;DATE(2019,11,30),6,30),
"رسو مراكب",IF(D46&lt;DATE(2019,11,30),2,10),
"مباني",IF(D46&lt;DATE(2018,9,24),2,10),
"عشش",IF(D46&lt;DATE(2019,11,30),2,10),
"كشك (تجاري/صناعي)",IF(D46&lt;DATE(2019,11,30),10,50),
"ردم",20,
0)))</f>
        <v>8960</v>
      </c>
      <c r="AC46" s="1" cm="1">
        <f t="array" aca="1" ref="AC46" ca="1">IF(Y46&lt;DATE(2023,5,1),0,
IF(J46="زراعة",
K46*
(
INT((Y46-MAX(DATE(2023,5,1),D46))/365)
+
CEILING(MOD((Y46-MAX(DATE(2023,5,1),D46))/365,1),0.25)
)
*3,
IF(J46="ردم",
K46*20,
K46*
(
DATEDIF(MAX(DATE(2023,5,1),D46),Y46,"m")+1
)
*
_xlfn.SWITCH(J46,
"موقف/تندة",6,
"تشوينات",4,
"مشاتل",2,
"رسو مراكب",6,
"مباني",3,
"عشش",1,
"كشك (تجاري/صناعي)",20,
"مواسير صرف صحي (&lt;1م)",16,
"مواسير صرف صحي (&gt;1م)",18,
0))))</f>
        <v>160</v>
      </c>
      <c r="AD46" s="1">
        <f t="shared" ca="1" si="4"/>
        <v>55</v>
      </c>
    </row>
    <row r="47" spans="1:30" ht="19.5" thickBot="1" x14ac:dyDescent="0.3">
      <c r="A47" s="30">
        <v>46</v>
      </c>
      <c r="B47" s="6">
        <v>126</v>
      </c>
      <c r="C47" s="6">
        <v>2014</v>
      </c>
      <c r="D47" s="2">
        <v>41910</v>
      </c>
      <c r="E47" s="12"/>
      <c r="F47" s="6"/>
      <c r="G47" s="6" t="s">
        <v>108</v>
      </c>
      <c r="H47" s="6"/>
      <c r="I47" s="6" t="s">
        <v>103</v>
      </c>
      <c r="J47" s="3" t="s">
        <v>77</v>
      </c>
      <c r="K47" s="6">
        <v>8</v>
      </c>
      <c r="L47" s="3"/>
      <c r="M47" s="7"/>
      <c r="N47" s="6"/>
      <c r="O47" s="9">
        <f>0.47*Table2[[#This Row],[قيمة المحضر]]</f>
        <v>0</v>
      </c>
      <c r="P47" s="9">
        <f>0.17*Table2[[#This Row],[قيمة المحضر]]</f>
        <v>0</v>
      </c>
      <c r="Q47" s="9">
        <f t="shared" ca="1" si="5"/>
        <v>9800</v>
      </c>
      <c r="R47" s="3"/>
      <c r="S47" s="3"/>
      <c r="T47" s="9" t="str">
        <f t="shared" si="6"/>
        <v>-</v>
      </c>
      <c r="U47" s="3" t="s">
        <v>25</v>
      </c>
      <c r="V47" s="9" t="str">
        <f t="shared" si="7"/>
        <v>-</v>
      </c>
      <c r="W47" s="4"/>
      <c r="X47" s="38"/>
      <c r="Y47" s="1">
        <f t="shared" ca="1" si="3"/>
        <v>46162</v>
      </c>
      <c r="Z47" s="1" cm="1">
        <f t="array" aca="1" ref="Z47" ca="1">IF(D47&gt;DATE(2015,5,16),0,
K47*
(
INT((MIN(Y47,DATE(2015,5,16))-D47)/365)
+
CEILING(MOD((MIN(Y47,DATE(2015,5,16))-D47)/365,1),0.25)
)
*
_xlfn.SWITCH(J47,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120</v>
      </c>
      <c r="AA47" s="1" cm="1">
        <f t="array" aca="1" ref="AA47" ca="1">IF(Y47&lt;DATE(2015,5,17),0,
K47*
(
INT((MIN(Y47,DATE(2018,9,23))-MAX(D47,DATE(2015,5,17)))/365)
+
CEILING(MOD((MIN(Y47,DATE(2018,9,23))-MAX(D47,DATE(2015,5,17)))/365,1),0.25)
)
*
_xlfn.SWITCH(J47,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560</v>
      </c>
      <c r="AB47" s="1" cm="1">
        <f t="array" aca="1" ref="AB47" ca="1">IF(Y47&lt;DATE(2018,9,24),0,
IF(J47="زراعة",
K47*
(
INT((MIN(Y47,DATE(2023,4,30))-MAX(D47,DATE(2018,9,24)))/365)
+
CEILING(MOD((MIN(Y47,DATE(2023,4,30))-MAX(D47,DATE(2018,9,24)))/365,1),0.25)
)
*1,
K47*
(
DATEDIF(MAX(D47,DATE(2018,9,24)),MIN(Y47,DATE(2023,4,30)),"m")+1
)
*
_xlfn.SWITCH(J47,
"موقف/تندة",IF(D47&lt;DATE(2019,11,30),6,30),
"تشوينات",IF(D47&lt;DATE(2019,11,30),4,20),
"مشاتل",IF(D47&lt;DATE(2019,11,30),2,10),
"كافيتيريا",IF(D47&lt;DATE(2019,11,30),30,150),
"نوادي",IF(D47&lt;DATE(2019,11,30),6,30),
"رسو مراكب",IF(D47&lt;DATE(2019,11,30),2,10),
"مباني",IF(D47&lt;DATE(2018,9,24),2,10),
"عشش",IF(D47&lt;DATE(2019,11,30),2,10),
"كشك (تجاري/صناعي)",IF(D47&lt;DATE(2019,11,30),10,50),
"ردم",20,
0)))</f>
        <v>8960</v>
      </c>
      <c r="AC47" s="1" cm="1">
        <f t="array" aca="1" ref="AC47" ca="1">IF(Y47&lt;DATE(2023,5,1),0,
IF(J47="زراعة",
K47*
(
INT((Y47-MAX(DATE(2023,5,1),D47))/365)
+
CEILING(MOD((Y47-MAX(DATE(2023,5,1),D47))/365,1),0.25)
)
*3,
IF(J47="ردم",
K47*20,
K47*
(
DATEDIF(MAX(DATE(2023,5,1),D47),Y47,"m")+1
)
*
_xlfn.SWITCH(J47,
"موقف/تندة",6,
"تشوينات",4,
"مشاتل",2,
"رسو مراكب",6,
"مباني",3,
"عشش",1,
"كشك (تجاري/صناعي)",20,
"مواسير صرف صحي (&lt;1م)",16,
"مواسير صرف صحي (&gt;1م)",18,
0))))</f>
        <v>160</v>
      </c>
      <c r="AD47" s="1">
        <f t="shared" ca="1" si="4"/>
        <v>55</v>
      </c>
    </row>
    <row r="48" spans="1:30" ht="19.5" thickBot="1" x14ac:dyDescent="0.3">
      <c r="A48" s="30">
        <v>47</v>
      </c>
      <c r="B48" s="6">
        <v>127</v>
      </c>
      <c r="C48" s="6">
        <v>2014</v>
      </c>
      <c r="D48" s="2">
        <v>41910</v>
      </c>
      <c r="E48" s="12"/>
      <c r="F48" s="6"/>
      <c r="G48" s="6" t="s">
        <v>109</v>
      </c>
      <c r="H48" s="6"/>
      <c r="I48" s="6" t="s">
        <v>103</v>
      </c>
      <c r="J48" s="3" t="s">
        <v>77</v>
      </c>
      <c r="K48" s="6">
        <v>12</v>
      </c>
      <c r="L48" s="3"/>
      <c r="M48" s="7"/>
      <c r="N48" s="6"/>
      <c r="O48" s="9">
        <f>0.47*Table2[[#This Row],[قيمة المحضر]]</f>
        <v>0</v>
      </c>
      <c r="P48" s="9">
        <f>0.17*Table2[[#This Row],[قيمة المحضر]]</f>
        <v>0</v>
      </c>
      <c r="Q48" s="9">
        <f t="shared" ca="1" si="5"/>
        <v>14700</v>
      </c>
      <c r="R48" s="3"/>
      <c r="S48" s="3"/>
      <c r="T48" s="9" t="str">
        <f t="shared" si="6"/>
        <v>-</v>
      </c>
      <c r="U48" s="3" t="s">
        <v>25</v>
      </c>
      <c r="V48" s="9" t="str">
        <f t="shared" si="7"/>
        <v>-</v>
      </c>
      <c r="W48" s="4"/>
      <c r="X48" s="38"/>
      <c r="Y48" s="1">
        <f t="shared" ca="1" si="3"/>
        <v>46162</v>
      </c>
      <c r="Z48" s="1" cm="1">
        <f t="array" aca="1" ref="Z48" ca="1">IF(D48&gt;DATE(2015,5,16),0,
K48*
(
INT((MIN(Y48,DATE(2015,5,16))-D48)/365)
+
CEILING(MOD((MIN(Y48,DATE(2015,5,16))-D48)/365,1),0.25)
)
*
_xlfn.SWITCH(J48,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180</v>
      </c>
      <c r="AA48" s="1" cm="1">
        <f t="array" aca="1" ref="AA48" ca="1">IF(Y48&lt;DATE(2015,5,17),0,
K48*
(
INT((MIN(Y48,DATE(2018,9,23))-MAX(D48,DATE(2015,5,17)))/365)
+
CEILING(MOD((MIN(Y48,DATE(2018,9,23))-MAX(D48,DATE(2015,5,17)))/365,1),0.25)
)
*
_xlfn.SWITCH(J48,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840</v>
      </c>
      <c r="AB48" s="1" cm="1">
        <f t="array" aca="1" ref="AB48" ca="1">IF(Y48&lt;DATE(2018,9,24),0,
IF(J48="زراعة",
K48*
(
INT((MIN(Y48,DATE(2023,4,30))-MAX(D48,DATE(2018,9,24)))/365)
+
CEILING(MOD((MIN(Y48,DATE(2023,4,30))-MAX(D48,DATE(2018,9,24)))/365,1),0.25)
)
*1,
K48*
(
DATEDIF(MAX(D48,DATE(2018,9,24)),MIN(Y48,DATE(2023,4,30)),"m")+1
)
*
_xlfn.SWITCH(J48,
"موقف/تندة",IF(D48&lt;DATE(2019,11,30),6,30),
"تشوينات",IF(D48&lt;DATE(2019,11,30),4,20),
"مشاتل",IF(D48&lt;DATE(2019,11,30),2,10),
"كافيتيريا",IF(D48&lt;DATE(2019,11,30),30,150),
"نوادي",IF(D48&lt;DATE(2019,11,30),6,30),
"رسو مراكب",IF(D48&lt;DATE(2019,11,30),2,10),
"مباني",IF(D48&lt;DATE(2018,9,24),2,10),
"عشش",IF(D48&lt;DATE(2019,11,30),2,10),
"كشك (تجاري/صناعي)",IF(D48&lt;DATE(2019,11,30),10,50),
"ردم",20,
0)))</f>
        <v>13440</v>
      </c>
      <c r="AC48" s="1" cm="1">
        <f t="array" aca="1" ref="AC48" ca="1">IF(Y48&lt;DATE(2023,5,1),0,
IF(J48="زراعة",
K48*
(
INT((Y48-MAX(DATE(2023,5,1),D48))/365)
+
CEILING(MOD((Y48-MAX(DATE(2023,5,1),D48))/365,1),0.25)
)
*3,
IF(J48="ردم",
K48*20,
K48*
(
DATEDIF(MAX(DATE(2023,5,1),D48),Y48,"m")+1
)
*
_xlfn.SWITCH(J48,
"موقف/تندة",6,
"تشوينات",4,
"مشاتل",2,
"رسو مراكب",6,
"مباني",3,
"عشش",1,
"كشك (تجاري/صناعي)",20,
"مواسير صرف صحي (&lt;1م)",16,
"مواسير صرف صحي (&gt;1م)",18,
0))))</f>
        <v>240</v>
      </c>
      <c r="AD48" s="1">
        <f t="shared" ca="1" si="4"/>
        <v>55</v>
      </c>
    </row>
    <row r="49" spans="1:30" ht="19.5" thickBot="1" x14ac:dyDescent="0.3">
      <c r="A49" s="30">
        <v>48</v>
      </c>
      <c r="B49" s="6">
        <v>128</v>
      </c>
      <c r="C49" s="6">
        <v>2014</v>
      </c>
      <c r="D49" s="2">
        <v>41910</v>
      </c>
      <c r="E49" s="12"/>
      <c r="F49" s="6"/>
      <c r="G49" s="6" t="s">
        <v>110</v>
      </c>
      <c r="H49" s="6"/>
      <c r="I49" s="6" t="s">
        <v>103</v>
      </c>
      <c r="J49" s="3" t="s">
        <v>77</v>
      </c>
      <c r="K49" s="6">
        <v>10</v>
      </c>
      <c r="L49" s="3"/>
      <c r="M49" s="7"/>
      <c r="N49" s="6"/>
      <c r="O49" s="9">
        <f>0.47*Table2[[#This Row],[قيمة المحضر]]</f>
        <v>0</v>
      </c>
      <c r="P49" s="9">
        <f>0.17*Table2[[#This Row],[قيمة المحضر]]</f>
        <v>0</v>
      </c>
      <c r="Q49" s="9">
        <f t="shared" ca="1" si="5"/>
        <v>12250</v>
      </c>
      <c r="R49" s="3"/>
      <c r="S49" s="3"/>
      <c r="T49" s="9" t="str">
        <f t="shared" si="6"/>
        <v>-</v>
      </c>
      <c r="U49" s="3" t="s">
        <v>25</v>
      </c>
      <c r="V49" s="9" t="str">
        <f t="shared" si="7"/>
        <v>-</v>
      </c>
      <c r="W49" s="4"/>
      <c r="X49" s="38"/>
      <c r="Y49" s="1">
        <f t="shared" ca="1" si="3"/>
        <v>46162</v>
      </c>
      <c r="Z49" s="1" cm="1">
        <f t="array" aca="1" ref="Z49" ca="1">IF(D49&gt;DATE(2015,5,16),0,
K49*
(
INT((MIN(Y49,DATE(2015,5,16))-D49)/365)
+
CEILING(MOD((MIN(Y49,DATE(2015,5,16))-D49)/365,1),0.25)
)
*
_xlfn.SWITCH(J49,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150</v>
      </c>
      <c r="AA49" s="1" cm="1">
        <f t="array" aca="1" ref="AA49" ca="1">IF(Y49&lt;DATE(2015,5,17),0,
K49*
(
INT((MIN(Y49,DATE(2018,9,23))-MAX(D49,DATE(2015,5,17)))/365)
+
CEILING(MOD((MIN(Y49,DATE(2018,9,23))-MAX(D49,DATE(2015,5,17)))/365,1),0.25)
)
*
_xlfn.SWITCH(J49,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700</v>
      </c>
      <c r="AB49" s="1" cm="1">
        <f t="array" aca="1" ref="AB49" ca="1">IF(Y49&lt;DATE(2018,9,24),0,
IF(J49="زراعة",
K49*
(
INT((MIN(Y49,DATE(2023,4,30))-MAX(D49,DATE(2018,9,24)))/365)
+
CEILING(MOD((MIN(Y49,DATE(2023,4,30))-MAX(D49,DATE(2018,9,24)))/365,1),0.25)
)
*1,
K49*
(
DATEDIF(MAX(D49,DATE(2018,9,24)),MIN(Y49,DATE(2023,4,30)),"m")+1
)
*
_xlfn.SWITCH(J49,
"موقف/تندة",IF(D49&lt;DATE(2019,11,30),6,30),
"تشوينات",IF(D49&lt;DATE(2019,11,30),4,20),
"مشاتل",IF(D49&lt;DATE(2019,11,30),2,10),
"كافيتيريا",IF(D49&lt;DATE(2019,11,30),30,150),
"نوادي",IF(D49&lt;DATE(2019,11,30),6,30),
"رسو مراكب",IF(D49&lt;DATE(2019,11,30),2,10),
"مباني",IF(D49&lt;DATE(2018,9,24),2,10),
"عشش",IF(D49&lt;DATE(2019,11,30),2,10),
"كشك (تجاري/صناعي)",IF(D49&lt;DATE(2019,11,30),10,50),
"ردم",20,
0)))</f>
        <v>11200</v>
      </c>
      <c r="AC49" s="1" cm="1">
        <f t="array" aca="1" ref="AC49" ca="1">IF(Y49&lt;DATE(2023,5,1),0,
IF(J49="زراعة",
K49*
(
INT((Y49-MAX(DATE(2023,5,1),D49))/365)
+
CEILING(MOD((Y49-MAX(DATE(2023,5,1),D49))/365,1),0.25)
)
*3,
IF(J49="ردم",
K49*20,
K49*
(
DATEDIF(MAX(DATE(2023,5,1),D49),Y49,"m")+1
)
*
_xlfn.SWITCH(J49,
"موقف/تندة",6,
"تشوينات",4,
"مشاتل",2,
"رسو مراكب",6,
"مباني",3,
"عشش",1,
"كشك (تجاري/صناعي)",20,
"مواسير صرف صحي (&lt;1م)",16,
"مواسير صرف صحي (&gt;1م)",18,
0))))</f>
        <v>200</v>
      </c>
      <c r="AD49" s="1">
        <f t="shared" ca="1" si="4"/>
        <v>55</v>
      </c>
    </row>
    <row r="50" spans="1:30" ht="19.5" thickBot="1" x14ac:dyDescent="0.3">
      <c r="A50" s="30">
        <v>49</v>
      </c>
      <c r="B50" s="6">
        <v>129</v>
      </c>
      <c r="C50" s="6">
        <v>2014</v>
      </c>
      <c r="D50" s="2">
        <v>41910</v>
      </c>
      <c r="E50" s="12"/>
      <c r="F50" s="6"/>
      <c r="G50" s="6" t="s">
        <v>111</v>
      </c>
      <c r="H50" s="6"/>
      <c r="I50" s="6" t="s">
        <v>103</v>
      </c>
      <c r="J50" s="3" t="s">
        <v>77</v>
      </c>
      <c r="K50" s="6">
        <v>80</v>
      </c>
      <c r="L50" s="3"/>
      <c r="M50" s="7"/>
      <c r="N50" s="6"/>
      <c r="O50" s="9">
        <f>0.47*Table2[[#This Row],[قيمة المحضر]]</f>
        <v>0</v>
      </c>
      <c r="P50" s="9">
        <f>0.17*Table2[[#This Row],[قيمة المحضر]]</f>
        <v>0</v>
      </c>
      <c r="Q50" s="9">
        <f t="shared" ca="1" si="5"/>
        <v>98000</v>
      </c>
      <c r="R50" s="3"/>
      <c r="S50" s="3"/>
      <c r="T50" s="9" t="str">
        <f t="shared" si="6"/>
        <v>-</v>
      </c>
      <c r="U50" s="3" t="s">
        <v>25</v>
      </c>
      <c r="V50" s="9" t="str">
        <f t="shared" si="7"/>
        <v>-</v>
      </c>
      <c r="W50" s="4"/>
      <c r="X50" s="38"/>
      <c r="Y50" s="1">
        <f t="shared" ca="1" si="3"/>
        <v>46162</v>
      </c>
      <c r="Z50" s="1" cm="1">
        <f t="array" aca="1" ref="Z50" ca="1">IF(D50&gt;DATE(2015,5,16),0,
K50*
(
INT((MIN(Y50,DATE(2015,5,16))-D50)/365)
+
CEILING(MOD((MIN(Y50,DATE(2015,5,16))-D50)/365,1),0.25)
)
*
_xlfn.SWITCH(J50,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1200</v>
      </c>
      <c r="AA50" s="1" cm="1">
        <f t="array" aca="1" ref="AA50" ca="1">IF(Y50&lt;DATE(2015,5,17),0,
K50*
(
INT((MIN(Y50,DATE(2018,9,23))-MAX(D50,DATE(2015,5,17)))/365)
+
CEILING(MOD((MIN(Y50,DATE(2018,9,23))-MAX(D50,DATE(2015,5,17)))/365,1),0.25)
)
*
_xlfn.SWITCH(J50,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5600</v>
      </c>
      <c r="AB50" s="1" cm="1">
        <f t="array" aca="1" ref="AB50" ca="1">IF(Y50&lt;DATE(2018,9,24),0,
IF(J50="زراعة",
K50*
(
INT((MIN(Y50,DATE(2023,4,30))-MAX(D50,DATE(2018,9,24)))/365)
+
CEILING(MOD((MIN(Y50,DATE(2023,4,30))-MAX(D50,DATE(2018,9,24)))/365,1),0.25)
)
*1,
K50*
(
DATEDIF(MAX(D50,DATE(2018,9,24)),MIN(Y50,DATE(2023,4,30)),"m")+1
)
*
_xlfn.SWITCH(J50,
"موقف/تندة",IF(D50&lt;DATE(2019,11,30),6,30),
"تشوينات",IF(D50&lt;DATE(2019,11,30),4,20),
"مشاتل",IF(D50&lt;DATE(2019,11,30),2,10),
"كافيتيريا",IF(D50&lt;DATE(2019,11,30),30,150),
"نوادي",IF(D50&lt;DATE(2019,11,30),6,30),
"رسو مراكب",IF(D50&lt;DATE(2019,11,30),2,10),
"مباني",IF(D50&lt;DATE(2018,9,24),2,10),
"عشش",IF(D50&lt;DATE(2019,11,30),2,10),
"كشك (تجاري/صناعي)",IF(D50&lt;DATE(2019,11,30),10,50),
"ردم",20,
0)))</f>
        <v>89600</v>
      </c>
      <c r="AC50" s="1" cm="1">
        <f t="array" aca="1" ref="AC50" ca="1">IF(Y50&lt;DATE(2023,5,1),0,
IF(J50="زراعة",
K50*
(
INT((Y50-MAX(DATE(2023,5,1),D50))/365)
+
CEILING(MOD((Y50-MAX(DATE(2023,5,1),D50))/365,1),0.25)
)
*3,
IF(J50="ردم",
K50*20,
K50*
(
DATEDIF(MAX(DATE(2023,5,1),D50),Y50,"m")+1
)
*
_xlfn.SWITCH(J50,
"موقف/تندة",6,
"تشوينات",4,
"مشاتل",2,
"رسو مراكب",6,
"مباني",3,
"عشش",1,
"كشك (تجاري/صناعي)",20,
"مواسير صرف صحي (&lt;1م)",16,
"مواسير صرف صحي (&gt;1م)",18,
0))))</f>
        <v>1600</v>
      </c>
      <c r="AD50" s="1">
        <f t="shared" ca="1" si="4"/>
        <v>55</v>
      </c>
    </row>
    <row r="51" spans="1:30" ht="19.5" thickBot="1" x14ac:dyDescent="0.3">
      <c r="A51" s="30">
        <v>50</v>
      </c>
      <c r="B51" s="6">
        <v>130</v>
      </c>
      <c r="C51" s="6">
        <v>2014</v>
      </c>
      <c r="D51" s="2">
        <v>41910</v>
      </c>
      <c r="E51" s="12"/>
      <c r="F51" s="6"/>
      <c r="G51" s="6" t="s">
        <v>112</v>
      </c>
      <c r="H51" s="6"/>
      <c r="I51" s="6" t="s">
        <v>103</v>
      </c>
      <c r="J51" s="3" t="s">
        <v>28</v>
      </c>
      <c r="K51" s="6">
        <v>9</v>
      </c>
      <c r="L51" s="3"/>
      <c r="M51" s="7"/>
      <c r="N51" s="6"/>
      <c r="O51" s="9">
        <f>0.47*Table2[[#This Row],[قيمة المحضر]]</f>
        <v>0</v>
      </c>
      <c r="P51" s="9">
        <f>0.17*Table2[[#This Row],[قيمة المحضر]]</f>
        <v>0</v>
      </c>
      <c r="Q51" s="9">
        <f t="shared" ca="1" si="5"/>
        <v>1473.75</v>
      </c>
      <c r="R51" s="3"/>
      <c r="S51" s="3"/>
      <c r="T51" s="9" t="str">
        <f t="shared" si="6"/>
        <v>-</v>
      </c>
      <c r="U51" s="3" t="s">
        <v>25</v>
      </c>
      <c r="V51" s="9" t="str">
        <f t="shared" si="7"/>
        <v>-</v>
      </c>
      <c r="W51" s="4"/>
      <c r="X51" s="38"/>
      <c r="Y51" s="1">
        <f t="shared" ca="1" si="3"/>
        <v>46162</v>
      </c>
      <c r="Z51" s="1" cm="1">
        <f t="array" aca="1" ref="Z51" ca="1">IF(D51&gt;DATE(2015,5,16),0,
K51*
(
INT((MIN(Y51,DATE(2015,5,16))-D51)/365)
+
CEILING(MOD((MIN(Y51,DATE(2015,5,16))-D51)/365,1),0.25)
)
*
_xlfn.SWITCH(J51,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6.75</v>
      </c>
      <c r="AA51" s="1" cm="1">
        <f t="array" aca="1" ref="AA51" ca="1">IF(Y51&lt;DATE(2015,5,17),0,
K51*
(
INT((MIN(Y51,DATE(2018,9,23))-MAX(D51,DATE(2015,5,17)))/365)
+
CEILING(MOD((MIN(Y51,DATE(2018,9,23))-MAX(D51,DATE(2015,5,17)))/365,1),0.25)
)
*
_xlfn.SWITCH(J51,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126</v>
      </c>
      <c r="AB51" s="1" cm="1">
        <f t="array" aca="1" ref="AB51" ca="1">IF(Y51&lt;DATE(2018,9,24),0,
IF(J51="زراعة",
K51*
(
INT((MIN(Y51,DATE(2023,4,30))-MAX(D51,DATE(2018,9,24)))/365)
+
CEILING(MOD((MIN(Y51,DATE(2023,4,30))-MAX(D51,DATE(2018,9,24)))/365,1),0.25)
)
*1,
K51*
(
DATEDIF(MAX(D51,DATE(2018,9,24)),MIN(Y51,DATE(2023,4,30)),"m")+1
)
*
_xlfn.SWITCH(J51,
"موقف/تندة",IF(D51&lt;DATE(2019,11,30),6,30),
"تشوينات",IF(D51&lt;DATE(2019,11,30),4,20),
"مشاتل",IF(D51&lt;DATE(2019,11,30),2,10),
"كافيتيريا",IF(D51&lt;DATE(2019,11,30),30,150),
"نوادي",IF(D51&lt;DATE(2019,11,30),6,30),
"رسو مراكب",IF(D51&lt;DATE(2019,11,30),2,10),
"مباني",IF(D51&lt;DATE(2018,9,24),2,10),
"عشش",IF(D51&lt;DATE(2019,11,30),2,10),
"كشك (تجاري/صناعي)",IF(D51&lt;DATE(2019,11,30),10,50),
"ردم",20,
0)))</f>
        <v>1008</v>
      </c>
      <c r="AC51" s="1" cm="1">
        <f t="array" aca="1" ref="AC51" ca="1">IF(Y51&lt;DATE(2023,5,1),0,
IF(J51="زراعة",
K51*
(
INT((Y51-MAX(DATE(2023,5,1),D51))/365)
+
CEILING(MOD((Y51-MAX(DATE(2023,5,1),D51))/365,1),0.25)
)
*3,
IF(J51="ردم",
K51*20,
K51*
(
DATEDIF(MAX(DATE(2023,5,1),D51),Y51,"m")+1
)
*
_xlfn.SWITCH(J51,
"موقف/تندة",6,
"تشوينات",4,
"مشاتل",2,
"رسو مراكب",6,
"مباني",3,
"عشش",1,
"كشك (تجاري/صناعي)",20,
"مواسير صرف صحي (&lt;1م)",16,
"مواسير صرف صحي (&gt;1م)",18,
0))))</f>
        <v>333</v>
      </c>
      <c r="AD51" s="1">
        <f t="shared" ca="1" si="4"/>
        <v>55</v>
      </c>
    </row>
    <row r="52" spans="1:30" ht="19.5" thickBot="1" x14ac:dyDescent="0.3">
      <c r="A52" s="30">
        <v>51</v>
      </c>
      <c r="B52" s="17">
        <v>131</v>
      </c>
      <c r="C52" s="17">
        <v>2014</v>
      </c>
      <c r="D52" s="15">
        <v>41910</v>
      </c>
      <c r="E52" s="16"/>
      <c r="F52" s="17"/>
      <c r="G52" s="17" t="s">
        <v>113</v>
      </c>
      <c r="H52" s="17"/>
      <c r="I52" s="17" t="s">
        <v>142</v>
      </c>
      <c r="J52" s="3" t="s">
        <v>145</v>
      </c>
      <c r="K52" s="17"/>
      <c r="L52" s="14"/>
      <c r="M52" s="7"/>
      <c r="N52" s="6"/>
      <c r="O52" s="9">
        <f>0.47*Table2[[#This Row],[قيمة المحضر]]</f>
        <v>0</v>
      </c>
      <c r="P52" s="9">
        <f>0.17*Table2[[#This Row],[قيمة المحضر]]</f>
        <v>0</v>
      </c>
      <c r="Q52" s="9">
        <f t="shared" ca="1" si="5"/>
        <v>0</v>
      </c>
      <c r="R52" s="3"/>
      <c r="S52" s="3"/>
      <c r="T52" s="9" t="str">
        <f t="shared" si="6"/>
        <v>-</v>
      </c>
      <c r="U52" s="3" t="s">
        <v>25</v>
      </c>
      <c r="V52" s="9" t="str">
        <f t="shared" si="7"/>
        <v>-</v>
      </c>
      <c r="W52" s="4"/>
      <c r="X52" s="38"/>
      <c r="Y52" s="1">
        <f t="shared" ca="1" si="3"/>
        <v>46162</v>
      </c>
      <c r="Z52" s="1" cm="1">
        <f t="array" aca="1" ref="Z52" ca="1">IF(D52&gt;DATE(2015,5,16),0,
K52*
(
INT((MIN(Y52,DATE(2015,5,16))-D52)/365)
+
CEILING(MOD((MIN(Y52,DATE(2015,5,16))-D52)/365,1),0.25)
)
*
_xlfn.SWITCH(J52,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2" s="1" cm="1">
        <f t="array" aca="1" ref="AA52" ca="1">IF(Y52&lt;DATE(2015,5,17),0,
K52*
(
INT((MIN(Y52,DATE(2018,9,23))-MAX(D52,DATE(2015,5,17)))/365)
+
CEILING(MOD((MIN(Y52,DATE(2018,9,23))-MAX(D52,DATE(2015,5,17)))/365,1),0.25)
)
*
_xlfn.SWITCH(J52,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2" s="1" cm="1">
        <f t="array" aca="1" ref="AB52" ca="1">IF(Y52&lt;DATE(2018,9,24),0,
IF(J52="زراعة",
K52*
(
INT((MIN(Y52,DATE(2023,4,30))-MAX(D52,DATE(2018,9,24)))/365)
+
CEILING(MOD((MIN(Y52,DATE(2023,4,30))-MAX(D52,DATE(2018,9,24)))/365,1),0.25)
)
*1,
K52*
(
DATEDIF(MAX(D52,DATE(2018,9,24)),MIN(Y52,DATE(2023,4,30)),"m")+1
)
*
_xlfn.SWITCH(J52,
"موقف/تندة",IF(D52&lt;DATE(2019,11,30),6,30),
"تشوينات",IF(D52&lt;DATE(2019,11,30),4,20),
"مشاتل",IF(D52&lt;DATE(2019,11,30),2,10),
"كافيتيريا",IF(D52&lt;DATE(2019,11,30),30,150),
"نوادي",IF(D52&lt;DATE(2019,11,30),6,30),
"رسو مراكب",IF(D52&lt;DATE(2019,11,30),2,10),
"مباني",IF(D52&lt;DATE(2018,9,24),2,10),
"عشش",IF(D52&lt;DATE(2019,11,30),2,10),
"كشك (تجاري/صناعي)",IF(D52&lt;DATE(2019,11,30),10,50),
"ردم",20,
0)))</f>
        <v>0</v>
      </c>
      <c r="AC52" s="1" cm="1">
        <f t="array" aca="1" ref="AC52" ca="1">IF(Y52&lt;DATE(2023,5,1),0,
IF(J52="زراعة",
K52*
(
INT((Y52-MAX(DATE(2023,5,1),D52))/365)
+
CEILING(MOD((Y52-MAX(DATE(2023,5,1),D52))/365,1),0.25)
)
*3,
IF(J52="ردم",
K52*20,
K52*
(
DATEDIF(MAX(DATE(2023,5,1),D52),Y52,"m")+1
)
*
_xlfn.SWITCH(J52,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2" s="1">
        <f t="shared" ca="1" si="4"/>
        <v>55</v>
      </c>
    </row>
    <row r="53" spans="1:30" ht="19.5" thickBot="1" x14ac:dyDescent="0.3">
      <c r="A53" s="30">
        <v>52</v>
      </c>
      <c r="B53" s="17">
        <v>132</v>
      </c>
      <c r="C53" s="17">
        <v>2014</v>
      </c>
      <c r="D53" s="15">
        <v>41910</v>
      </c>
      <c r="E53" s="16"/>
      <c r="F53" s="17"/>
      <c r="G53" s="17" t="s">
        <v>114</v>
      </c>
      <c r="H53" s="17"/>
      <c r="I53" s="17" t="s">
        <v>142</v>
      </c>
      <c r="J53" s="3" t="s">
        <v>145</v>
      </c>
      <c r="K53" s="17"/>
      <c r="L53" s="14"/>
      <c r="M53" s="7"/>
      <c r="N53" s="6"/>
      <c r="O53" s="9">
        <f>0.47*Table2[[#This Row],[قيمة المحضر]]</f>
        <v>0</v>
      </c>
      <c r="P53" s="9">
        <f>0.17*Table2[[#This Row],[قيمة المحضر]]</f>
        <v>0</v>
      </c>
      <c r="Q53" s="9">
        <f t="shared" ca="1" si="5"/>
        <v>0</v>
      </c>
      <c r="R53" s="3"/>
      <c r="S53" s="3"/>
      <c r="T53" s="9" t="str">
        <f t="shared" si="6"/>
        <v>-</v>
      </c>
      <c r="U53" s="3" t="s">
        <v>25</v>
      </c>
      <c r="V53" s="9" t="str">
        <f t="shared" si="7"/>
        <v>-</v>
      </c>
      <c r="W53" s="4"/>
      <c r="X53" s="38"/>
      <c r="Y53" s="1">
        <f t="shared" ca="1" si="3"/>
        <v>46162</v>
      </c>
      <c r="Z53" s="1" cm="1">
        <f t="array" aca="1" ref="Z53" ca="1">IF(D53&gt;DATE(2015,5,16),0,
K53*
(
INT((MIN(Y53,DATE(2015,5,16))-D53)/365)
+
CEILING(MOD((MIN(Y53,DATE(2015,5,16))-D53)/365,1),0.25)
)
*
_xlfn.SWITCH(J53,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3" s="1" cm="1">
        <f t="array" aca="1" ref="AA53" ca="1">IF(Y53&lt;DATE(2015,5,17),0,
K53*
(
INT((MIN(Y53,DATE(2018,9,23))-MAX(D53,DATE(2015,5,17)))/365)
+
CEILING(MOD((MIN(Y53,DATE(2018,9,23))-MAX(D53,DATE(2015,5,17)))/365,1),0.25)
)
*
_xlfn.SWITCH(J53,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3" s="1" cm="1">
        <f t="array" aca="1" ref="AB53" ca="1">IF(Y53&lt;DATE(2018,9,24),0,
IF(J53="زراعة",
K53*
(
INT((MIN(Y53,DATE(2023,4,30))-MAX(D53,DATE(2018,9,24)))/365)
+
CEILING(MOD((MIN(Y53,DATE(2023,4,30))-MAX(D53,DATE(2018,9,24)))/365,1),0.25)
)
*1,
K53*
(
DATEDIF(MAX(D53,DATE(2018,9,24)),MIN(Y53,DATE(2023,4,30)),"m")+1
)
*
_xlfn.SWITCH(J53,
"موقف/تندة",IF(D53&lt;DATE(2019,11,30),6,30),
"تشوينات",IF(D53&lt;DATE(2019,11,30),4,20),
"مشاتل",IF(D53&lt;DATE(2019,11,30),2,10),
"كافيتيريا",IF(D53&lt;DATE(2019,11,30),30,150),
"نوادي",IF(D53&lt;DATE(2019,11,30),6,30),
"رسو مراكب",IF(D53&lt;DATE(2019,11,30),2,10),
"مباني",IF(D53&lt;DATE(2018,9,24),2,10),
"عشش",IF(D53&lt;DATE(2019,11,30),2,10),
"كشك (تجاري/صناعي)",IF(D53&lt;DATE(2019,11,30),10,50),
"ردم",20,
0)))</f>
        <v>0</v>
      </c>
      <c r="AC53" s="1" cm="1">
        <f t="array" aca="1" ref="AC53" ca="1">IF(Y53&lt;DATE(2023,5,1),0,
IF(J53="زراعة",
K53*
(
INT((Y53-MAX(DATE(2023,5,1),D53))/365)
+
CEILING(MOD((Y53-MAX(DATE(2023,5,1),D53))/365,1),0.25)
)
*3,
IF(J53="ردم",
K53*20,
K53*
(
DATEDIF(MAX(DATE(2023,5,1),D53),Y53,"m")+1
)
*
_xlfn.SWITCH(J53,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3" s="1">
        <f t="shared" ca="1" si="4"/>
        <v>55</v>
      </c>
    </row>
    <row r="54" spans="1:30" ht="19.5" thickBot="1" x14ac:dyDescent="0.3">
      <c r="A54" s="30">
        <v>53</v>
      </c>
      <c r="B54" s="6">
        <v>133</v>
      </c>
      <c r="C54" s="6">
        <v>2014</v>
      </c>
      <c r="D54" s="2">
        <v>41910</v>
      </c>
      <c r="E54" s="12"/>
      <c r="F54" s="6"/>
      <c r="G54" s="6" t="s">
        <v>115</v>
      </c>
      <c r="H54" s="6"/>
      <c r="I54" s="6" t="s">
        <v>142</v>
      </c>
      <c r="J54" s="3" t="s">
        <v>145</v>
      </c>
      <c r="K54" s="6"/>
      <c r="L54" s="3"/>
      <c r="M54" s="7"/>
      <c r="N54" s="6"/>
      <c r="O54" s="9">
        <f>0.47*Table2[[#This Row],[قيمة المحضر]]</f>
        <v>0</v>
      </c>
      <c r="P54" s="9">
        <f>0.17*Table2[[#This Row],[قيمة المحضر]]</f>
        <v>0</v>
      </c>
      <c r="Q54" s="9">
        <f t="shared" ca="1" si="5"/>
        <v>0</v>
      </c>
      <c r="R54" s="3"/>
      <c r="S54" s="3"/>
      <c r="T54" s="9" t="str">
        <f t="shared" si="6"/>
        <v>-</v>
      </c>
      <c r="U54" s="3" t="s">
        <v>25</v>
      </c>
      <c r="V54" s="9" t="str">
        <f t="shared" si="7"/>
        <v>-</v>
      </c>
      <c r="W54" s="4"/>
      <c r="X54" s="38"/>
      <c r="Y54" s="1">
        <f t="shared" ca="1" si="3"/>
        <v>46162</v>
      </c>
      <c r="Z54" s="1" cm="1">
        <f t="array" aca="1" ref="Z54" ca="1">IF(D54&gt;DATE(2015,5,16),0,
K54*
(
INT((MIN(Y54,DATE(2015,5,16))-D54)/365)
+
CEILING(MOD((MIN(Y54,DATE(2015,5,16))-D54)/365,1),0.25)
)
*
_xlfn.SWITCH(J54,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4" s="1" cm="1">
        <f t="array" aca="1" ref="AA54" ca="1">IF(Y54&lt;DATE(2015,5,17),0,
K54*
(
INT((MIN(Y54,DATE(2018,9,23))-MAX(D54,DATE(2015,5,17)))/365)
+
CEILING(MOD((MIN(Y54,DATE(2018,9,23))-MAX(D54,DATE(2015,5,17)))/365,1),0.25)
)
*
_xlfn.SWITCH(J54,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4" s="1" cm="1">
        <f t="array" aca="1" ref="AB54" ca="1">IF(Y54&lt;DATE(2018,9,24),0,
IF(J54="زراعة",
K54*
(
INT((MIN(Y54,DATE(2023,4,30))-MAX(D54,DATE(2018,9,24)))/365)
+
CEILING(MOD((MIN(Y54,DATE(2023,4,30))-MAX(D54,DATE(2018,9,24)))/365,1),0.25)
)
*1,
K54*
(
DATEDIF(MAX(D54,DATE(2018,9,24)),MIN(Y54,DATE(2023,4,30)),"m")+1
)
*
_xlfn.SWITCH(J54,
"موقف/تندة",IF(D54&lt;DATE(2019,11,30),6,30),
"تشوينات",IF(D54&lt;DATE(2019,11,30),4,20),
"مشاتل",IF(D54&lt;DATE(2019,11,30),2,10),
"كافيتيريا",IF(D54&lt;DATE(2019,11,30),30,150),
"نوادي",IF(D54&lt;DATE(2019,11,30),6,30),
"رسو مراكب",IF(D54&lt;DATE(2019,11,30),2,10),
"مباني",IF(D54&lt;DATE(2018,9,24),2,10),
"عشش",IF(D54&lt;DATE(2019,11,30),2,10),
"كشك (تجاري/صناعي)",IF(D54&lt;DATE(2019,11,30),10,50),
"ردم",20,
0)))</f>
        <v>0</v>
      </c>
      <c r="AC54" s="1" cm="1">
        <f t="array" aca="1" ref="AC54" ca="1">IF(Y54&lt;DATE(2023,5,1),0,
IF(J54="زراعة",
K54*
(
INT((Y54-MAX(DATE(2023,5,1),D54))/365)
+
CEILING(MOD((Y54-MAX(DATE(2023,5,1),D54))/365,1),0.25)
)
*3,
IF(J54="ردم",
K54*20,
K54*
(
DATEDIF(MAX(DATE(2023,5,1),D54),Y54,"m")+1
)
*
_xlfn.SWITCH(J54,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4" s="1">
        <f t="shared" ca="1" si="4"/>
        <v>55</v>
      </c>
    </row>
    <row r="55" spans="1:30" ht="19.5" thickBot="1" x14ac:dyDescent="0.3">
      <c r="A55" s="30">
        <v>54</v>
      </c>
      <c r="B55" s="6">
        <v>134</v>
      </c>
      <c r="C55" s="6">
        <v>2014</v>
      </c>
      <c r="D55" s="2">
        <v>41910</v>
      </c>
      <c r="E55" s="12"/>
      <c r="F55" s="6"/>
      <c r="G55" s="6" t="s">
        <v>116</v>
      </c>
      <c r="H55" s="6"/>
      <c r="I55" s="6" t="s">
        <v>143</v>
      </c>
      <c r="J55" s="3" t="s">
        <v>145</v>
      </c>
      <c r="K55" s="6"/>
      <c r="L55" s="3"/>
      <c r="M55" s="7"/>
      <c r="N55" s="6"/>
      <c r="O55" s="9">
        <f>0.47*Table2[[#This Row],[قيمة المحضر]]</f>
        <v>0</v>
      </c>
      <c r="P55" s="9">
        <f>0.17*Table2[[#This Row],[قيمة المحضر]]</f>
        <v>0</v>
      </c>
      <c r="Q55" s="9">
        <f t="shared" ca="1" si="5"/>
        <v>0</v>
      </c>
      <c r="R55" s="3"/>
      <c r="S55" s="3"/>
      <c r="T55" s="9" t="str">
        <f t="shared" si="6"/>
        <v>-</v>
      </c>
      <c r="U55" s="3" t="s">
        <v>25</v>
      </c>
      <c r="V55" s="9" t="str">
        <f t="shared" si="7"/>
        <v>-</v>
      </c>
      <c r="W55" s="4"/>
      <c r="X55" s="38"/>
      <c r="Y55" s="1">
        <f t="shared" ca="1" si="3"/>
        <v>46162</v>
      </c>
      <c r="Z55" s="1" cm="1">
        <f t="array" aca="1" ref="Z55" ca="1">IF(D55&gt;DATE(2015,5,16),0,
K55*
(
INT((MIN(Y55,DATE(2015,5,16))-D55)/365)
+
CEILING(MOD((MIN(Y55,DATE(2015,5,16))-D55)/365,1),0.25)
)
*
_xlfn.SWITCH(J55,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5" s="1" cm="1">
        <f t="array" aca="1" ref="AA55" ca="1">IF(Y55&lt;DATE(2015,5,17),0,
K55*
(
INT((MIN(Y55,DATE(2018,9,23))-MAX(D55,DATE(2015,5,17)))/365)
+
CEILING(MOD((MIN(Y55,DATE(2018,9,23))-MAX(D55,DATE(2015,5,17)))/365,1),0.25)
)
*
_xlfn.SWITCH(J55,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5" s="1" cm="1">
        <f t="array" aca="1" ref="AB55" ca="1">IF(Y55&lt;DATE(2018,9,24),0,
IF(J55="زراعة",
K55*
(
INT((MIN(Y55,DATE(2023,4,30))-MAX(D55,DATE(2018,9,24)))/365)
+
CEILING(MOD((MIN(Y55,DATE(2023,4,30))-MAX(D55,DATE(2018,9,24)))/365,1),0.25)
)
*1,
K55*
(
DATEDIF(MAX(D55,DATE(2018,9,24)),MIN(Y55,DATE(2023,4,30)),"m")+1
)
*
_xlfn.SWITCH(J55,
"موقف/تندة",IF(D55&lt;DATE(2019,11,30),6,30),
"تشوينات",IF(D55&lt;DATE(2019,11,30),4,20),
"مشاتل",IF(D55&lt;DATE(2019,11,30),2,10),
"كافيتيريا",IF(D55&lt;DATE(2019,11,30),30,150),
"نوادي",IF(D55&lt;DATE(2019,11,30),6,30),
"رسو مراكب",IF(D55&lt;DATE(2019,11,30),2,10),
"مباني",IF(D55&lt;DATE(2018,9,24),2,10),
"عشش",IF(D55&lt;DATE(2019,11,30),2,10),
"كشك (تجاري/صناعي)",IF(D55&lt;DATE(2019,11,30),10,50),
"ردم",20,
0)))</f>
        <v>0</v>
      </c>
      <c r="AC55" s="1" cm="1">
        <f t="array" aca="1" ref="AC55" ca="1">IF(Y55&lt;DATE(2023,5,1),0,
IF(J55="زراعة",
K55*
(
INT((Y55-MAX(DATE(2023,5,1),D55))/365)
+
CEILING(MOD((Y55-MAX(DATE(2023,5,1),D55))/365,1),0.25)
)
*3,
IF(J55="ردم",
K55*20,
K55*
(
DATEDIF(MAX(DATE(2023,5,1),D55),Y55,"m")+1
)
*
_xlfn.SWITCH(J55,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5" s="1">
        <f t="shared" ca="1" si="4"/>
        <v>55</v>
      </c>
    </row>
    <row r="56" spans="1:30" ht="19.5" thickBot="1" x14ac:dyDescent="0.3">
      <c r="A56" s="30">
        <v>55</v>
      </c>
      <c r="B56" s="6">
        <v>135</v>
      </c>
      <c r="C56" s="6">
        <v>2014</v>
      </c>
      <c r="D56" s="2">
        <v>41910</v>
      </c>
      <c r="E56" s="12"/>
      <c r="F56" s="6"/>
      <c r="G56" s="6" t="s">
        <v>117</v>
      </c>
      <c r="H56" s="6"/>
      <c r="I56" s="6" t="s">
        <v>144</v>
      </c>
      <c r="J56" s="3" t="s">
        <v>27</v>
      </c>
      <c r="K56" s="6">
        <v>45</v>
      </c>
      <c r="L56" s="3"/>
      <c r="M56" s="7"/>
      <c r="N56" s="6"/>
      <c r="O56" s="9">
        <f>0.47*Table2[[#This Row],[قيمة المحضر]]</f>
        <v>0</v>
      </c>
      <c r="P56" s="9">
        <f>0.17*Table2[[#This Row],[قيمة المحضر]]</f>
        <v>0</v>
      </c>
      <c r="Q56" s="9">
        <f t="shared" ca="1" si="5"/>
        <v>11430</v>
      </c>
      <c r="R56" s="3"/>
      <c r="S56" s="3"/>
      <c r="T56" s="9" t="str">
        <f t="shared" si="6"/>
        <v>-</v>
      </c>
      <c r="U56" s="3" t="s">
        <v>25</v>
      </c>
      <c r="V56" s="9" t="str">
        <f t="shared" si="7"/>
        <v>-</v>
      </c>
      <c r="W56" s="4"/>
      <c r="X56" s="38"/>
      <c r="Y56" s="1">
        <f t="shared" ca="1" si="3"/>
        <v>46162</v>
      </c>
      <c r="Z56" s="1" cm="1">
        <f t="array" aca="1" ref="Z56" ca="1">IF(D56&gt;DATE(2015,5,16),0,
K56*
(
INT((MIN(Y56,DATE(2015,5,16))-D56)/365)
+
CEILING(MOD((MIN(Y56,DATE(2015,5,16))-D56)/365,1),0.25)
)
*
_xlfn.SWITCH(J56,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135</v>
      </c>
      <c r="AA56" s="1" cm="1">
        <f t="array" aca="1" ref="AA56" ca="1">IF(Y56&lt;DATE(2015,5,17),0,
K56*
(
INT((MIN(Y56,DATE(2018,9,23))-MAX(D56,DATE(2015,5,17)))/365)
+
CEILING(MOD((MIN(Y56,DATE(2018,9,23))-MAX(D56,DATE(2015,5,17)))/365,1),0.25)
)
*
_xlfn.SWITCH(J56,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1260</v>
      </c>
      <c r="AB56" s="1" cm="1">
        <f t="array" aca="1" ref="AB56" ca="1">IF(Y56&lt;DATE(2018,9,24),0,
IF(J56="زراعة",
K56*
(
INT((MIN(Y56,DATE(2023,4,30))-MAX(D56,DATE(2018,9,24)))/365)
+
CEILING(MOD((MIN(Y56,DATE(2023,4,30))-MAX(D56,DATE(2018,9,24)))/365,1),0.25)
)
*1,
K56*
(
DATEDIF(MAX(D56,DATE(2018,9,24)),MIN(Y56,DATE(2023,4,30)),"m")+1
)
*
_xlfn.SWITCH(J56,
"موقف/تندة",IF(D56&lt;DATE(2019,11,30),6,30),
"تشوينات",IF(D56&lt;DATE(2019,11,30),4,20),
"مشاتل",IF(D56&lt;DATE(2019,11,30),2,10),
"كافيتيريا",IF(D56&lt;DATE(2019,11,30),30,150),
"نوادي",IF(D56&lt;DATE(2019,11,30),6,30),
"رسو مراكب",IF(D56&lt;DATE(2019,11,30),2,10),
"مباني",IF(D56&lt;DATE(2018,9,24),2,10),
"عشش",IF(D56&lt;DATE(2019,11,30),2,10),
"كشك (تجاري/صناعي)",IF(D56&lt;DATE(2019,11,30),10,50),
"ردم",20,
0)))</f>
        <v>5040</v>
      </c>
      <c r="AC56" s="1" cm="1">
        <f t="array" aca="1" ref="AC56" ca="1">IF(Y56&lt;DATE(2023,5,1),0,
IF(J56="زراعة",
K56*
(
INT((Y56-MAX(DATE(2023,5,1),D56))/365)
+
CEILING(MOD((Y56-MAX(DATE(2023,5,1),D56))/365,1),0.25)
)
*3,
IF(J56="ردم",
K56*20,
K56*
(
DATEDIF(MAX(DATE(2023,5,1),D56),Y56,"m")+1
)
*
_xlfn.SWITCH(J56,
"موقف/تندة",6,
"تشوينات",4,
"مشاتل",2,
"رسو مراكب",6,
"مباني",3,
"عشش",1,
"كشك (تجاري/صناعي)",20,
"مواسير صرف صحي (&lt;1م)",16,
"مواسير صرف صحي (&gt;1م)",18,
0))))</f>
        <v>4995</v>
      </c>
      <c r="AD56" s="1">
        <f t="shared" ca="1" si="4"/>
        <v>55</v>
      </c>
    </row>
    <row r="57" spans="1:30" ht="19.5" thickBot="1" x14ac:dyDescent="0.3">
      <c r="A57" s="30">
        <v>56</v>
      </c>
      <c r="B57" s="6">
        <v>136</v>
      </c>
      <c r="C57" s="6">
        <v>2014</v>
      </c>
      <c r="D57" s="2">
        <v>41910</v>
      </c>
      <c r="E57" s="12"/>
      <c r="F57" s="6"/>
      <c r="G57" s="6" t="s">
        <v>118</v>
      </c>
      <c r="H57" s="6"/>
      <c r="I57" s="6" t="s">
        <v>143</v>
      </c>
      <c r="J57" s="3" t="s">
        <v>146</v>
      </c>
      <c r="K57" s="6">
        <f>15*5</f>
        <v>75</v>
      </c>
      <c r="L57" s="3"/>
      <c r="M57" s="7"/>
      <c r="N57" s="6"/>
      <c r="O57" s="9">
        <f>0.47*Table2[[#This Row],[قيمة المحضر]]</f>
        <v>0</v>
      </c>
      <c r="P57" s="9">
        <f>0.17*Table2[[#This Row],[قيمة المحضر]]</f>
        <v>0</v>
      </c>
      <c r="Q57" s="9">
        <f t="shared" ca="1" si="5"/>
        <v>1183.125</v>
      </c>
      <c r="R57" s="3"/>
      <c r="S57" s="3"/>
      <c r="T57" s="9" t="str">
        <f t="shared" si="6"/>
        <v>-</v>
      </c>
      <c r="U57" s="3" t="s">
        <v>25</v>
      </c>
      <c r="V57" s="9" t="str">
        <f t="shared" si="7"/>
        <v>-</v>
      </c>
      <c r="W57" s="4"/>
      <c r="X57" s="38"/>
      <c r="Y57" s="1">
        <f t="shared" ca="1" si="3"/>
        <v>46162</v>
      </c>
      <c r="Z57" s="1" cm="1">
        <f t="array" aca="1" ref="Z57" ca="1">IF(D57&gt;DATE(2015,5,16),0,
K57*
(
INT((MIN(Y57,DATE(2015,5,16))-D57)/365)
+
CEILING(MOD((MIN(Y57,DATE(2015,5,16))-D57)/365,1),0.25)
)
*
_xlfn.SWITCH(J57,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16.875</v>
      </c>
      <c r="AA57" s="1" cm="1">
        <f t="array" aca="1" ref="AA57" ca="1">IF(Y57&lt;DATE(2015,5,17),0,
K57*
(
INT((MIN(Y57,DATE(2018,9,23))-MAX(D57,DATE(2015,5,17)))/365)
+
CEILING(MOD((MIN(Y57,DATE(2018,9,23))-MAX(D57,DATE(2015,5,17)))/365,1),0.25)
)
*
_xlfn.SWITCH(J57,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78.75</v>
      </c>
      <c r="AB57" s="1" cm="1">
        <f t="array" aca="1" ref="AB57" ca="1">IF(Y57&lt;DATE(2018,9,24),0,
IF(J57="زراعة",
K57*
(
INT((MIN(Y57,DATE(2023,4,30))-MAX(D57,DATE(2018,9,24)))/365)
+
CEILING(MOD((MIN(Y57,DATE(2023,4,30))-MAX(D57,DATE(2018,9,24)))/365,1),0.25)
)
*1,
K57*
(
DATEDIF(MAX(D57,DATE(2018,9,24)),MIN(Y57,DATE(2023,4,30)),"m")+1
)
*
_xlfn.SWITCH(J57,
"موقف/تندة",IF(D57&lt;DATE(2019,11,30),6,30),
"تشوينات",IF(D57&lt;DATE(2019,11,30),4,20),
"مشاتل",IF(D57&lt;DATE(2019,11,30),2,10),
"كافيتيريا",IF(D57&lt;DATE(2019,11,30),30,150),
"نوادي",IF(D57&lt;DATE(2019,11,30),6,30),
"رسو مراكب",IF(D57&lt;DATE(2019,11,30),2,10),
"مباني",IF(D57&lt;DATE(2018,9,24),2,10),
"عشش",IF(D57&lt;DATE(2019,11,30),2,10),
"كشك (تجاري/صناعي)",IF(D57&lt;DATE(2019,11,30),10,50),
"ردم",20,
0)))</f>
        <v>356.25</v>
      </c>
      <c r="AC57" s="1" cm="1">
        <f t="array" aca="1" ref="AC57" ca="1">IF(Y57&lt;DATE(2023,5,1),0,
IF(J57="زراعة",
K57*
(
INT((Y57-MAX(DATE(2023,5,1),D57))/365)
+
CEILING(MOD((Y57-MAX(DATE(2023,5,1),D57))/365,1),0.25)
)
*3,
IF(J57="ردم",
K57*20,
K57*
(
DATEDIF(MAX(DATE(2023,5,1),D57),Y57,"m")+1
)
*
_xlfn.SWITCH(J57,
"موقف/تندة",6,
"تشوينات",4,
"مشاتل",2,
"رسو مراكب",6,
"مباني",3,
"عشش",1,
"كشك (تجاري/صناعي)",20,
"مواسير صرف صحي (&lt;1م)",16,
"مواسير صرف صحي (&gt;1م)",18,
0))))</f>
        <v>731.25</v>
      </c>
      <c r="AD57" s="1">
        <f t="shared" ca="1" si="4"/>
        <v>55</v>
      </c>
    </row>
    <row r="58" spans="1:30" ht="19.5" thickBot="1" x14ac:dyDescent="0.3">
      <c r="A58" s="30">
        <v>57</v>
      </c>
      <c r="B58" s="6">
        <v>137</v>
      </c>
      <c r="C58" s="6">
        <v>2014</v>
      </c>
      <c r="D58" s="2">
        <v>41910</v>
      </c>
      <c r="E58" s="12"/>
      <c r="F58" s="6"/>
      <c r="G58" s="6" t="s">
        <v>119</v>
      </c>
      <c r="H58" s="6"/>
      <c r="I58" s="6" t="s">
        <v>143</v>
      </c>
      <c r="J58" s="3" t="s">
        <v>146</v>
      </c>
      <c r="K58" s="6">
        <v>75</v>
      </c>
      <c r="L58" s="3"/>
      <c r="M58" s="7"/>
      <c r="N58" s="6"/>
      <c r="O58" s="9">
        <f>0.47*Table2[[#This Row],[قيمة المحضر]]</f>
        <v>0</v>
      </c>
      <c r="P58" s="9">
        <f>0.17*Table2[[#This Row],[قيمة المحضر]]</f>
        <v>0</v>
      </c>
      <c r="Q58" s="9">
        <f t="shared" ca="1" si="5"/>
        <v>1183.125</v>
      </c>
      <c r="R58" s="3"/>
      <c r="S58" s="3"/>
      <c r="T58" s="9" t="str">
        <f t="shared" si="6"/>
        <v>-</v>
      </c>
      <c r="U58" s="3" t="s">
        <v>25</v>
      </c>
      <c r="V58" s="9" t="str">
        <f t="shared" si="7"/>
        <v>-</v>
      </c>
      <c r="W58" s="4"/>
      <c r="X58" s="38"/>
      <c r="Y58" s="1">
        <f t="shared" ca="1" si="3"/>
        <v>46162</v>
      </c>
      <c r="Z58" s="1" cm="1">
        <f t="array" aca="1" ref="Z58" ca="1">IF(D58&gt;DATE(2015,5,16),0,
K58*
(
INT((MIN(Y58,DATE(2015,5,16))-D58)/365)
+
CEILING(MOD((MIN(Y58,DATE(2015,5,16))-D58)/365,1),0.25)
)
*
_xlfn.SWITCH(J58,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16.875</v>
      </c>
      <c r="AA58" s="1" cm="1">
        <f t="array" aca="1" ref="AA58" ca="1">IF(Y58&lt;DATE(2015,5,17),0,
K58*
(
INT((MIN(Y58,DATE(2018,9,23))-MAX(D58,DATE(2015,5,17)))/365)
+
CEILING(MOD((MIN(Y58,DATE(2018,9,23))-MAX(D58,DATE(2015,5,17)))/365,1),0.25)
)
*
_xlfn.SWITCH(J58,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78.75</v>
      </c>
      <c r="AB58" s="1" cm="1">
        <f t="array" aca="1" ref="AB58" ca="1">IF(Y58&lt;DATE(2018,9,24),0,
IF(J58="زراعة",
K58*
(
INT((MIN(Y58,DATE(2023,4,30))-MAX(D58,DATE(2018,9,24)))/365)
+
CEILING(MOD((MIN(Y58,DATE(2023,4,30))-MAX(D58,DATE(2018,9,24)))/365,1),0.25)
)
*1,
K58*
(
DATEDIF(MAX(D58,DATE(2018,9,24)),MIN(Y58,DATE(2023,4,30)),"m")+1
)
*
_xlfn.SWITCH(J58,
"موقف/تندة",IF(D58&lt;DATE(2019,11,30),6,30),
"تشوينات",IF(D58&lt;DATE(2019,11,30),4,20),
"مشاتل",IF(D58&lt;DATE(2019,11,30),2,10),
"كافيتيريا",IF(D58&lt;DATE(2019,11,30),30,150),
"نوادي",IF(D58&lt;DATE(2019,11,30),6,30),
"رسو مراكب",IF(D58&lt;DATE(2019,11,30),2,10),
"مباني",IF(D58&lt;DATE(2018,9,24),2,10),
"عشش",IF(D58&lt;DATE(2019,11,30),2,10),
"كشك (تجاري/صناعي)",IF(D58&lt;DATE(2019,11,30),10,50),
"ردم",20,
0)))</f>
        <v>356.25</v>
      </c>
      <c r="AC58" s="1" cm="1">
        <f t="array" aca="1" ref="AC58" ca="1">IF(Y58&lt;DATE(2023,5,1),0,
IF(J58="زراعة",
K58*
(
INT((Y58-MAX(DATE(2023,5,1),D58))/365)
+
CEILING(MOD((Y58-MAX(DATE(2023,5,1),D58))/365,1),0.25)
)
*3,
IF(J58="ردم",
K58*20,
K58*
(
DATEDIF(MAX(DATE(2023,5,1),D58),Y58,"m")+1
)
*
_xlfn.SWITCH(J58,
"موقف/تندة",6,
"تشوينات",4,
"مشاتل",2,
"رسو مراكب",6,
"مباني",3,
"عشش",1,
"كشك (تجاري/صناعي)",20,
"مواسير صرف صحي (&lt;1م)",16,
"مواسير صرف صحي (&gt;1م)",18,
0))))</f>
        <v>731.25</v>
      </c>
      <c r="AD58" s="1">
        <f t="shared" ca="1" si="4"/>
        <v>55</v>
      </c>
    </row>
    <row r="59" spans="1:30" ht="19.5" thickBot="1" x14ac:dyDescent="0.3">
      <c r="A59" s="30">
        <v>58</v>
      </c>
      <c r="B59" s="6">
        <v>138</v>
      </c>
      <c r="C59" s="6">
        <v>2014</v>
      </c>
      <c r="D59" s="7">
        <v>41959</v>
      </c>
      <c r="E59" s="12"/>
      <c r="F59" s="6"/>
      <c r="G59" s="6" t="s">
        <v>120</v>
      </c>
      <c r="H59" s="6"/>
      <c r="I59" s="6" t="s">
        <v>143</v>
      </c>
      <c r="J59" s="3" t="s">
        <v>27</v>
      </c>
      <c r="K59" s="6">
        <v>45</v>
      </c>
      <c r="L59" s="3" t="s">
        <v>90</v>
      </c>
      <c r="M59" s="7"/>
      <c r="N59" s="6"/>
      <c r="O59" s="9">
        <f>0.47*Table2[[#This Row],[قيمة المحضر]]</f>
        <v>0</v>
      </c>
      <c r="P59" s="9">
        <f>0.17*Table2[[#This Row],[قيمة المحضر]]</f>
        <v>0</v>
      </c>
      <c r="Q59" s="9">
        <f t="shared" ca="1" si="5"/>
        <v>11385</v>
      </c>
      <c r="R59" s="3"/>
      <c r="S59" s="3"/>
      <c r="T59" s="9" t="str">
        <f t="shared" si="6"/>
        <v>-</v>
      </c>
      <c r="U59" s="3" t="s">
        <v>25</v>
      </c>
      <c r="V59" s="9" t="str">
        <f t="shared" si="7"/>
        <v>-</v>
      </c>
      <c r="W59" s="4"/>
      <c r="X59" s="38"/>
      <c r="Y59" s="1">
        <f t="shared" ca="1" si="3"/>
        <v>46162</v>
      </c>
      <c r="Z59" s="1" cm="1">
        <f t="array" aca="1" ref="Z59" ca="1">IF(D59&gt;DATE(2015,5,16),0,
K59*
(
INT((MIN(Y59,DATE(2015,5,16))-D59)/365)
+
CEILING(MOD((MIN(Y59,DATE(2015,5,16))-D59)/365,1),0.25)
)
*
_xlfn.SWITCH(J59,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90</v>
      </c>
      <c r="AA59" s="1" cm="1">
        <f t="array" aca="1" ref="AA59" ca="1">IF(Y59&lt;DATE(2015,5,17),0,
K59*
(
INT((MIN(Y59,DATE(2018,9,23))-MAX(D59,DATE(2015,5,17)))/365)
+
CEILING(MOD((MIN(Y59,DATE(2018,9,23))-MAX(D59,DATE(2015,5,17)))/365,1),0.25)
)
*
_xlfn.SWITCH(J59,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1260</v>
      </c>
      <c r="AB59" s="1" cm="1">
        <f t="array" aca="1" ref="AB59" ca="1">IF(Y59&lt;DATE(2018,9,24),0,
IF(J59="زراعة",
K59*
(
INT((MIN(Y59,DATE(2023,4,30))-MAX(D59,DATE(2018,9,24)))/365)
+
CEILING(MOD((MIN(Y59,DATE(2023,4,30))-MAX(D59,DATE(2018,9,24)))/365,1),0.25)
)
*1,
K59*
(
DATEDIF(MAX(D59,DATE(2018,9,24)),MIN(Y59,DATE(2023,4,30)),"m")+1
)
*
_xlfn.SWITCH(J59,
"موقف/تندة",IF(D59&lt;DATE(2019,11,30),6,30),
"تشوينات",IF(D59&lt;DATE(2019,11,30),4,20),
"مشاتل",IF(D59&lt;DATE(2019,11,30),2,10),
"كافيتيريا",IF(D59&lt;DATE(2019,11,30),30,150),
"نوادي",IF(D59&lt;DATE(2019,11,30),6,30),
"رسو مراكب",IF(D59&lt;DATE(2019,11,30),2,10),
"مباني",IF(D59&lt;DATE(2018,9,24),2,10),
"عشش",IF(D59&lt;DATE(2019,11,30),2,10),
"كشك (تجاري/صناعي)",IF(D59&lt;DATE(2019,11,30),10,50),
"ردم",20,
0)))</f>
        <v>5040</v>
      </c>
      <c r="AC59" s="1" cm="1">
        <f t="array" aca="1" ref="AC59" ca="1">IF(Y59&lt;DATE(2023,5,1),0,
IF(J59="زراعة",
K59*
(
INT((Y59-MAX(DATE(2023,5,1),D59))/365)
+
CEILING(MOD((Y59-MAX(DATE(2023,5,1),D59))/365,1),0.25)
)
*3,
IF(J59="ردم",
K59*20,
K59*
(
DATEDIF(MAX(DATE(2023,5,1),D59),Y59,"m")+1
)
*
_xlfn.SWITCH(J59,
"موقف/تندة",6,
"تشوينات",4,
"مشاتل",2,
"رسو مراكب",6,
"مباني",3,
"عشش",1,
"كشك (تجاري/صناعي)",20,
"مواسير صرف صحي (&lt;1م)",16,
"مواسير صرف صحي (&gt;1م)",18,
0))))</f>
        <v>4995</v>
      </c>
      <c r="AD59" s="1">
        <f t="shared" ca="1" si="4"/>
        <v>55</v>
      </c>
    </row>
    <row r="60" spans="1:30" ht="19.5" thickBot="1" x14ac:dyDescent="0.3">
      <c r="A60" s="30">
        <v>59</v>
      </c>
      <c r="B60" s="6">
        <v>139</v>
      </c>
      <c r="C60" s="6">
        <v>2014</v>
      </c>
      <c r="D60" s="7">
        <v>41959</v>
      </c>
      <c r="E60" s="12"/>
      <c r="F60" s="6"/>
      <c r="G60" s="6" t="s">
        <v>121</v>
      </c>
      <c r="H60" s="6"/>
      <c r="I60" s="6" t="s">
        <v>143</v>
      </c>
      <c r="J60" s="3" t="s">
        <v>146</v>
      </c>
      <c r="K60" s="6">
        <v>600</v>
      </c>
      <c r="L60" s="3" t="s">
        <v>90</v>
      </c>
      <c r="M60" s="7"/>
      <c r="N60" s="6"/>
      <c r="O60" s="9">
        <f>0.47*Table2[[#This Row],[قيمة المحضر]]</f>
        <v>0</v>
      </c>
      <c r="P60" s="9">
        <f>0.17*Table2[[#This Row],[قيمة المحضر]]</f>
        <v>0</v>
      </c>
      <c r="Q60" s="9">
        <f t="shared" ca="1" si="5"/>
        <v>9420</v>
      </c>
      <c r="R60" s="3"/>
      <c r="S60" s="3"/>
      <c r="T60" s="9" t="str">
        <f t="shared" si="6"/>
        <v>-</v>
      </c>
      <c r="U60" s="3" t="s">
        <v>25</v>
      </c>
      <c r="V60" s="9" t="str">
        <f t="shared" si="7"/>
        <v>-</v>
      </c>
      <c r="W60" s="4"/>
      <c r="X60" s="38"/>
      <c r="Y60" s="1">
        <f t="shared" ca="1" si="3"/>
        <v>46162</v>
      </c>
      <c r="Z60" s="1" cm="1">
        <f t="array" aca="1" ref="Z60" ca="1">IF(D60&gt;DATE(2015,5,16),0,
K60*
(
INT((MIN(Y60,DATE(2015,5,16))-D60)/365)
+
CEILING(MOD((MIN(Y60,DATE(2015,5,16))-D60)/365,1),0.25)
)
*
_xlfn.SWITCH(J60,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90</v>
      </c>
      <c r="AA60" s="1" cm="1">
        <f t="array" aca="1" ref="AA60" ca="1">IF(Y60&lt;DATE(2015,5,17),0,
K60*
(
INT((MIN(Y60,DATE(2018,9,23))-MAX(D60,DATE(2015,5,17)))/365)
+
CEILING(MOD((MIN(Y60,DATE(2018,9,23))-MAX(D60,DATE(2015,5,17)))/365,1),0.25)
)
*
_xlfn.SWITCH(J60,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630</v>
      </c>
      <c r="AB60" s="1" cm="1">
        <f t="array" aca="1" ref="AB60" ca="1">IF(Y60&lt;DATE(2018,9,24),0,
IF(J60="زراعة",
K60*
(
INT((MIN(Y60,DATE(2023,4,30))-MAX(D60,DATE(2018,9,24)))/365)
+
CEILING(MOD((MIN(Y60,DATE(2023,4,30))-MAX(D60,DATE(2018,9,24)))/365,1),0.25)
)
*1,
K60*
(
DATEDIF(MAX(D60,DATE(2018,9,24)),MIN(Y60,DATE(2023,4,30)),"m")+1
)
*
_xlfn.SWITCH(J60,
"موقف/تندة",IF(D60&lt;DATE(2019,11,30),6,30),
"تشوينات",IF(D60&lt;DATE(2019,11,30),4,20),
"مشاتل",IF(D60&lt;DATE(2019,11,30),2,10),
"كافيتيريا",IF(D60&lt;DATE(2019,11,30),30,150),
"نوادي",IF(D60&lt;DATE(2019,11,30),6,30),
"رسو مراكب",IF(D60&lt;DATE(2019,11,30),2,10),
"مباني",IF(D60&lt;DATE(2018,9,24),2,10),
"عشش",IF(D60&lt;DATE(2019,11,30),2,10),
"كشك (تجاري/صناعي)",IF(D60&lt;DATE(2019,11,30),10,50),
"ردم",20,
0)))</f>
        <v>2850</v>
      </c>
      <c r="AC60" s="1" cm="1">
        <f t="array" aca="1" ref="AC60" ca="1">IF(Y60&lt;DATE(2023,5,1),0,
IF(J60="زراعة",
K60*
(
INT((Y60-MAX(DATE(2023,5,1),D60))/365)
+
CEILING(MOD((Y60-MAX(DATE(2023,5,1),D60))/365,1),0.25)
)
*3,
IF(J60="ردم",
K60*20,
K60*
(
DATEDIF(MAX(DATE(2023,5,1),D60),Y60,"m")+1
)
*
_xlfn.SWITCH(J60,
"موقف/تندة",6,
"تشوينات",4,
"مشاتل",2,
"رسو مراكب",6,
"مباني",3,
"عشش",1,
"كشك (تجاري/صناعي)",20,
"مواسير صرف صحي (&lt;1م)",16,
"مواسير صرف صحي (&gt;1م)",18,
0))))</f>
        <v>5850</v>
      </c>
      <c r="AD60" s="1">
        <f t="shared" ca="1" si="4"/>
        <v>55</v>
      </c>
    </row>
    <row r="61" spans="1:30" ht="19.5" thickBot="1" x14ac:dyDescent="0.3">
      <c r="A61" s="30">
        <v>60</v>
      </c>
      <c r="B61" s="6">
        <v>140</v>
      </c>
      <c r="C61" s="6">
        <v>2014</v>
      </c>
      <c r="D61" s="7">
        <v>41959</v>
      </c>
      <c r="E61" s="12"/>
      <c r="F61" s="6"/>
      <c r="G61" s="6" t="s">
        <v>122</v>
      </c>
      <c r="H61" s="6"/>
      <c r="I61" s="6" t="s">
        <v>143</v>
      </c>
      <c r="J61" s="3" t="s">
        <v>146</v>
      </c>
      <c r="K61" s="6">
        <v>600</v>
      </c>
      <c r="L61" s="3" t="s">
        <v>90</v>
      </c>
      <c r="M61" s="7"/>
      <c r="N61" s="6"/>
      <c r="O61" s="9">
        <f>0.47*Table2[[#This Row],[قيمة المحضر]]</f>
        <v>0</v>
      </c>
      <c r="P61" s="9">
        <f>0.17*Table2[[#This Row],[قيمة المحضر]]</f>
        <v>0</v>
      </c>
      <c r="Q61" s="9">
        <f t="shared" ca="1" si="5"/>
        <v>9420</v>
      </c>
      <c r="R61" s="3"/>
      <c r="S61" s="3"/>
      <c r="T61" s="9" t="str">
        <f t="shared" si="6"/>
        <v>-</v>
      </c>
      <c r="U61" s="3" t="s">
        <v>25</v>
      </c>
      <c r="V61" s="9" t="str">
        <f t="shared" si="7"/>
        <v>-</v>
      </c>
      <c r="W61" s="4"/>
      <c r="X61" s="38"/>
      <c r="Y61" s="1">
        <f t="shared" ca="1" si="3"/>
        <v>46162</v>
      </c>
      <c r="Z61" s="1" cm="1">
        <f t="array" aca="1" ref="Z61" ca="1">IF(D61&gt;DATE(2015,5,16),0,
K61*
(
INT((MIN(Y61,DATE(2015,5,16))-D61)/365)
+
CEILING(MOD((MIN(Y61,DATE(2015,5,16))-D61)/365,1),0.25)
)
*
_xlfn.SWITCH(J61,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90</v>
      </c>
      <c r="AA61" s="1" cm="1">
        <f t="array" aca="1" ref="AA61" ca="1">IF(Y61&lt;DATE(2015,5,17),0,
K61*
(
INT((MIN(Y61,DATE(2018,9,23))-MAX(D61,DATE(2015,5,17)))/365)
+
CEILING(MOD((MIN(Y61,DATE(2018,9,23))-MAX(D61,DATE(2015,5,17)))/365,1),0.25)
)
*
_xlfn.SWITCH(J61,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630</v>
      </c>
      <c r="AB61" s="1" cm="1">
        <f t="array" aca="1" ref="AB61" ca="1">IF(Y61&lt;DATE(2018,9,24),0,
IF(J61="زراعة",
K61*
(
INT((MIN(Y61,DATE(2023,4,30))-MAX(D61,DATE(2018,9,24)))/365)
+
CEILING(MOD((MIN(Y61,DATE(2023,4,30))-MAX(D61,DATE(2018,9,24)))/365,1),0.25)
)
*1,
K61*
(
DATEDIF(MAX(D61,DATE(2018,9,24)),MIN(Y61,DATE(2023,4,30)),"m")+1
)
*
_xlfn.SWITCH(J61,
"موقف/تندة",IF(D61&lt;DATE(2019,11,30),6,30),
"تشوينات",IF(D61&lt;DATE(2019,11,30),4,20),
"مشاتل",IF(D61&lt;DATE(2019,11,30),2,10),
"كافيتيريا",IF(D61&lt;DATE(2019,11,30),30,150),
"نوادي",IF(D61&lt;DATE(2019,11,30),6,30),
"رسو مراكب",IF(D61&lt;DATE(2019,11,30),2,10),
"مباني",IF(D61&lt;DATE(2018,9,24),2,10),
"عشش",IF(D61&lt;DATE(2019,11,30),2,10),
"كشك (تجاري/صناعي)",IF(D61&lt;DATE(2019,11,30),10,50),
"ردم",20,
0)))</f>
        <v>2850</v>
      </c>
      <c r="AC61" s="1" cm="1">
        <f t="array" aca="1" ref="AC61" ca="1">IF(Y61&lt;DATE(2023,5,1),0,
IF(J61="زراعة",
K61*
(
INT((Y61-MAX(DATE(2023,5,1),D61))/365)
+
CEILING(MOD((Y61-MAX(DATE(2023,5,1),D61))/365,1),0.25)
)
*3,
IF(J61="ردم",
K61*20,
K61*
(
DATEDIF(MAX(DATE(2023,5,1),D61),Y61,"m")+1
)
*
_xlfn.SWITCH(J61,
"موقف/تندة",6,
"تشوينات",4,
"مشاتل",2,
"رسو مراكب",6,
"مباني",3,
"عشش",1,
"كشك (تجاري/صناعي)",20,
"مواسير صرف صحي (&lt;1م)",16,
"مواسير صرف صحي (&gt;1م)",18,
0))))</f>
        <v>5850</v>
      </c>
      <c r="AD61" s="1">
        <f t="shared" ca="1" si="4"/>
        <v>55</v>
      </c>
    </row>
    <row r="62" spans="1:30" ht="19.5" thickBot="1" x14ac:dyDescent="0.3">
      <c r="A62" s="30">
        <v>61</v>
      </c>
      <c r="B62" s="6">
        <v>141</v>
      </c>
      <c r="C62" s="6">
        <v>2014</v>
      </c>
      <c r="D62" s="7">
        <v>41959</v>
      </c>
      <c r="E62" s="12"/>
      <c r="F62" s="6"/>
      <c r="G62" s="6" t="s">
        <v>123</v>
      </c>
      <c r="H62" s="6"/>
      <c r="I62" s="6" t="s">
        <v>143</v>
      </c>
      <c r="J62" s="3" t="s">
        <v>146</v>
      </c>
      <c r="K62" s="6">
        <v>50</v>
      </c>
      <c r="L62" s="3" t="s">
        <v>88</v>
      </c>
      <c r="M62" s="7"/>
      <c r="N62" s="6"/>
      <c r="O62" s="9">
        <f>0.47*Table2[[#This Row],[قيمة المحضر]]</f>
        <v>0</v>
      </c>
      <c r="P62" s="9">
        <f>0.17*Table2[[#This Row],[قيمة المحضر]]</f>
        <v>0</v>
      </c>
      <c r="Q62" s="9">
        <f t="shared" ca="1" si="5"/>
        <v>785</v>
      </c>
      <c r="R62" s="3"/>
      <c r="S62" s="3"/>
      <c r="T62" s="9" t="str">
        <f t="shared" si="6"/>
        <v>-</v>
      </c>
      <c r="U62" s="3" t="s">
        <v>25</v>
      </c>
      <c r="V62" s="9" t="str">
        <f t="shared" si="7"/>
        <v>-</v>
      </c>
      <c r="W62" s="4"/>
      <c r="X62" s="38"/>
      <c r="Y62" s="1">
        <f t="shared" ca="1" si="3"/>
        <v>46162</v>
      </c>
      <c r="Z62" s="1" cm="1">
        <f t="array" aca="1" ref="Z62" ca="1">IF(D62&gt;DATE(2015,5,16),0,
K62*
(
INT((MIN(Y62,DATE(2015,5,16))-D62)/365)
+
CEILING(MOD((MIN(Y62,DATE(2015,5,16))-D62)/365,1),0.25)
)
*
_xlfn.SWITCH(J62,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7.5</v>
      </c>
      <c r="AA62" s="1" cm="1">
        <f t="array" aca="1" ref="AA62" ca="1">IF(Y62&lt;DATE(2015,5,17),0,
K62*
(
INT((MIN(Y62,DATE(2018,9,23))-MAX(D62,DATE(2015,5,17)))/365)
+
CEILING(MOD((MIN(Y62,DATE(2018,9,23))-MAX(D62,DATE(2015,5,17)))/365,1),0.25)
)
*
_xlfn.SWITCH(J62,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52.5</v>
      </c>
      <c r="AB62" s="1" cm="1">
        <f t="array" aca="1" ref="AB62" ca="1">IF(Y62&lt;DATE(2018,9,24),0,
IF(J62="زراعة",
K62*
(
INT((MIN(Y62,DATE(2023,4,30))-MAX(D62,DATE(2018,9,24)))/365)
+
CEILING(MOD((MIN(Y62,DATE(2023,4,30))-MAX(D62,DATE(2018,9,24)))/365,1),0.25)
)
*1,
K62*
(
DATEDIF(MAX(D62,DATE(2018,9,24)),MIN(Y62,DATE(2023,4,30)),"m")+1
)
*
_xlfn.SWITCH(J62,
"موقف/تندة",IF(D62&lt;DATE(2019,11,30),6,30),
"تشوينات",IF(D62&lt;DATE(2019,11,30),4,20),
"مشاتل",IF(D62&lt;DATE(2019,11,30),2,10),
"كافيتيريا",IF(D62&lt;DATE(2019,11,30),30,150),
"نوادي",IF(D62&lt;DATE(2019,11,30),6,30),
"رسو مراكب",IF(D62&lt;DATE(2019,11,30),2,10),
"مباني",IF(D62&lt;DATE(2018,9,24),2,10),
"عشش",IF(D62&lt;DATE(2019,11,30),2,10),
"كشك (تجاري/صناعي)",IF(D62&lt;DATE(2019,11,30),10,50),
"ردم",20,
0)))</f>
        <v>237.5</v>
      </c>
      <c r="AC62" s="1" cm="1">
        <f t="array" aca="1" ref="AC62" ca="1">IF(Y62&lt;DATE(2023,5,1),0,
IF(J62="زراعة",
K62*
(
INT((Y62-MAX(DATE(2023,5,1),D62))/365)
+
CEILING(MOD((Y62-MAX(DATE(2023,5,1),D62))/365,1),0.25)
)
*3,
IF(J62="ردم",
K62*20,
K62*
(
DATEDIF(MAX(DATE(2023,5,1),D62),Y62,"m")+1
)
*
_xlfn.SWITCH(J62,
"موقف/تندة",6,
"تشوينات",4,
"مشاتل",2,
"رسو مراكب",6,
"مباني",3,
"عشش",1,
"كشك (تجاري/صناعي)",20,
"مواسير صرف صحي (&lt;1م)",16,
"مواسير صرف صحي (&gt;1م)",18,
0))))</f>
        <v>487.5</v>
      </c>
      <c r="AD62" s="1">
        <f t="shared" ca="1" si="4"/>
        <v>55</v>
      </c>
    </row>
    <row r="63" spans="1:30" ht="19.5" thickBot="1" x14ac:dyDescent="0.3">
      <c r="A63" s="30">
        <v>62</v>
      </c>
      <c r="B63" s="6">
        <v>142</v>
      </c>
      <c r="C63" s="6">
        <v>2014</v>
      </c>
      <c r="D63" s="7">
        <v>41959</v>
      </c>
      <c r="E63" s="12"/>
      <c r="F63" s="6"/>
      <c r="G63" s="6" t="s">
        <v>124</v>
      </c>
      <c r="H63" s="6"/>
      <c r="I63" s="6" t="s">
        <v>143</v>
      </c>
      <c r="J63" s="3" t="s">
        <v>146</v>
      </c>
      <c r="K63" s="6">
        <v>50</v>
      </c>
      <c r="L63" s="3" t="s">
        <v>88</v>
      </c>
      <c r="M63" s="7"/>
      <c r="N63" s="6"/>
      <c r="O63" s="9">
        <f>0.47*Table2[[#This Row],[قيمة المحضر]]</f>
        <v>0</v>
      </c>
      <c r="P63" s="9">
        <f>0.17*Table2[[#This Row],[قيمة المحضر]]</f>
        <v>0</v>
      </c>
      <c r="Q63" s="9">
        <f t="shared" ca="1" si="5"/>
        <v>785</v>
      </c>
      <c r="R63" s="3"/>
      <c r="S63" s="3"/>
      <c r="T63" s="9" t="str">
        <f t="shared" si="6"/>
        <v>-</v>
      </c>
      <c r="U63" s="3" t="s">
        <v>25</v>
      </c>
      <c r="V63" s="9" t="str">
        <f t="shared" si="7"/>
        <v>-</v>
      </c>
      <c r="W63" s="4"/>
      <c r="X63" s="38"/>
      <c r="Y63" s="1">
        <f t="shared" ca="1" si="3"/>
        <v>46162</v>
      </c>
      <c r="Z63" s="1" cm="1">
        <f t="array" aca="1" ref="Z63" ca="1">IF(D63&gt;DATE(2015,5,16),0,
K63*
(
INT((MIN(Y63,DATE(2015,5,16))-D63)/365)
+
CEILING(MOD((MIN(Y63,DATE(2015,5,16))-D63)/365,1),0.25)
)
*
_xlfn.SWITCH(J63,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7.5</v>
      </c>
      <c r="AA63" s="1" cm="1">
        <f t="array" aca="1" ref="AA63" ca="1">IF(Y63&lt;DATE(2015,5,17),0,
K63*
(
INT((MIN(Y63,DATE(2018,9,23))-MAX(D63,DATE(2015,5,17)))/365)
+
CEILING(MOD((MIN(Y63,DATE(2018,9,23))-MAX(D63,DATE(2015,5,17)))/365,1),0.25)
)
*
_xlfn.SWITCH(J63,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52.5</v>
      </c>
      <c r="AB63" s="1" cm="1">
        <f t="array" aca="1" ref="AB63" ca="1">IF(Y63&lt;DATE(2018,9,24),0,
IF(J63="زراعة",
K63*
(
INT((MIN(Y63,DATE(2023,4,30))-MAX(D63,DATE(2018,9,24)))/365)
+
CEILING(MOD((MIN(Y63,DATE(2023,4,30))-MAX(D63,DATE(2018,9,24)))/365,1),0.25)
)
*1,
K63*
(
DATEDIF(MAX(D63,DATE(2018,9,24)),MIN(Y63,DATE(2023,4,30)),"m")+1
)
*
_xlfn.SWITCH(J63,
"موقف/تندة",IF(D63&lt;DATE(2019,11,30),6,30),
"تشوينات",IF(D63&lt;DATE(2019,11,30),4,20),
"مشاتل",IF(D63&lt;DATE(2019,11,30),2,10),
"كافيتيريا",IF(D63&lt;DATE(2019,11,30),30,150),
"نوادي",IF(D63&lt;DATE(2019,11,30),6,30),
"رسو مراكب",IF(D63&lt;DATE(2019,11,30),2,10),
"مباني",IF(D63&lt;DATE(2018,9,24),2,10),
"عشش",IF(D63&lt;DATE(2019,11,30),2,10),
"كشك (تجاري/صناعي)",IF(D63&lt;DATE(2019,11,30),10,50),
"ردم",20,
0)))</f>
        <v>237.5</v>
      </c>
      <c r="AC63" s="1" cm="1">
        <f t="array" aca="1" ref="AC63" ca="1">IF(Y63&lt;DATE(2023,5,1),0,
IF(J63="زراعة",
K63*
(
INT((Y63-MAX(DATE(2023,5,1),D63))/365)
+
CEILING(MOD((Y63-MAX(DATE(2023,5,1),D63))/365,1),0.25)
)
*3,
IF(J63="ردم",
K63*20,
K63*
(
DATEDIF(MAX(DATE(2023,5,1),D63),Y63,"m")+1
)
*
_xlfn.SWITCH(J63,
"موقف/تندة",6,
"تشوينات",4,
"مشاتل",2,
"رسو مراكب",6,
"مباني",3,
"عشش",1,
"كشك (تجاري/صناعي)",20,
"مواسير صرف صحي (&lt;1م)",16,
"مواسير صرف صحي (&gt;1م)",18,
0))))</f>
        <v>487.5</v>
      </c>
      <c r="AD63" s="1">
        <f t="shared" ca="1" si="4"/>
        <v>55</v>
      </c>
    </row>
    <row r="64" spans="1:30" ht="19.5" thickBot="1" x14ac:dyDescent="0.3">
      <c r="A64" s="30">
        <v>63</v>
      </c>
      <c r="B64" s="6">
        <v>143</v>
      </c>
      <c r="C64" s="6">
        <v>2014</v>
      </c>
      <c r="D64" s="7">
        <v>41959</v>
      </c>
      <c r="E64" s="12"/>
      <c r="F64" s="6"/>
      <c r="G64" s="6" t="s">
        <v>125</v>
      </c>
      <c r="H64" s="6"/>
      <c r="I64" s="6" t="s">
        <v>143</v>
      </c>
      <c r="J64" s="3" t="s">
        <v>146</v>
      </c>
      <c r="K64" s="6">
        <v>100</v>
      </c>
      <c r="L64" s="3" t="s">
        <v>88</v>
      </c>
      <c r="M64" s="7"/>
      <c r="N64" s="6"/>
      <c r="O64" s="9">
        <f>0.47*Table2[[#This Row],[قيمة المحضر]]</f>
        <v>0</v>
      </c>
      <c r="P64" s="9">
        <f>0.17*Table2[[#This Row],[قيمة المحضر]]</f>
        <v>0</v>
      </c>
      <c r="Q64" s="9">
        <f t="shared" ca="1" si="5"/>
        <v>1570</v>
      </c>
      <c r="R64" s="3"/>
      <c r="S64" s="3"/>
      <c r="T64" s="9" t="str">
        <f t="shared" si="6"/>
        <v>-</v>
      </c>
      <c r="U64" s="3" t="s">
        <v>25</v>
      </c>
      <c r="V64" s="9" t="str">
        <f t="shared" si="7"/>
        <v>-</v>
      </c>
      <c r="W64" s="4"/>
      <c r="X64" s="38"/>
      <c r="Y64" s="1">
        <f t="shared" ca="1" si="3"/>
        <v>46162</v>
      </c>
      <c r="Z64" s="1" cm="1">
        <f t="array" aca="1" ref="Z64" ca="1">IF(D64&gt;DATE(2015,5,16),0,
K64*
(
INT((MIN(Y64,DATE(2015,5,16))-D64)/365)
+
CEILING(MOD((MIN(Y64,DATE(2015,5,16))-D64)/365,1),0.25)
)
*
_xlfn.SWITCH(J64,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15</v>
      </c>
      <c r="AA64" s="1" cm="1">
        <f t="array" aca="1" ref="AA64" ca="1">IF(Y64&lt;DATE(2015,5,17),0,
K64*
(
INT((MIN(Y64,DATE(2018,9,23))-MAX(D64,DATE(2015,5,17)))/365)
+
CEILING(MOD((MIN(Y64,DATE(2018,9,23))-MAX(D64,DATE(2015,5,17)))/365,1),0.25)
)
*
_xlfn.SWITCH(J64,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105</v>
      </c>
      <c r="AB64" s="1" cm="1">
        <f t="array" aca="1" ref="AB64" ca="1">IF(Y64&lt;DATE(2018,9,24),0,
IF(J64="زراعة",
K64*
(
INT((MIN(Y64,DATE(2023,4,30))-MAX(D64,DATE(2018,9,24)))/365)
+
CEILING(MOD((MIN(Y64,DATE(2023,4,30))-MAX(D64,DATE(2018,9,24)))/365,1),0.25)
)
*1,
K64*
(
DATEDIF(MAX(D64,DATE(2018,9,24)),MIN(Y64,DATE(2023,4,30)),"m")+1
)
*
_xlfn.SWITCH(J64,
"موقف/تندة",IF(D64&lt;DATE(2019,11,30),6,30),
"تشوينات",IF(D64&lt;DATE(2019,11,30),4,20),
"مشاتل",IF(D64&lt;DATE(2019,11,30),2,10),
"كافيتيريا",IF(D64&lt;DATE(2019,11,30),30,150),
"نوادي",IF(D64&lt;DATE(2019,11,30),6,30),
"رسو مراكب",IF(D64&lt;DATE(2019,11,30),2,10),
"مباني",IF(D64&lt;DATE(2018,9,24),2,10),
"عشش",IF(D64&lt;DATE(2019,11,30),2,10),
"كشك (تجاري/صناعي)",IF(D64&lt;DATE(2019,11,30),10,50),
"ردم",20,
0)))</f>
        <v>475</v>
      </c>
      <c r="AC64" s="1" cm="1">
        <f t="array" aca="1" ref="AC64" ca="1">IF(Y64&lt;DATE(2023,5,1),0,
IF(J64="زراعة",
K64*
(
INT((Y64-MAX(DATE(2023,5,1),D64))/365)
+
CEILING(MOD((Y64-MAX(DATE(2023,5,1),D64))/365,1),0.25)
)
*3,
IF(J64="ردم",
K64*20,
K64*
(
DATEDIF(MAX(DATE(2023,5,1),D64),Y64,"m")+1
)
*
_xlfn.SWITCH(J64,
"موقف/تندة",6,
"تشوينات",4,
"مشاتل",2,
"رسو مراكب",6,
"مباني",3,
"عشش",1,
"كشك (تجاري/صناعي)",20,
"مواسير صرف صحي (&lt;1م)",16,
"مواسير صرف صحي (&gt;1م)",18,
0))))</f>
        <v>975</v>
      </c>
      <c r="AD64" s="1">
        <f t="shared" ca="1" si="4"/>
        <v>55</v>
      </c>
    </row>
    <row r="65" spans="1:30" ht="19.5" thickBot="1" x14ac:dyDescent="0.3">
      <c r="A65" s="30">
        <v>64</v>
      </c>
      <c r="B65" s="17">
        <v>144</v>
      </c>
      <c r="C65" s="17">
        <v>2014</v>
      </c>
      <c r="D65" s="18">
        <v>41959</v>
      </c>
      <c r="E65" s="16"/>
      <c r="F65" s="17"/>
      <c r="G65" s="17" t="s">
        <v>31</v>
      </c>
      <c r="H65" s="17"/>
      <c r="I65" s="17" t="s">
        <v>143</v>
      </c>
      <c r="J65" s="14" t="s">
        <v>146</v>
      </c>
      <c r="K65" s="17">
        <v>100</v>
      </c>
      <c r="L65" s="14" t="s">
        <v>88</v>
      </c>
      <c r="M65" s="7"/>
      <c r="N65" s="6"/>
      <c r="O65" s="9">
        <f>0.47*Table2[[#This Row],[قيمة المحضر]]</f>
        <v>0</v>
      </c>
      <c r="P65" s="9">
        <f>0.17*Table2[[#This Row],[قيمة المحضر]]</f>
        <v>0</v>
      </c>
      <c r="Q65" s="9">
        <f t="shared" ca="1" si="5"/>
        <v>1570</v>
      </c>
      <c r="R65" s="3"/>
      <c r="S65" s="3"/>
      <c r="T65" s="9" t="str">
        <f t="shared" si="6"/>
        <v>-</v>
      </c>
      <c r="U65" s="3" t="s">
        <v>25</v>
      </c>
      <c r="V65" s="9" t="str">
        <f t="shared" si="7"/>
        <v>-</v>
      </c>
      <c r="W65" s="4"/>
      <c r="X65" s="38"/>
      <c r="Y65" s="1">
        <f t="shared" ca="1" si="3"/>
        <v>46162</v>
      </c>
      <c r="Z65" s="1" cm="1">
        <f t="array" aca="1" ref="Z65" ca="1">IF(D65&gt;DATE(2015,5,16),0,
K65*
(
INT((MIN(Y65,DATE(2015,5,16))-D65)/365)
+
CEILING(MOD((MIN(Y65,DATE(2015,5,16))-D65)/365,1),0.25)
)
*
_xlfn.SWITCH(J65,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15</v>
      </c>
      <c r="AA65" s="1" cm="1">
        <f t="array" aca="1" ref="AA65" ca="1">IF(Y65&lt;DATE(2015,5,17),0,
K65*
(
INT((MIN(Y65,DATE(2018,9,23))-MAX(D65,DATE(2015,5,17)))/365)
+
CEILING(MOD((MIN(Y65,DATE(2018,9,23))-MAX(D65,DATE(2015,5,17)))/365,1),0.25)
)
*
_xlfn.SWITCH(J65,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105</v>
      </c>
      <c r="AB65" s="1" cm="1">
        <f t="array" aca="1" ref="AB65" ca="1">IF(Y65&lt;DATE(2018,9,24),0,
IF(J65="زراعة",
K65*
(
INT((MIN(Y65,DATE(2023,4,30))-MAX(D65,DATE(2018,9,24)))/365)
+
CEILING(MOD((MIN(Y65,DATE(2023,4,30))-MAX(D65,DATE(2018,9,24)))/365,1),0.25)
)
*1,
K65*
(
DATEDIF(MAX(D65,DATE(2018,9,24)),MIN(Y65,DATE(2023,4,30)),"m")+1
)
*
_xlfn.SWITCH(J65,
"موقف/تندة",IF(D65&lt;DATE(2019,11,30),6,30),
"تشوينات",IF(D65&lt;DATE(2019,11,30),4,20),
"مشاتل",IF(D65&lt;DATE(2019,11,30),2,10),
"كافيتيريا",IF(D65&lt;DATE(2019,11,30),30,150),
"نوادي",IF(D65&lt;DATE(2019,11,30),6,30),
"رسو مراكب",IF(D65&lt;DATE(2019,11,30),2,10),
"مباني",IF(D65&lt;DATE(2018,9,24),2,10),
"عشش",IF(D65&lt;DATE(2019,11,30),2,10),
"كشك (تجاري/صناعي)",IF(D65&lt;DATE(2019,11,30),10,50),
"ردم",20,
0)))</f>
        <v>475</v>
      </c>
      <c r="AC65" s="1" cm="1">
        <f t="array" aca="1" ref="AC65" ca="1">IF(Y65&lt;DATE(2023,5,1),0,
IF(J65="زراعة",
K65*
(
INT((Y65-MAX(DATE(2023,5,1),D65))/365)
+
CEILING(MOD((Y65-MAX(DATE(2023,5,1),D65))/365,1),0.25)
)
*3,
IF(J65="ردم",
K65*20,
K65*
(
DATEDIF(MAX(DATE(2023,5,1),D65),Y65,"m")+1
)
*
_xlfn.SWITCH(J65,
"موقف/تندة",6,
"تشوينات",4,
"مشاتل",2,
"رسو مراكب",6,
"مباني",3,
"عشش",1,
"كشك (تجاري/صناعي)",20,
"مواسير صرف صحي (&lt;1م)",16,
"مواسير صرف صحي (&gt;1م)",18,
0))))</f>
        <v>975</v>
      </c>
      <c r="AD65" s="1">
        <f t="shared" ca="1" si="4"/>
        <v>55</v>
      </c>
    </row>
    <row r="66" spans="1:30" ht="19.5" thickBot="1" x14ac:dyDescent="0.3">
      <c r="A66" s="30">
        <v>65</v>
      </c>
      <c r="B66" s="6">
        <v>145</v>
      </c>
      <c r="C66" s="6">
        <v>2014</v>
      </c>
      <c r="D66" s="7">
        <v>41959</v>
      </c>
      <c r="E66" s="12"/>
      <c r="F66" s="6"/>
      <c r="G66" s="6" t="s">
        <v>126</v>
      </c>
      <c r="H66" s="6"/>
      <c r="I66" s="6" t="s">
        <v>143</v>
      </c>
      <c r="J66" s="3" t="s">
        <v>146</v>
      </c>
      <c r="K66" s="6">
        <v>100</v>
      </c>
      <c r="L66" s="3" t="s">
        <v>88</v>
      </c>
      <c r="M66" s="7"/>
      <c r="N66" s="6"/>
      <c r="O66" s="9">
        <f>0.47*Table2[[#This Row],[قيمة المحضر]]</f>
        <v>0</v>
      </c>
      <c r="P66" s="9">
        <f>0.17*Table2[[#This Row],[قيمة المحضر]]</f>
        <v>0</v>
      </c>
      <c r="Q66" s="9">
        <f t="shared" ca="1" si="5"/>
        <v>1570</v>
      </c>
      <c r="R66" s="3"/>
      <c r="S66" s="3"/>
      <c r="T66" s="9" t="str">
        <f t="shared" si="6"/>
        <v>-</v>
      </c>
      <c r="U66" s="3" t="s">
        <v>25</v>
      </c>
      <c r="V66" s="9" t="str">
        <f t="shared" si="7"/>
        <v>-</v>
      </c>
      <c r="W66" s="4"/>
      <c r="X66" s="38"/>
      <c r="Y66" s="1">
        <f t="shared" ca="1" si="3"/>
        <v>46162</v>
      </c>
      <c r="Z66" s="1" cm="1">
        <f t="array" aca="1" ref="Z66" ca="1">IF(D66&gt;DATE(2015,5,16),0,
K66*
(
INT((MIN(Y66,DATE(2015,5,16))-D66)/365)
+
CEILING(MOD((MIN(Y66,DATE(2015,5,16))-D66)/365,1),0.25)
)
*
_xlfn.SWITCH(J66,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15</v>
      </c>
      <c r="AA66" s="1" cm="1">
        <f t="array" aca="1" ref="AA66" ca="1">IF(Y66&lt;DATE(2015,5,17),0,
K66*
(
INT((MIN(Y66,DATE(2018,9,23))-MAX(D66,DATE(2015,5,17)))/365)
+
CEILING(MOD((MIN(Y66,DATE(2018,9,23))-MAX(D66,DATE(2015,5,17)))/365,1),0.25)
)
*
_xlfn.SWITCH(J66,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105</v>
      </c>
      <c r="AB66" s="1" cm="1">
        <f t="array" aca="1" ref="AB66" ca="1">IF(Y66&lt;DATE(2018,9,24),0,
IF(J66="زراعة",
K66*
(
INT((MIN(Y66,DATE(2023,4,30))-MAX(D66,DATE(2018,9,24)))/365)
+
CEILING(MOD((MIN(Y66,DATE(2023,4,30))-MAX(D66,DATE(2018,9,24)))/365,1),0.25)
)
*1,
K66*
(
DATEDIF(MAX(D66,DATE(2018,9,24)),MIN(Y66,DATE(2023,4,30)),"m")+1
)
*
_xlfn.SWITCH(J66,
"موقف/تندة",IF(D66&lt;DATE(2019,11,30),6,30),
"تشوينات",IF(D66&lt;DATE(2019,11,30),4,20),
"مشاتل",IF(D66&lt;DATE(2019,11,30),2,10),
"كافيتيريا",IF(D66&lt;DATE(2019,11,30),30,150),
"نوادي",IF(D66&lt;DATE(2019,11,30),6,30),
"رسو مراكب",IF(D66&lt;DATE(2019,11,30),2,10),
"مباني",IF(D66&lt;DATE(2018,9,24),2,10),
"عشش",IF(D66&lt;DATE(2019,11,30),2,10),
"كشك (تجاري/صناعي)",IF(D66&lt;DATE(2019,11,30),10,50),
"ردم",20,
0)))</f>
        <v>475</v>
      </c>
      <c r="AC66" s="1" cm="1">
        <f t="array" aca="1" ref="AC66" ca="1">IF(Y66&lt;DATE(2023,5,1),0,
IF(J66="زراعة",
K66*
(
INT((Y66-MAX(DATE(2023,5,1),D66))/365)
+
CEILING(MOD((Y66-MAX(DATE(2023,5,1),D66))/365,1),0.25)
)
*3,
IF(J66="ردم",
K66*20,
K66*
(
DATEDIF(MAX(DATE(2023,5,1),D66),Y66,"m")+1
)
*
_xlfn.SWITCH(J66,
"موقف/تندة",6,
"تشوينات",4,
"مشاتل",2,
"رسو مراكب",6,
"مباني",3,
"عشش",1,
"كشك (تجاري/صناعي)",20,
"مواسير صرف صحي (&lt;1م)",16,
"مواسير صرف صحي (&gt;1م)",18,
0))))</f>
        <v>975</v>
      </c>
      <c r="AD66" s="1">
        <f t="shared" ca="1" si="4"/>
        <v>55</v>
      </c>
    </row>
    <row r="67" spans="1:30" ht="19.5" thickBot="1" x14ac:dyDescent="0.3">
      <c r="A67" s="30">
        <v>66</v>
      </c>
      <c r="B67" s="6">
        <v>146</v>
      </c>
      <c r="C67" s="6">
        <v>2014</v>
      </c>
      <c r="D67" s="7">
        <v>41959</v>
      </c>
      <c r="E67" s="12"/>
      <c r="F67" s="6"/>
      <c r="G67" s="6" t="s">
        <v>127</v>
      </c>
      <c r="H67" s="6"/>
      <c r="I67" s="6" t="s">
        <v>143</v>
      </c>
      <c r="J67" s="3" t="s">
        <v>146</v>
      </c>
      <c r="K67" s="6">
        <v>100</v>
      </c>
      <c r="L67" s="3" t="s">
        <v>88</v>
      </c>
      <c r="M67" s="7"/>
      <c r="N67" s="6"/>
      <c r="O67" s="9">
        <f>0.47*Table2[[#This Row],[قيمة المحضر]]</f>
        <v>0</v>
      </c>
      <c r="P67" s="9">
        <f>0.17*Table2[[#This Row],[قيمة المحضر]]</f>
        <v>0</v>
      </c>
      <c r="Q67" s="9">
        <f t="shared" ca="1" si="5"/>
        <v>1570</v>
      </c>
      <c r="R67" s="3"/>
      <c r="S67" s="3"/>
      <c r="T67" s="9" t="str">
        <f t="shared" si="6"/>
        <v>-</v>
      </c>
      <c r="U67" s="3" t="s">
        <v>25</v>
      </c>
      <c r="V67" s="9" t="str">
        <f t="shared" si="7"/>
        <v>-</v>
      </c>
      <c r="W67" s="4"/>
      <c r="X67" s="38"/>
      <c r="Y67" s="1">
        <f t="shared" ref="Y67:Y130" ca="1" si="8">IF(M67="",TODAY(),M67)</f>
        <v>46162</v>
      </c>
      <c r="Z67" s="1" cm="1">
        <f t="array" aca="1" ref="Z67" ca="1">IF(D67&gt;DATE(2015,5,16),0,
K67*
(
INT((MIN(Y67,DATE(2015,5,16))-D67)/365)
+
CEILING(MOD((MIN(Y67,DATE(2015,5,16))-D67)/365,1),0.25)
)
*
_xlfn.SWITCH(J67,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15</v>
      </c>
      <c r="AA67" s="1" cm="1">
        <f t="array" aca="1" ref="AA67" ca="1">IF(Y67&lt;DATE(2015,5,17),0,
K67*
(
INT((MIN(Y67,DATE(2018,9,23))-MAX(D67,DATE(2015,5,17)))/365)
+
CEILING(MOD((MIN(Y67,DATE(2018,9,23))-MAX(D67,DATE(2015,5,17)))/365,1),0.25)
)
*
_xlfn.SWITCH(J67,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105</v>
      </c>
      <c r="AB67" s="1" cm="1">
        <f t="array" aca="1" ref="AB67" ca="1">IF(Y67&lt;DATE(2018,9,24),0,
IF(J67="زراعة",
K67*
(
INT((MIN(Y67,DATE(2023,4,30))-MAX(D67,DATE(2018,9,24)))/365)
+
CEILING(MOD((MIN(Y67,DATE(2023,4,30))-MAX(D67,DATE(2018,9,24)))/365,1),0.25)
)
*1,
K67*
(
DATEDIF(MAX(D67,DATE(2018,9,24)),MIN(Y67,DATE(2023,4,30)),"m")+1
)
*
_xlfn.SWITCH(J67,
"موقف/تندة",IF(D67&lt;DATE(2019,11,30),6,30),
"تشوينات",IF(D67&lt;DATE(2019,11,30),4,20),
"مشاتل",IF(D67&lt;DATE(2019,11,30),2,10),
"كافيتيريا",IF(D67&lt;DATE(2019,11,30),30,150),
"نوادي",IF(D67&lt;DATE(2019,11,30),6,30),
"رسو مراكب",IF(D67&lt;DATE(2019,11,30),2,10),
"مباني",IF(D67&lt;DATE(2018,9,24),2,10),
"عشش",IF(D67&lt;DATE(2019,11,30),2,10),
"كشك (تجاري/صناعي)",IF(D67&lt;DATE(2019,11,30),10,50),
"ردم",20,
0)))</f>
        <v>475</v>
      </c>
      <c r="AC67" s="1" cm="1">
        <f t="array" aca="1" ref="AC67" ca="1">IF(Y67&lt;DATE(2023,5,1),0,
IF(J67="زراعة",
K67*
(
INT((Y67-MAX(DATE(2023,5,1),D67))/365)
+
CEILING(MOD((Y67-MAX(DATE(2023,5,1),D67))/365,1),0.25)
)
*3,
IF(J67="ردم",
K67*20,
K67*
(
DATEDIF(MAX(DATE(2023,5,1),D67),Y67,"m")+1
)
*
_xlfn.SWITCH(J67,
"موقف/تندة",6,
"تشوينات",4,
"مشاتل",2,
"رسو مراكب",6,
"مباني",3,
"عشش",1,
"كشك (تجاري/صناعي)",20,
"مواسير صرف صحي (&lt;1م)",16,
"مواسير صرف صحي (&gt;1م)",18,
0))))</f>
        <v>975</v>
      </c>
      <c r="AD67" s="1">
        <f t="shared" ref="AD67:AD130" ca="1" si="9">DATEDIF(MAX(D67,DATE(2018,9,24)),MIN(Y67,DATE(2023,4,30)),"m")</f>
        <v>55</v>
      </c>
    </row>
    <row r="68" spans="1:30" ht="19.5" thickBot="1" x14ac:dyDescent="0.3">
      <c r="A68" s="30">
        <v>67</v>
      </c>
      <c r="B68" s="6">
        <v>147</v>
      </c>
      <c r="C68" s="6">
        <v>2014</v>
      </c>
      <c r="D68" s="7">
        <v>41959</v>
      </c>
      <c r="E68" s="12"/>
      <c r="F68" s="6"/>
      <c r="G68" s="6" t="s">
        <v>128</v>
      </c>
      <c r="H68" s="6"/>
      <c r="I68" s="6" t="s">
        <v>143</v>
      </c>
      <c r="J68" s="3" t="s">
        <v>146</v>
      </c>
      <c r="K68" s="6">
        <v>150</v>
      </c>
      <c r="L68" s="3" t="s">
        <v>88</v>
      </c>
      <c r="M68" s="7"/>
      <c r="N68" s="6"/>
      <c r="O68" s="9">
        <f>0.47*Table2[[#This Row],[قيمة المحضر]]</f>
        <v>0</v>
      </c>
      <c r="P68" s="9">
        <f>0.17*Table2[[#This Row],[قيمة المحضر]]</f>
        <v>0</v>
      </c>
      <c r="Q68" s="9">
        <f t="shared" ca="1" si="5"/>
        <v>2355</v>
      </c>
      <c r="R68" s="3"/>
      <c r="S68" s="3"/>
      <c r="T68" s="9" t="str">
        <f t="shared" si="6"/>
        <v>-</v>
      </c>
      <c r="U68" s="3" t="s">
        <v>25</v>
      </c>
      <c r="V68" s="9" t="str">
        <f t="shared" si="7"/>
        <v>-</v>
      </c>
      <c r="W68" s="4"/>
      <c r="X68" s="38"/>
      <c r="Y68" s="1">
        <f t="shared" ca="1" si="8"/>
        <v>46162</v>
      </c>
      <c r="Z68" s="1" cm="1">
        <f t="array" aca="1" ref="Z68" ca="1">IF(D68&gt;DATE(2015,5,16),0,
K68*
(
INT((MIN(Y68,DATE(2015,5,16))-D68)/365)
+
CEILING(MOD((MIN(Y68,DATE(2015,5,16))-D68)/365,1),0.25)
)
*
_xlfn.SWITCH(J68,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22.5</v>
      </c>
      <c r="AA68" s="1" cm="1">
        <f t="array" aca="1" ref="AA68" ca="1">IF(Y68&lt;DATE(2015,5,17),0,
K68*
(
INT((MIN(Y68,DATE(2018,9,23))-MAX(D68,DATE(2015,5,17)))/365)
+
CEILING(MOD((MIN(Y68,DATE(2018,9,23))-MAX(D68,DATE(2015,5,17)))/365,1),0.25)
)
*
_xlfn.SWITCH(J68,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157.5</v>
      </c>
      <c r="AB68" s="1" cm="1">
        <f t="array" aca="1" ref="AB68" ca="1">IF(Y68&lt;DATE(2018,9,24),0,
IF(J68="زراعة",
K68*
(
INT((MIN(Y68,DATE(2023,4,30))-MAX(D68,DATE(2018,9,24)))/365)
+
CEILING(MOD((MIN(Y68,DATE(2023,4,30))-MAX(D68,DATE(2018,9,24)))/365,1),0.25)
)
*1,
K68*
(
DATEDIF(MAX(D68,DATE(2018,9,24)),MIN(Y68,DATE(2023,4,30)),"m")+1
)
*
_xlfn.SWITCH(J68,
"موقف/تندة",IF(D68&lt;DATE(2019,11,30),6,30),
"تشوينات",IF(D68&lt;DATE(2019,11,30),4,20),
"مشاتل",IF(D68&lt;DATE(2019,11,30),2,10),
"كافيتيريا",IF(D68&lt;DATE(2019,11,30),30,150),
"نوادي",IF(D68&lt;DATE(2019,11,30),6,30),
"رسو مراكب",IF(D68&lt;DATE(2019,11,30),2,10),
"مباني",IF(D68&lt;DATE(2018,9,24),2,10),
"عشش",IF(D68&lt;DATE(2019,11,30),2,10),
"كشك (تجاري/صناعي)",IF(D68&lt;DATE(2019,11,30),10,50),
"ردم",20,
0)))</f>
        <v>712.5</v>
      </c>
      <c r="AC68" s="1" cm="1">
        <f t="array" aca="1" ref="AC68" ca="1">IF(Y68&lt;DATE(2023,5,1),0,
IF(J68="زراعة",
K68*
(
INT((Y68-MAX(DATE(2023,5,1),D68))/365)
+
CEILING(MOD((Y68-MAX(DATE(2023,5,1),D68))/365,1),0.25)
)
*3,
IF(J68="ردم",
K68*20,
K68*
(
DATEDIF(MAX(DATE(2023,5,1),D68),Y68,"m")+1
)
*
_xlfn.SWITCH(J68,
"موقف/تندة",6,
"تشوينات",4,
"مشاتل",2,
"رسو مراكب",6,
"مباني",3,
"عشش",1,
"كشك (تجاري/صناعي)",20,
"مواسير صرف صحي (&lt;1م)",16,
"مواسير صرف صحي (&gt;1م)",18,
0))))</f>
        <v>1462.5</v>
      </c>
      <c r="AD68" s="1">
        <f t="shared" ca="1" si="9"/>
        <v>55</v>
      </c>
    </row>
    <row r="69" spans="1:30" ht="19.5" thickBot="1" x14ac:dyDescent="0.3">
      <c r="A69" s="30">
        <v>68</v>
      </c>
      <c r="B69" s="6">
        <v>148</v>
      </c>
      <c r="C69" s="6">
        <v>2014</v>
      </c>
      <c r="D69" s="7">
        <v>41959</v>
      </c>
      <c r="E69" s="12"/>
      <c r="F69" s="6"/>
      <c r="G69" s="6" t="s">
        <v>129</v>
      </c>
      <c r="H69" s="6"/>
      <c r="I69" s="6" t="s">
        <v>143</v>
      </c>
      <c r="J69" s="3" t="s">
        <v>146</v>
      </c>
      <c r="K69" s="6">
        <v>100</v>
      </c>
      <c r="L69" s="3" t="s">
        <v>88</v>
      </c>
      <c r="M69" s="7"/>
      <c r="N69" s="6"/>
      <c r="O69" s="9">
        <f>0.47*Table2[[#This Row],[قيمة المحضر]]</f>
        <v>0</v>
      </c>
      <c r="P69" s="9">
        <f>0.17*Table2[[#This Row],[قيمة المحضر]]</f>
        <v>0</v>
      </c>
      <c r="Q69" s="9">
        <f t="shared" ca="1" si="5"/>
        <v>1570</v>
      </c>
      <c r="R69" s="3"/>
      <c r="S69" s="3"/>
      <c r="T69" s="9" t="str">
        <f t="shared" si="6"/>
        <v>-</v>
      </c>
      <c r="U69" s="3" t="s">
        <v>25</v>
      </c>
      <c r="V69" s="9" t="str">
        <f t="shared" si="7"/>
        <v>-</v>
      </c>
      <c r="W69" s="4"/>
      <c r="X69" s="38"/>
      <c r="Y69" s="1">
        <f t="shared" ca="1" si="8"/>
        <v>46162</v>
      </c>
      <c r="Z69" s="1" cm="1">
        <f t="array" aca="1" ref="Z69" ca="1">IF(D69&gt;DATE(2015,5,16),0,
K69*
(
INT((MIN(Y69,DATE(2015,5,16))-D69)/365)
+
CEILING(MOD((MIN(Y69,DATE(2015,5,16))-D69)/365,1),0.25)
)
*
_xlfn.SWITCH(J69,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15</v>
      </c>
      <c r="AA69" s="1" cm="1">
        <f t="array" aca="1" ref="AA69" ca="1">IF(Y69&lt;DATE(2015,5,17),0,
K69*
(
INT((MIN(Y69,DATE(2018,9,23))-MAX(D69,DATE(2015,5,17)))/365)
+
CEILING(MOD((MIN(Y69,DATE(2018,9,23))-MAX(D69,DATE(2015,5,17)))/365,1),0.25)
)
*
_xlfn.SWITCH(J69,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105</v>
      </c>
      <c r="AB69" s="1" cm="1">
        <f t="array" aca="1" ref="AB69" ca="1">IF(Y69&lt;DATE(2018,9,24),0,
IF(J69="زراعة",
K69*
(
INT((MIN(Y69,DATE(2023,4,30))-MAX(D69,DATE(2018,9,24)))/365)
+
CEILING(MOD((MIN(Y69,DATE(2023,4,30))-MAX(D69,DATE(2018,9,24)))/365,1),0.25)
)
*1,
K69*
(
DATEDIF(MAX(D69,DATE(2018,9,24)),MIN(Y69,DATE(2023,4,30)),"m")+1
)
*
_xlfn.SWITCH(J69,
"موقف/تندة",IF(D69&lt;DATE(2019,11,30),6,30),
"تشوينات",IF(D69&lt;DATE(2019,11,30),4,20),
"مشاتل",IF(D69&lt;DATE(2019,11,30),2,10),
"كافيتيريا",IF(D69&lt;DATE(2019,11,30),30,150),
"نوادي",IF(D69&lt;DATE(2019,11,30),6,30),
"رسو مراكب",IF(D69&lt;DATE(2019,11,30),2,10),
"مباني",IF(D69&lt;DATE(2018,9,24),2,10),
"عشش",IF(D69&lt;DATE(2019,11,30),2,10),
"كشك (تجاري/صناعي)",IF(D69&lt;DATE(2019,11,30),10,50),
"ردم",20,
0)))</f>
        <v>475</v>
      </c>
      <c r="AC69" s="1" cm="1">
        <f t="array" aca="1" ref="AC69" ca="1">IF(Y69&lt;DATE(2023,5,1),0,
IF(J69="زراعة",
K69*
(
INT((Y69-MAX(DATE(2023,5,1),D69))/365)
+
CEILING(MOD((Y69-MAX(DATE(2023,5,1),D69))/365,1),0.25)
)
*3,
IF(J69="ردم",
K69*20,
K69*
(
DATEDIF(MAX(DATE(2023,5,1),D69),Y69,"m")+1
)
*
_xlfn.SWITCH(J69,
"موقف/تندة",6,
"تشوينات",4,
"مشاتل",2,
"رسو مراكب",6,
"مباني",3,
"عشش",1,
"كشك (تجاري/صناعي)",20,
"مواسير صرف صحي (&lt;1م)",16,
"مواسير صرف صحي (&gt;1م)",18,
0))))</f>
        <v>975</v>
      </c>
      <c r="AD69" s="1">
        <f t="shared" ca="1" si="9"/>
        <v>55</v>
      </c>
    </row>
    <row r="70" spans="1:30" ht="19.5" thickBot="1" x14ac:dyDescent="0.3">
      <c r="A70" s="30">
        <v>69</v>
      </c>
      <c r="B70" s="17">
        <v>149</v>
      </c>
      <c r="C70" s="17">
        <v>2014</v>
      </c>
      <c r="D70" s="18">
        <v>41959</v>
      </c>
      <c r="E70" s="16"/>
      <c r="F70" s="17"/>
      <c r="G70" s="17" t="s">
        <v>31</v>
      </c>
      <c r="H70" s="17"/>
      <c r="I70" s="17" t="s">
        <v>103</v>
      </c>
      <c r="J70" s="14" t="s">
        <v>77</v>
      </c>
      <c r="K70" s="17">
        <v>100</v>
      </c>
      <c r="L70" s="14" t="s">
        <v>89</v>
      </c>
      <c r="M70" s="7"/>
      <c r="N70" s="6"/>
      <c r="O70" s="9">
        <f>0.47*Table2[[#This Row],[قيمة المحضر]]</f>
        <v>0</v>
      </c>
      <c r="P70" s="9">
        <f>0.17*Table2[[#This Row],[قيمة المحضر]]</f>
        <v>0</v>
      </c>
      <c r="Q70" s="9">
        <f t="shared" ca="1" si="5"/>
        <v>122000</v>
      </c>
      <c r="R70" s="3"/>
      <c r="S70" s="3"/>
      <c r="T70" s="9" t="str">
        <f t="shared" si="6"/>
        <v>-</v>
      </c>
      <c r="U70" s="3" t="s">
        <v>25</v>
      </c>
      <c r="V70" s="9" t="str">
        <f t="shared" si="7"/>
        <v>-</v>
      </c>
      <c r="W70" s="4"/>
      <c r="X70" s="38"/>
      <c r="Y70" s="1">
        <f t="shared" ca="1" si="8"/>
        <v>46162</v>
      </c>
      <c r="Z70" s="1" cm="1">
        <f t="array" aca="1" ref="Z70" ca="1">IF(D70&gt;DATE(2015,5,16),0,
K70*
(
INT((MIN(Y70,DATE(2015,5,16))-D70)/365)
+
CEILING(MOD((MIN(Y70,DATE(2015,5,16))-D70)/365,1),0.25)
)
*
_xlfn.SWITCH(J70,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1000</v>
      </c>
      <c r="AA70" s="1" cm="1">
        <f t="array" aca="1" ref="AA70" ca="1">IF(Y70&lt;DATE(2015,5,17),0,
K70*
(
INT((MIN(Y70,DATE(2018,9,23))-MAX(D70,DATE(2015,5,17)))/365)
+
CEILING(MOD((MIN(Y70,DATE(2018,9,23))-MAX(D70,DATE(2015,5,17)))/365,1),0.25)
)
*
_xlfn.SWITCH(J70,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7000</v>
      </c>
      <c r="AB70" s="1" cm="1">
        <f t="array" aca="1" ref="AB70" ca="1">IF(Y70&lt;DATE(2018,9,24),0,
IF(J70="زراعة",
K70*
(
INT((MIN(Y70,DATE(2023,4,30))-MAX(D70,DATE(2018,9,24)))/365)
+
CEILING(MOD((MIN(Y70,DATE(2023,4,30))-MAX(D70,DATE(2018,9,24)))/365,1),0.25)
)
*1,
K70*
(
DATEDIF(MAX(D70,DATE(2018,9,24)),MIN(Y70,DATE(2023,4,30)),"m")+1
)
*
_xlfn.SWITCH(J70,
"موقف/تندة",IF(D70&lt;DATE(2019,11,30),6,30),
"تشوينات",IF(D70&lt;DATE(2019,11,30),4,20),
"مشاتل",IF(D70&lt;DATE(2019,11,30),2,10),
"كافيتيريا",IF(D70&lt;DATE(2019,11,30),30,150),
"نوادي",IF(D70&lt;DATE(2019,11,30),6,30),
"رسو مراكب",IF(D70&lt;DATE(2019,11,30),2,10),
"مباني",IF(D70&lt;DATE(2018,9,24),2,10),
"عشش",IF(D70&lt;DATE(2019,11,30),2,10),
"كشك (تجاري/صناعي)",IF(D70&lt;DATE(2019,11,30),10,50),
"ردم",20,
0)))</f>
        <v>112000</v>
      </c>
      <c r="AC70" s="1" cm="1">
        <f t="array" aca="1" ref="AC70" ca="1">IF(Y70&lt;DATE(2023,5,1),0,
IF(J70="زراعة",
K70*
(
INT((Y70-MAX(DATE(2023,5,1),D70))/365)
+
CEILING(MOD((Y70-MAX(DATE(2023,5,1),D70))/365,1),0.25)
)
*3,
IF(J70="ردم",
K70*20,
K70*
(
DATEDIF(MAX(DATE(2023,5,1),D70),Y70,"m")+1
)
*
_xlfn.SWITCH(J70,
"موقف/تندة",6,
"تشوينات",4,
"مشاتل",2,
"رسو مراكب",6,
"مباني",3,
"عشش",1,
"كشك (تجاري/صناعي)",20,
"مواسير صرف صحي (&lt;1م)",16,
"مواسير صرف صحي (&gt;1م)",18,
0))))</f>
        <v>2000</v>
      </c>
      <c r="AD70" s="1">
        <f t="shared" ca="1" si="9"/>
        <v>55</v>
      </c>
    </row>
    <row r="71" spans="1:30" ht="19.5" thickBot="1" x14ac:dyDescent="0.3">
      <c r="A71" s="30">
        <v>70</v>
      </c>
      <c r="B71" s="6">
        <v>150</v>
      </c>
      <c r="C71" s="6">
        <v>2014</v>
      </c>
      <c r="D71" s="7">
        <v>41966</v>
      </c>
      <c r="E71" s="12"/>
      <c r="F71" s="6"/>
      <c r="G71" s="6" t="s">
        <v>130</v>
      </c>
      <c r="H71" s="6"/>
      <c r="I71" s="6" t="s">
        <v>103</v>
      </c>
      <c r="J71" s="3" t="s">
        <v>77</v>
      </c>
      <c r="K71" s="6">
        <v>10</v>
      </c>
      <c r="L71" s="3" t="s">
        <v>89</v>
      </c>
      <c r="M71" s="7"/>
      <c r="N71" s="6"/>
      <c r="O71" s="9">
        <f>0.47*Table2[[#This Row],[قيمة المحضر]]</f>
        <v>0</v>
      </c>
      <c r="P71" s="9">
        <f>0.17*Table2[[#This Row],[قيمة المحضر]]</f>
        <v>0</v>
      </c>
      <c r="Q71" s="9">
        <f t="shared" ca="1" si="5"/>
        <v>12200</v>
      </c>
      <c r="R71" s="3"/>
      <c r="S71" s="3"/>
      <c r="T71" s="9" t="str">
        <f t="shared" si="6"/>
        <v>-</v>
      </c>
      <c r="U71" s="3" t="s">
        <v>25</v>
      </c>
      <c r="V71" s="9" t="str">
        <f t="shared" si="7"/>
        <v>-</v>
      </c>
      <c r="W71" s="4"/>
      <c r="X71" s="38"/>
      <c r="Y71" s="1">
        <f t="shared" ca="1" si="8"/>
        <v>46162</v>
      </c>
      <c r="Z71" s="1" cm="1">
        <f t="array" aca="1" ref="Z71" ca="1">IF(D71&gt;DATE(2015,5,16),0,
K71*
(
INT((MIN(Y71,DATE(2015,5,16))-D71)/365)
+
CEILING(MOD((MIN(Y71,DATE(2015,5,16))-D71)/365,1),0.25)
)
*
_xlfn.SWITCH(J71,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100</v>
      </c>
      <c r="AA71" s="1" cm="1">
        <f t="array" aca="1" ref="AA71" ca="1">IF(Y71&lt;DATE(2015,5,17),0,
K71*
(
INT((MIN(Y71,DATE(2018,9,23))-MAX(D71,DATE(2015,5,17)))/365)
+
CEILING(MOD((MIN(Y71,DATE(2018,9,23))-MAX(D71,DATE(2015,5,17)))/365,1),0.25)
)
*
_xlfn.SWITCH(J71,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700</v>
      </c>
      <c r="AB71" s="1" cm="1">
        <f t="array" aca="1" ref="AB71" ca="1">IF(Y71&lt;DATE(2018,9,24),0,
IF(J71="زراعة",
K71*
(
INT((MIN(Y71,DATE(2023,4,30))-MAX(D71,DATE(2018,9,24)))/365)
+
CEILING(MOD((MIN(Y71,DATE(2023,4,30))-MAX(D71,DATE(2018,9,24)))/365,1),0.25)
)
*1,
K71*
(
DATEDIF(MAX(D71,DATE(2018,9,24)),MIN(Y71,DATE(2023,4,30)),"m")+1
)
*
_xlfn.SWITCH(J71,
"موقف/تندة",IF(D71&lt;DATE(2019,11,30),6,30),
"تشوينات",IF(D71&lt;DATE(2019,11,30),4,20),
"مشاتل",IF(D71&lt;DATE(2019,11,30),2,10),
"كافيتيريا",IF(D71&lt;DATE(2019,11,30),30,150),
"نوادي",IF(D71&lt;DATE(2019,11,30),6,30),
"رسو مراكب",IF(D71&lt;DATE(2019,11,30),2,10),
"مباني",IF(D71&lt;DATE(2018,9,24),2,10),
"عشش",IF(D71&lt;DATE(2019,11,30),2,10),
"كشك (تجاري/صناعي)",IF(D71&lt;DATE(2019,11,30),10,50),
"ردم",20,
0)))</f>
        <v>11200</v>
      </c>
      <c r="AC71" s="1" cm="1">
        <f t="array" aca="1" ref="AC71" ca="1">IF(Y71&lt;DATE(2023,5,1),0,
IF(J71="زراعة",
K71*
(
INT((Y71-MAX(DATE(2023,5,1),D71))/365)
+
CEILING(MOD((Y71-MAX(DATE(2023,5,1),D71))/365,1),0.25)
)
*3,
IF(J71="ردم",
K71*20,
K71*
(
DATEDIF(MAX(DATE(2023,5,1),D71),Y71,"m")+1
)
*
_xlfn.SWITCH(J71,
"موقف/تندة",6,
"تشوينات",4,
"مشاتل",2,
"رسو مراكب",6,
"مباني",3,
"عشش",1,
"كشك (تجاري/صناعي)",20,
"مواسير صرف صحي (&lt;1م)",16,
"مواسير صرف صحي (&gt;1م)",18,
0))))</f>
        <v>200</v>
      </c>
      <c r="AD71" s="1">
        <f t="shared" ca="1" si="9"/>
        <v>55</v>
      </c>
    </row>
    <row r="72" spans="1:30" ht="19.5" thickBot="1" x14ac:dyDescent="0.3">
      <c r="A72" s="30">
        <v>71</v>
      </c>
      <c r="B72" s="6">
        <v>151</v>
      </c>
      <c r="C72" s="6">
        <v>2014</v>
      </c>
      <c r="D72" s="7">
        <v>41966</v>
      </c>
      <c r="E72" s="12"/>
      <c r="F72" s="6"/>
      <c r="G72" s="6" t="s">
        <v>131</v>
      </c>
      <c r="H72" s="6"/>
      <c r="I72" s="6" t="s">
        <v>103</v>
      </c>
      <c r="J72" s="3" t="s">
        <v>77</v>
      </c>
      <c r="K72" s="6">
        <v>10</v>
      </c>
      <c r="L72" s="3" t="s">
        <v>89</v>
      </c>
      <c r="M72" s="7"/>
      <c r="N72" s="6"/>
      <c r="O72" s="9">
        <f>0.47*Table2[[#This Row],[قيمة المحضر]]</f>
        <v>0</v>
      </c>
      <c r="P72" s="9">
        <f>0.17*Table2[[#This Row],[قيمة المحضر]]</f>
        <v>0</v>
      </c>
      <c r="Q72" s="9">
        <f t="shared" ca="1" si="5"/>
        <v>12200</v>
      </c>
      <c r="R72" s="3"/>
      <c r="S72" s="3"/>
      <c r="T72" s="9" t="str">
        <f t="shared" si="6"/>
        <v>-</v>
      </c>
      <c r="U72" s="3" t="s">
        <v>25</v>
      </c>
      <c r="V72" s="9" t="str">
        <f t="shared" si="7"/>
        <v>-</v>
      </c>
      <c r="W72" s="4"/>
      <c r="X72" s="38"/>
      <c r="Y72" s="1">
        <f t="shared" ca="1" si="8"/>
        <v>46162</v>
      </c>
      <c r="Z72" s="1" cm="1">
        <f t="array" aca="1" ref="Z72" ca="1">IF(D72&gt;DATE(2015,5,16),0,
K72*
(
INT((MIN(Y72,DATE(2015,5,16))-D72)/365)
+
CEILING(MOD((MIN(Y72,DATE(2015,5,16))-D72)/365,1),0.25)
)
*
_xlfn.SWITCH(J72,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100</v>
      </c>
      <c r="AA72" s="1" cm="1">
        <f t="array" aca="1" ref="AA72" ca="1">IF(Y72&lt;DATE(2015,5,17),0,
K72*
(
INT((MIN(Y72,DATE(2018,9,23))-MAX(D72,DATE(2015,5,17)))/365)
+
CEILING(MOD((MIN(Y72,DATE(2018,9,23))-MAX(D72,DATE(2015,5,17)))/365,1),0.25)
)
*
_xlfn.SWITCH(J72,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700</v>
      </c>
      <c r="AB72" s="1" cm="1">
        <f t="array" aca="1" ref="AB72" ca="1">IF(Y72&lt;DATE(2018,9,24),0,
IF(J72="زراعة",
K72*
(
INT((MIN(Y72,DATE(2023,4,30))-MAX(D72,DATE(2018,9,24)))/365)
+
CEILING(MOD((MIN(Y72,DATE(2023,4,30))-MAX(D72,DATE(2018,9,24)))/365,1),0.25)
)
*1,
K72*
(
DATEDIF(MAX(D72,DATE(2018,9,24)),MIN(Y72,DATE(2023,4,30)),"m")+1
)
*
_xlfn.SWITCH(J72,
"موقف/تندة",IF(D72&lt;DATE(2019,11,30),6,30),
"تشوينات",IF(D72&lt;DATE(2019,11,30),4,20),
"مشاتل",IF(D72&lt;DATE(2019,11,30),2,10),
"كافيتيريا",IF(D72&lt;DATE(2019,11,30),30,150),
"نوادي",IF(D72&lt;DATE(2019,11,30),6,30),
"رسو مراكب",IF(D72&lt;DATE(2019,11,30),2,10),
"مباني",IF(D72&lt;DATE(2018,9,24),2,10),
"عشش",IF(D72&lt;DATE(2019,11,30),2,10),
"كشك (تجاري/صناعي)",IF(D72&lt;DATE(2019,11,30),10,50),
"ردم",20,
0)))</f>
        <v>11200</v>
      </c>
      <c r="AC72" s="1" cm="1">
        <f t="array" aca="1" ref="AC72" ca="1">IF(Y72&lt;DATE(2023,5,1),0,
IF(J72="زراعة",
K72*
(
INT((Y72-MAX(DATE(2023,5,1),D72))/365)
+
CEILING(MOD((Y72-MAX(DATE(2023,5,1),D72))/365,1),0.25)
)
*3,
IF(J72="ردم",
K72*20,
K72*
(
DATEDIF(MAX(DATE(2023,5,1),D72),Y72,"m")+1
)
*
_xlfn.SWITCH(J72,
"موقف/تندة",6,
"تشوينات",4,
"مشاتل",2,
"رسو مراكب",6,
"مباني",3,
"عشش",1,
"كشك (تجاري/صناعي)",20,
"مواسير صرف صحي (&lt;1م)",16,
"مواسير صرف صحي (&gt;1م)",18,
0))))</f>
        <v>200</v>
      </c>
      <c r="AD72" s="1">
        <f t="shared" ca="1" si="9"/>
        <v>55</v>
      </c>
    </row>
    <row r="73" spans="1:30" ht="19.5" thickBot="1" x14ac:dyDescent="0.3">
      <c r="A73" s="30">
        <v>72</v>
      </c>
      <c r="B73" s="6">
        <v>152</v>
      </c>
      <c r="C73" s="6">
        <v>2014</v>
      </c>
      <c r="D73" s="7">
        <v>41966</v>
      </c>
      <c r="E73" s="12"/>
      <c r="F73" s="6"/>
      <c r="G73" s="6" t="s">
        <v>132</v>
      </c>
      <c r="H73" s="6"/>
      <c r="I73" s="6" t="s">
        <v>103</v>
      </c>
      <c r="J73" s="3" t="s">
        <v>77</v>
      </c>
      <c r="K73" s="6">
        <v>14</v>
      </c>
      <c r="L73" s="3" t="s">
        <v>89</v>
      </c>
      <c r="M73" s="7"/>
      <c r="N73" s="6"/>
      <c r="O73" s="9">
        <f>0.47*Table2[[#This Row],[قيمة المحضر]]</f>
        <v>0</v>
      </c>
      <c r="P73" s="9">
        <f>0.17*Table2[[#This Row],[قيمة المحضر]]</f>
        <v>0</v>
      </c>
      <c r="Q73" s="9">
        <f t="shared" ca="1" si="5"/>
        <v>17080</v>
      </c>
      <c r="R73" s="3"/>
      <c r="S73" s="3"/>
      <c r="T73" s="9" t="str">
        <f t="shared" si="6"/>
        <v>-</v>
      </c>
      <c r="U73" s="3" t="s">
        <v>25</v>
      </c>
      <c r="V73" s="9" t="str">
        <f t="shared" si="7"/>
        <v>-</v>
      </c>
      <c r="W73" s="4"/>
      <c r="X73" s="38"/>
      <c r="Y73" s="1">
        <f t="shared" ca="1" si="8"/>
        <v>46162</v>
      </c>
      <c r="Z73" s="1" cm="1">
        <f t="array" aca="1" ref="Z73" ca="1">IF(D73&gt;DATE(2015,5,16),0,
K73*
(
INT((MIN(Y73,DATE(2015,5,16))-D73)/365)
+
CEILING(MOD((MIN(Y73,DATE(2015,5,16))-D73)/365,1),0.25)
)
*
_xlfn.SWITCH(J73,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140</v>
      </c>
      <c r="AA73" s="1" cm="1">
        <f t="array" aca="1" ref="AA73" ca="1">IF(Y73&lt;DATE(2015,5,17),0,
K73*
(
INT((MIN(Y73,DATE(2018,9,23))-MAX(D73,DATE(2015,5,17)))/365)
+
CEILING(MOD((MIN(Y73,DATE(2018,9,23))-MAX(D73,DATE(2015,5,17)))/365,1),0.25)
)
*
_xlfn.SWITCH(J73,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980</v>
      </c>
      <c r="AB73" s="1" cm="1">
        <f t="array" aca="1" ref="AB73" ca="1">IF(Y73&lt;DATE(2018,9,24),0,
IF(J73="زراعة",
K73*
(
INT((MIN(Y73,DATE(2023,4,30))-MAX(D73,DATE(2018,9,24)))/365)
+
CEILING(MOD((MIN(Y73,DATE(2023,4,30))-MAX(D73,DATE(2018,9,24)))/365,1),0.25)
)
*1,
K73*
(
DATEDIF(MAX(D73,DATE(2018,9,24)),MIN(Y73,DATE(2023,4,30)),"m")+1
)
*
_xlfn.SWITCH(J73,
"موقف/تندة",IF(D73&lt;DATE(2019,11,30),6,30),
"تشوينات",IF(D73&lt;DATE(2019,11,30),4,20),
"مشاتل",IF(D73&lt;DATE(2019,11,30),2,10),
"كافيتيريا",IF(D73&lt;DATE(2019,11,30),30,150),
"نوادي",IF(D73&lt;DATE(2019,11,30),6,30),
"رسو مراكب",IF(D73&lt;DATE(2019,11,30),2,10),
"مباني",IF(D73&lt;DATE(2018,9,24),2,10),
"عشش",IF(D73&lt;DATE(2019,11,30),2,10),
"كشك (تجاري/صناعي)",IF(D73&lt;DATE(2019,11,30),10,50),
"ردم",20,
0)))</f>
        <v>15680</v>
      </c>
      <c r="AC73" s="1" cm="1">
        <f t="array" aca="1" ref="AC73" ca="1">IF(Y73&lt;DATE(2023,5,1),0,
IF(J73="زراعة",
K73*
(
INT((Y73-MAX(DATE(2023,5,1),D73))/365)
+
CEILING(MOD((Y73-MAX(DATE(2023,5,1),D73))/365,1),0.25)
)
*3,
IF(J73="ردم",
K73*20,
K73*
(
DATEDIF(MAX(DATE(2023,5,1),D73),Y73,"m")+1
)
*
_xlfn.SWITCH(J73,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73" s="1">
        <f t="shared" ca="1" si="9"/>
        <v>55</v>
      </c>
    </row>
    <row r="74" spans="1:30" ht="19.5" thickBot="1" x14ac:dyDescent="0.3">
      <c r="A74" s="30">
        <v>73</v>
      </c>
      <c r="B74" s="17">
        <v>153</v>
      </c>
      <c r="C74" s="17">
        <v>2014</v>
      </c>
      <c r="D74" s="18">
        <v>41966</v>
      </c>
      <c r="E74" s="16"/>
      <c r="F74" s="17"/>
      <c r="G74" s="17" t="s">
        <v>133</v>
      </c>
      <c r="H74" s="17"/>
      <c r="I74" s="17" t="s">
        <v>103</v>
      </c>
      <c r="J74" s="14" t="s">
        <v>28</v>
      </c>
      <c r="K74" s="17">
        <v>20</v>
      </c>
      <c r="L74" s="14" t="s">
        <v>89</v>
      </c>
      <c r="M74" s="7"/>
      <c r="N74" s="6"/>
      <c r="O74" s="9">
        <f>0.47*Table2[[#This Row],[قيمة المحضر]]</f>
        <v>0</v>
      </c>
      <c r="P74" s="9">
        <f>0.17*Table2[[#This Row],[قيمة المحضر]]</f>
        <v>0</v>
      </c>
      <c r="Q74" s="9">
        <f t="shared" ca="1" si="5"/>
        <v>3270</v>
      </c>
      <c r="R74" s="3"/>
      <c r="S74" s="3"/>
      <c r="T74" s="9" t="str">
        <f t="shared" si="6"/>
        <v>-</v>
      </c>
      <c r="U74" s="3" t="s">
        <v>25</v>
      </c>
      <c r="V74" s="9" t="str">
        <f t="shared" si="7"/>
        <v>-</v>
      </c>
      <c r="W74" s="4"/>
      <c r="X74" s="38"/>
      <c r="Y74" s="1">
        <f t="shared" ca="1" si="8"/>
        <v>46162</v>
      </c>
      <c r="Z74" s="1" cm="1">
        <f t="array" aca="1" ref="Z74" ca="1">IF(D74&gt;DATE(2015,5,16),0,
K74*
(
INT((MIN(Y74,DATE(2015,5,16))-D74)/365)
+
CEILING(MOD((MIN(Y74,DATE(2015,5,16))-D74)/365,1),0.25)
)
*
_xlfn.SWITCH(J74,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10</v>
      </c>
      <c r="AA74" s="1" cm="1">
        <f t="array" aca="1" ref="AA74" ca="1">IF(Y74&lt;DATE(2015,5,17),0,
K74*
(
INT((MIN(Y74,DATE(2018,9,23))-MAX(D74,DATE(2015,5,17)))/365)
+
CEILING(MOD((MIN(Y74,DATE(2018,9,23))-MAX(D74,DATE(2015,5,17)))/365,1),0.25)
)
*
_xlfn.SWITCH(J74,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280</v>
      </c>
      <c r="AB74" s="1" cm="1">
        <f t="array" aca="1" ref="AB74" ca="1">IF(Y74&lt;DATE(2018,9,24),0,
IF(J74="زراعة",
K74*
(
INT((MIN(Y74,DATE(2023,4,30))-MAX(D74,DATE(2018,9,24)))/365)
+
CEILING(MOD((MIN(Y74,DATE(2023,4,30))-MAX(D74,DATE(2018,9,24)))/365,1),0.25)
)
*1,
K74*
(
DATEDIF(MAX(D74,DATE(2018,9,24)),MIN(Y74,DATE(2023,4,30)),"m")+1
)
*
_xlfn.SWITCH(J74,
"موقف/تندة",IF(D74&lt;DATE(2019,11,30),6,30),
"تشوينات",IF(D74&lt;DATE(2019,11,30),4,20),
"مشاتل",IF(D74&lt;DATE(2019,11,30),2,10),
"كافيتيريا",IF(D74&lt;DATE(2019,11,30),30,150),
"نوادي",IF(D74&lt;DATE(2019,11,30),6,30),
"رسو مراكب",IF(D74&lt;DATE(2019,11,30),2,10),
"مباني",IF(D74&lt;DATE(2018,9,24),2,10),
"عشش",IF(D74&lt;DATE(2019,11,30),2,10),
"كشك (تجاري/صناعي)",IF(D74&lt;DATE(2019,11,30),10,50),
"ردم",20,
0)))</f>
        <v>2240</v>
      </c>
      <c r="AC74" s="1" cm="1">
        <f t="array" aca="1" ref="AC74" ca="1">IF(Y74&lt;DATE(2023,5,1),0,
IF(J74="زراعة",
K74*
(
INT((Y74-MAX(DATE(2023,5,1),D74))/365)
+
CEILING(MOD((Y74-MAX(DATE(2023,5,1),D74))/365,1),0.25)
)
*3,
IF(J74="ردم",
K74*20,
K74*
(
DATEDIF(MAX(DATE(2023,5,1),D74),Y74,"m")+1
)
*
_xlfn.SWITCH(J74,
"موقف/تندة",6,
"تشوينات",4,
"مشاتل",2,
"رسو مراكب",6,
"مباني",3,
"عشش",1,
"كشك (تجاري/صناعي)",20,
"مواسير صرف صحي (&lt;1م)",16,
"مواسير صرف صحي (&gt;1م)",18,
0))))</f>
        <v>740</v>
      </c>
      <c r="AD74" s="1">
        <f t="shared" ca="1" si="9"/>
        <v>55</v>
      </c>
    </row>
    <row r="75" spans="1:30" ht="19.5" thickBot="1" x14ac:dyDescent="0.3">
      <c r="A75" s="30">
        <v>74</v>
      </c>
      <c r="B75" s="6">
        <v>154</v>
      </c>
      <c r="C75" s="6">
        <v>2014</v>
      </c>
      <c r="D75" s="7">
        <v>41966</v>
      </c>
      <c r="E75" s="12"/>
      <c r="F75" s="6"/>
      <c r="G75" s="6" t="s">
        <v>134</v>
      </c>
      <c r="H75" s="6"/>
      <c r="I75" s="6" t="s">
        <v>104</v>
      </c>
      <c r="J75" s="3" t="s">
        <v>145</v>
      </c>
      <c r="K75" s="6"/>
      <c r="L75" s="3" t="s">
        <v>89</v>
      </c>
      <c r="M75" s="7"/>
      <c r="N75" s="6"/>
      <c r="O75" s="9">
        <f>0.47*Table2[[#This Row],[قيمة المحضر]]</f>
        <v>0</v>
      </c>
      <c r="P75" s="9">
        <f>0.17*Table2[[#This Row],[قيمة المحضر]]</f>
        <v>0</v>
      </c>
      <c r="Q75" s="9">
        <f t="shared" ca="1" si="5"/>
        <v>0</v>
      </c>
      <c r="R75" s="3"/>
      <c r="S75" s="3"/>
      <c r="T75" s="9" t="str">
        <f t="shared" si="6"/>
        <v>-</v>
      </c>
      <c r="U75" s="3" t="s">
        <v>25</v>
      </c>
      <c r="V75" s="9" t="str">
        <f t="shared" si="7"/>
        <v>-</v>
      </c>
      <c r="W75" s="4"/>
      <c r="X75" s="38"/>
      <c r="Y75" s="1">
        <f t="shared" ca="1" si="8"/>
        <v>46162</v>
      </c>
      <c r="Z75" s="1" cm="1">
        <f t="array" aca="1" ref="Z75" ca="1">IF(D75&gt;DATE(2015,5,16),0,
K75*
(
INT((MIN(Y75,DATE(2015,5,16))-D75)/365)
+
CEILING(MOD((MIN(Y75,DATE(2015,5,16))-D75)/365,1),0.25)
)
*
_xlfn.SWITCH(J75,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5" s="1" cm="1">
        <f t="array" aca="1" ref="AA75" ca="1">IF(Y75&lt;DATE(2015,5,17),0,
K75*
(
INT((MIN(Y75,DATE(2018,9,23))-MAX(D75,DATE(2015,5,17)))/365)
+
CEILING(MOD((MIN(Y75,DATE(2018,9,23))-MAX(D75,DATE(2015,5,17)))/365,1),0.25)
)
*
_xlfn.SWITCH(J75,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5" s="1" cm="1">
        <f t="array" aca="1" ref="AB75" ca="1">IF(Y75&lt;DATE(2018,9,24),0,
IF(J75="زراعة",
K75*
(
INT((MIN(Y75,DATE(2023,4,30))-MAX(D75,DATE(2018,9,24)))/365)
+
CEILING(MOD((MIN(Y75,DATE(2023,4,30))-MAX(D75,DATE(2018,9,24)))/365,1),0.25)
)
*1,
K75*
(
DATEDIF(MAX(D75,DATE(2018,9,24)),MIN(Y75,DATE(2023,4,30)),"m")+1
)
*
_xlfn.SWITCH(J75,
"موقف/تندة",IF(D75&lt;DATE(2019,11,30),6,30),
"تشوينات",IF(D75&lt;DATE(2019,11,30),4,20),
"مشاتل",IF(D75&lt;DATE(2019,11,30),2,10),
"كافيتيريا",IF(D75&lt;DATE(2019,11,30),30,150),
"نوادي",IF(D75&lt;DATE(2019,11,30),6,30),
"رسو مراكب",IF(D75&lt;DATE(2019,11,30),2,10),
"مباني",IF(D75&lt;DATE(2018,9,24),2,10),
"عشش",IF(D75&lt;DATE(2019,11,30),2,10),
"كشك (تجاري/صناعي)",IF(D75&lt;DATE(2019,11,30),10,50),
"ردم",20,
0)))</f>
        <v>0</v>
      </c>
      <c r="AC75" s="1" cm="1">
        <f t="array" aca="1" ref="AC75" ca="1">IF(Y75&lt;DATE(2023,5,1),0,
IF(J75="زراعة",
K75*
(
INT((Y75-MAX(DATE(2023,5,1),D75))/365)
+
CEILING(MOD((Y75-MAX(DATE(2023,5,1),D75))/365,1),0.25)
)
*3,
IF(J75="ردم",
K75*20,
K75*
(
DATEDIF(MAX(DATE(2023,5,1),D75),Y75,"m")+1
)
*
_xlfn.SWITCH(J75,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5" s="1">
        <f t="shared" ca="1" si="9"/>
        <v>55</v>
      </c>
    </row>
    <row r="76" spans="1:30" ht="19.5" thickBot="1" x14ac:dyDescent="0.3">
      <c r="A76" s="30">
        <v>75</v>
      </c>
      <c r="B76" s="6">
        <v>155</v>
      </c>
      <c r="C76" s="6">
        <v>2014</v>
      </c>
      <c r="D76" s="7">
        <v>41995</v>
      </c>
      <c r="E76" s="12"/>
      <c r="F76" s="6"/>
      <c r="G76" s="6" t="s">
        <v>135</v>
      </c>
      <c r="H76" s="6"/>
      <c r="I76" s="6" t="s">
        <v>144</v>
      </c>
      <c r="J76" s="3" t="s">
        <v>106</v>
      </c>
      <c r="K76" s="6">
        <v>24</v>
      </c>
      <c r="L76" s="3" t="s">
        <v>90</v>
      </c>
      <c r="M76" s="7"/>
      <c r="N76" s="6"/>
      <c r="O76" s="9">
        <f>0.47*Table2[[#This Row],[قيمة المحضر]]</f>
        <v>0</v>
      </c>
      <c r="P76" s="9">
        <f>0.17*Table2[[#This Row],[قيمة المحضر]]</f>
        <v>0</v>
      </c>
      <c r="Q76" s="9">
        <f t="shared" ca="1" si="5"/>
        <v>0</v>
      </c>
      <c r="R76" s="3"/>
      <c r="S76" s="3"/>
      <c r="T76" s="9" t="str">
        <f t="shared" si="6"/>
        <v>-</v>
      </c>
      <c r="U76" s="3" t="s">
        <v>25</v>
      </c>
      <c r="V76" s="9" t="str">
        <f t="shared" si="7"/>
        <v>-</v>
      </c>
      <c r="W76" s="4"/>
      <c r="X76" s="38"/>
      <c r="Y76" s="1">
        <f t="shared" ca="1" si="8"/>
        <v>46162</v>
      </c>
      <c r="Z76" s="1" cm="1">
        <f t="array" aca="1" ref="Z76" ca="1">IF(D76&gt;DATE(2015,5,16),0,
K76*
(
INT((MIN(Y76,DATE(2015,5,16))-D76)/365)
+
CEILING(MOD((MIN(Y76,DATE(2015,5,16))-D76)/365,1),0.25)
)
*
_xlfn.SWITCH(J76,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6" s="1" cm="1">
        <f t="array" aca="1" ref="AA76" ca="1">IF(Y76&lt;DATE(2015,5,17),0,
K76*
(
INT((MIN(Y76,DATE(2018,9,23))-MAX(D76,DATE(2015,5,17)))/365)
+
CEILING(MOD((MIN(Y76,DATE(2018,9,23))-MAX(D76,DATE(2015,5,17)))/365,1),0.25)
)
*
_xlfn.SWITCH(J76,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6" s="1" cm="1">
        <f t="array" aca="1" ref="AB76" ca="1">IF(Y76&lt;DATE(2018,9,24),0,
IF(J76="زراعة",
K76*
(
INT((MIN(Y76,DATE(2023,4,30))-MAX(D76,DATE(2018,9,24)))/365)
+
CEILING(MOD((MIN(Y76,DATE(2023,4,30))-MAX(D76,DATE(2018,9,24)))/365,1),0.25)
)
*1,
K76*
(
DATEDIF(MAX(D76,DATE(2018,9,24)),MIN(Y76,DATE(2023,4,30)),"m")+1
)
*
_xlfn.SWITCH(J76,
"موقف/تندة",IF(D76&lt;DATE(2019,11,30),6,30),
"تشوينات",IF(D76&lt;DATE(2019,11,30),4,20),
"مشاتل",IF(D76&lt;DATE(2019,11,30),2,10),
"كافيتيريا",IF(D76&lt;DATE(2019,11,30),30,150),
"نوادي",IF(D76&lt;DATE(2019,11,30),6,30),
"رسو مراكب",IF(D76&lt;DATE(2019,11,30),2,10),
"مباني",IF(D76&lt;DATE(2018,9,24),2,10),
"عشش",IF(D76&lt;DATE(2019,11,30),2,10),
"كشك (تجاري/صناعي)",IF(D76&lt;DATE(2019,11,30),10,50),
"ردم",20,
0)))</f>
        <v>0</v>
      </c>
      <c r="AC76" s="1" cm="1">
        <f t="array" aca="1" ref="AC76" ca="1">IF(Y76&lt;DATE(2023,5,1),0,
IF(J76="زراعة",
K76*
(
INT((Y76-MAX(DATE(2023,5,1),D76))/365)
+
CEILING(MOD((Y76-MAX(DATE(2023,5,1),D76))/365,1),0.25)
)
*3,
IF(J76="ردم",
K76*20,
K76*
(
DATEDIF(MAX(DATE(2023,5,1),D76),Y76,"m")+1
)
*
_xlfn.SWITCH(J76,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6" s="1">
        <f t="shared" ca="1" si="9"/>
        <v>55</v>
      </c>
    </row>
    <row r="77" spans="1:30" ht="19.5" thickBot="1" x14ac:dyDescent="0.3">
      <c r="A77" s="30">
        <v>76</v>
      </c>
      <c r="B77" s="6">
        <v>156</v>
      </c>
      <c r="C77" s="6">
        <v>2014</v>
      </c>
      <c r="D77" s="7">
        <v>41995</v>
      </c>
      <c r="E77" s="12"/>
      <c r="F77" s="6"/>
      <c r="G77" s="6" t="s">
        <v>136</v>
      </c>
      <c r="H77" s="6"/>
      <c r="I77" s="6" t="s">
        <v>144</v>
      </c>
      <c r="J77" s="3" t="s">
        <v>28</v>
      </c>
      <c r="K77" s="6">
        <v>4</v>
      </c>
      <c r="L77" s="3" t="s">
        <v>90</v>
      </c>
      <c r="M77" s="7"/>
      <c r="N77" s="6"/>
      <c r="O77" s="9">
        <f>0.47*Table2[[#This Row],[قيمة المحضر]]</f>
        <v>0</v>
      </c>
      <c r="P77" s="9">
        <f>0.17*Table2[[#This Row],[قيمة المحضر]]</f>
        <v>0</v>
      </c>
      <c r="Q77" s="9">
        <f t="shared" ca="1" si="5"/>
        <v>654</v>
      </c>
      <c r="R77" s="3"/>
      <c r="S77" s="3"/>
      <c r="T77" s="9" t="str">
        <f t="shared" si="6"/>
        <v>-</v>
      </c>
      <c r="U77" s="3" t="s">
        <v>25</v>
      </c>
      <c r="V77" s="9" t="str">
        <f t="shared" si="7"/>
        <v>-</v>
      </c>
      <c r="W77" s="4"/>
      <c r="X77" s="38"/>
      <c r="Y77" s="1">
        <f t="shared" ca="1" si="8"/>
        <v>46162</v>
      </c>
      <c r="Z77" s="1" cm="1">
        <f t="array" aca="1" ref="Z77" ca="1">IF(D77&gt;DATE(2015,5,16),0,
K77*
(
INT((MIN(Y77,DATE(2015,5,16))-D77)/365)
+
CEILING(MOD((MIN(Y77,DATE(2015,5,16))-D77)/365,1),0.25)
)
*
_xlfn.SWITCH(J77,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</v>
      </c>
      <c r="AA77" s="1" cm="1">
        <f t="array" aca="1" ref="AA77" ca="1">IF(Y77&lt;DATE(2015,5,17),0,
K77*
(
INT((MIN(Y77,DATE(2018,9,23))-MAX(D77,DATE(2015,5,17)))/365)
+
CEILING(MOD((MIN(Y77,DATE(2018,9,23))-MAX(D77,DATE(2015,5,17)))/365,1),0.25)
)
*
_xlfn.SWITCH(J77,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56</v>
      </c>
      <c r="AB77" s="1" cm="1">
        <f t="array" aca="1" ref="AB77" ca="1">IF(Y77&lt;DATE(2018,9,24),0,
IF(J77="زراعة",
K77*
(
INT((MIN(Y77,DATE(2023,4,30))-MAX(D77,DATE(2018,9,24)))/365)
+
CEILING(MOD((MIN(Y77,DATE(2023,4,30))-MAX(D77,DATE(2018,9,24)))/365,1),0.25)
)
*1,
K77*
(
DATEDIF(MAX(D77,DATE(2018,9,24)),MIN(Y77,DATE(2023,4,30)),"m")+1
)
*
_xlfn.SWITCH(J77,
"موقف/تندة",IF(D77&lt;DATE(2019,11,30),6,30),
"تشوينات",IF(D77&lt;DATE(2019,11,30),4,20),
"مشاتل",IF(D77&lt;DATE(2019,11,30),2,10),
"كافيتيريا",IF(D77&lt;DATE(2019,11,30),30,150),
"نوادي",IF(D77&lt;DATE(2019,11,30),6,30),
"رسو مراكب",IF(D77&lt;DATE(2019,11,30),2,10),
"مباني",IF(D77&lt;DATE(2018,9,24),2,10),
"عشش",IF(D77&lt;DATE(2019,11,30),2,10),
"كشك (تجاري/صناعي)",IF(D77&lt;DATE(2019,11,30),10,50),
"ردم",20,
0)))</f>
        <v>448</v>
      </c>
      <c r="AC77" s="1" cm="1">
        <f t="array" aca="1" ref="AC77" ca="1">IF(Y77&lt;DATE(2023,5,1),0,
IF(J77="زراعة",
K77*
(
INT((Y77-MAX(DATE(2023,5,1),D77))/365)
+
CEILING(MOD((Y77-MAX(DATE(2023,5,1),D77))/365,1),0.25)
)
*3,
IF(J77="ردم",
K77*20,
K77*
(
DATEDIF(MAX(DATE(2023,5,1),D77),Y77,"m")+1
)
*
_xlfn.SWITCH(J77,
"موقف/تندة",6,
"تشوينات",4,
"مشاتل",2,
"رسو مراكب",6,
"مباني",3,
"عشش",1,
"كشك (تجاري/صناعي)",20,
"مواسير صرف صحي (&lt;1م)",16,
"مواسير صرف صحي (&gt;1م)",18,
0))))</f>
        <v>148</v>
      </c>
      <c r="AD77" s="1">
        <f t="shared" ca="1" si="9"/>
        <v>55</v>
      </c>
    </row>
    <row r="78" spans="1:30" ht="19.5" thickBot="1" x14ac:dyDescent="0.3">
      <c r="A78" s="30">
        <v>77</v>
      </c>
      <c r="B78" s="6">
        <v>157</v>
      </c>
      <c r="C78" s="6">
        <v>2014</v>
      </c>
      <c r="D78" s="7">
        <v>41995</v>
      </c>
      <c r="E78" s="12"/>
      <c r="F78" s="6"/>
      <c r="G78" s="6" t="s">
        <v>137</v>
      </c>
      <c r="H78" s="6"/>
      <c r="I78" s="6" t="s">
        <v>144</v>
      </c>
      <c r="J78" s="3" t="s">
        <v>27</v>
      </c>
      <c r="K78" s="6">
        <v>48</v>
      </c>
      <c r="L78" s="3" t="s">
        <v>90</v>
      </c>
      <c r="M78" s="7"/>
      <c r="N78" s="6"/>
      <c r="O78" s="9">
        <f>0.47*Table2[[#This Row],[قيمة المحضر]]</f>
        <v>0</v>
      </c>
      <c r="P78" s="9">
        <f>0.17*Table2[[#This Row],[قيمة المحضر]]</f>
        <v>0</v>
      </c>
      <c r="Q78" s="9">
        <f t="shared" ca="1" si="5"/>
        <v>12144</v>
      </c>
      <c r="R78" s="3"/>
      <c r="S78" s="3"/>
      <c r="T78" s="9" t="str">
        <f t="shared" si="6"/>
        <v>-</v>
      </c>
      <c r="U78" s="3" t="s">
        <v>25</v>
      </c>
      <c r="V78" s="9" t="str">
        <f t="shared" si="7"/>
        <v>-</v>
      </c>
      <c r="W78" s="4"/>
      <c r="X78" s="38"/>
      <c r="Y78" s="1">
        <f t="shared" ca="1" si="8"/>
        <v>46162</v>
      </c>
      <c r="Z78" s="1" cm="1">
        <f t="array" aca="1" ref="Z78" ca="1">IF(D78&gt;DATE(2015,5,16),0,
K78*
(
INT((MIN(Y78,DATE(2015,5,16))-D78)/365)
+
CEILING(MOD((MIN(Y78,DATE(2015,5,16))-D78)/365,1),0.25)
)
*
_xlfn.SWITCH(J78,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96</v>
      </c>
      <c r="AA78" s="1" cm="1">
        <f t="array" aca="1" ref="AA78" ca="1">IF(Y78&lt;DATE(2015,5,17),0,
K78*
(
INT((MIN(Y78,DATE(2018,9,23))-MAX(D78,DATE(2015,5,17)))/365)
+
CEILING(MOD((MIN(Y78,DATE(2018,9,23))-MAX(D78,DATE(2015,5,17)))/365,1),0.25)
)
*
_xlfn.SWITCH(J78,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1344</v>
      </c>
      <c r="AB78" s="1" cm="1">
        <f t="array" aca="1" ref="AB78" ca="1">IF(Y78&lt;DATE(2018,9,24),0,
IF(J78="زراعة",
K78*
(
INT((MIN(Y78,DATE(2023,4,30))-MAX(D78,DATE(2018,9,24)))/365)
+
CEILING(MOD((MIN(Y78,DATE(2023,4,30))-MAX(D78,DATE(2018,9,24)))/365,1),0.25)
)
*1,
K78*
(
DATEDIF(MAX(D78,DATE(2018,9,24)),MIN(Y78,DATE(2023,4,30)),"m")+1
)
*
_xlfn.SWITCH(J78,
"موقف/تندة",IF(D78&lt;DATE(2019,11,30),6,30),
"تشوينات",IF(D78&lt;DATE(2019,11,30),4,20),
"مشاتل",IF(D78&lt;DATE(2019,11,30),2,10),
"كافيتيريا",IF(D78&lt;DATE(2019,11,30),30,150),
"نوادي",IF(D78&lt;DATE(2019,11,30),6,30),
"رسو مراكب",IF(D78&lt;DATE(2019,11,30),2,10),
"مباني",IF(D78&lt;DATE(2018,9,24),2,10),
"عشش",IF(D78&lt;DATE(2019,11,30),2,10),
"كشك (تجاري/صناعي)",IF(D78&lt;DATE(2019,11,30),10,50),
"ردم",20,
0)))</f>
        <v>5376</v>
      </c>
      <c r="AC78" s="1" cm="1">
        <f t="array" aca="1" ref="AC78" ca="1">IF(Y78&lt;DATE(2023,5,1),0,
IF(J78="زراعة",
K78*
(
INT((Y78-MAX(DATE(2023,5,1),D78))/365)
+
CEILING(MOD((Y78-MAX(DATE(2023,5,1),D78))/365,1),0.25)
)
*3,
IF(J78="ردم",
K78*20,
K78*
(
DATEDIF(MAX(DATE(2023,5,1),D78),Y78,"m")+1
)
*
_xlfn.SWITCH(J78,
"موقف/تندة",6,
"تشوينات",4,
"مشاتل",2,
"رسو مراكب",6,
"مباني",3,
"عشش",1,
"كشك (تجاري/صناعي)",20,
"مواسير صرف صحي (&lt;1م)",16,
"مواسير صرف صحي (&gt;1م)",18,
0))))</f>
        <v>5328</v>
      </c>
      <c r="AD78" s="1">
        <f t="shared" ca="1" si="9"/>
        <v>55</v>
      </c>
    </row>
    <row r="79" spans="1:30" ht="19.5" thickBot="1" x14ac:dyDescent="0.3">
      <c r="A79" s="30">
        <v>78</v>
      </c>
      <c r="B79" s="6">
        <v>158</v>
      </c>
      <c r="C79" s="6">
        <v>2014</v>
      </c>
      <c r="D79" s="7">
        <v>41995</v>
      </c>
      <c r="E79" s="12"/>
      <c r="F79" s="6"/>
      <c r="G79" s="6" t="s">
        <v>138</v>
      </c>
      <c r="H79" s="6"/>
      <c r="I79" s="6" t="s">
        <v>144</v>
      </c>
      <c r="J79" s="3" t="s">
        <v>27</v>
      </c>
      <c r="K79" s="6">
        <v>24</v>
      </c>
      <c r="L79" s="3" t="s">
        <v>90</v>
      </c>
      <c r="M79" s="7"/>
      <c r="N79" s="6"/>
      <c r="O79" s="9">
        <f>0.47*Table2[[#This Row],[قيمة المحضر]]</f>
        <v>0</v>
      </c>
      <c r="P79" s="9">
        <f>0.17*Table2[[#This Row],[قيمة المحضر]]</f>
        <v>0</v>
      </c>
      <c r="Q79" s="9">
        <f t="shared" ca="1" si="5"/>
        <v>6072</v>
      </c>
      <c r="R79" s="3"/>
      <c r="S79" s="3"/>
      <c r="T79" s="9" t="str">
        <f t="shared" si="6"/>
        <v>-</v>
      </c>
      <c r="U79" s="3" t="s">
        <v>25</v>
      </c>
      <c r="V79" s="9" t="str">
        <f t="shared" si="7"/>
        <v>-</v>
      </c>
      <c r="W79" s="4"/>
      <c r="X79" s="38"/>
      <c r="Y79" s="1">
        <f t="shared" ca="1" si="8"/>
        <v>46162</v>
      </c>
      <c r="Z79" s="1" cm="1">
        <f t="array" aca="1" ref="Z79" ca="1">IF(D79&gt;DATE(2015,5,16),0,
K79*
(
INT((MIN(Y79,DATE(2015,5,16))-D79)/365)
+
CEILING(MOD((MIN(Y79,DATE(2015,5,16))-D79)/365,1),0.25)
)
*
_xlfn.SWITCH(J79,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48</v>
      </c>
      <c r="AA79" s="1" cm="1">
        <f t="array" aca="1" ref="AA79" ca="1">IF(Y79&lt;DATE(2015,5,17),0,
K79*
(
INT((MIN(Y79,DATE(2018,9,23))-MAX(D79,DATE(2015,5,17)))/365)
+
CEILING(MOD((MIN(Y79,DATE(2018,9,23))-MAX(D79,DATE(2015,5,17)))/365,1),0.25)
)
*
_xlfn.SWITCH(J79,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672</v>
      </c>
      <c r="AB79" s="1" cm="1">
        <f t="array" aca="1" ref="AB79" ca="1">IF(Y79&lt;DATE(2018,9,24),0,
IF(J79="زراعة",
K79*
(
INT((MIN(Y79,DATE(2023,4,30))-MAX(D79,DATE(2018,9,24)))/365)
+
CEILING(MOD((MIN(Y79,DATE(2023,4,30))-MAX(D79,DATE(2018,9,24)))/365,1),0.25)
)
*1,
K79*
(
DATEDIF(MAX(D79,DATE(2018,9,24)),MIN(Y79,DATE(2023,4,30)),"m")+1
)
*
_xlfn.SWITCH(J79,
"موقف/تندة",IF(D79&lt;DATE(2019,11,30),6,30),
"تشوينات",IF(D79&lt;DATE(2019,11,30),4,20),
"مشاتل",IF(D79&lt;DATE(2019,11,30),2,10),
"كافيتيريا",IF(D79&lt;DATE(2019,11,30),30,150),
"نوادي",IF(D79&lt;DATE(2019,11,30),6,30),
"رسو مراكب",IF(D79&lt;DATE(2019,11,30),2,10),
"مباني",IF(D79&lt;DATE(2018,9,24),2,10),
"عشش",IF(D79&lt;DATE(2019,11,30),2,10),
"كشك (تجاري/صناعي)",IF(D79&lt;DATE(2019,11,30),10,50),
"ردم",20,
0)))</f>
        <v>2688</v>
      </c>
      <c r="AC79" s="1" cm="1">
        <f t="array" aca="1" ref="AC79" ca="1">IF(Y79&lt;DATE(2023,5,1),0,
IF(J79="زراعة",
K79*
(
INT((Y79-MAX(DATE(2023,5,1),D79))/365)
+
CEILING(MOD((Y79-MAX(DATE(2023,5,1),D79))/365,1),0.25)
)
*3,
IF(J79="ردم",
K79*20,
K79*
(
DATEDIF(MAX(DATE(2023,5,1),D79),Y79,"m")+1
)
*
_xlfn.SWITCH(J79,
"موقف/تندة",6,
"تشوينات",4,
"مشاتل",2,
"رسو مراكب",6,
"مباني",3,
"عشش",1,
"كشك (تجاري/صناعي)",20,
"مواسير صرف صحي (&lt;1م)",16,
"مواسير صرف صحي (&gt;1م)",18,
0))))</f>
        <v>2664</v>
      </c>
      <c r="AD79" s="1">
        <f t="shared" ca="1" si="9"/>
        <v>55</v>
      </c>
    </row>
    <row r="80" spans="1:30" ht="19.5" thickBot="1" x14ac:dyDescent="0.3">
      <c r="A80" s="30">
        <v>79</v>
      </c>
      <c r="B80" s="6">
        <v>159</v>
      </c>
      <c r="C80" s="6">
        <v>2014</v>
      </c>
      <c r="D80" s="7">
        <v>41995</v>
      </c>
      <c r="E80" s="12"/>
      <c r="F80" s="6"/>
      <c r="G80" s="6" t="s">
        <v>139</v>
      </c>
      <c r="H80" s="6"/>
      <c r="I80" s="6" t="s">
        <v>144</v>
      </c>
      <c r="J80" s="3" t="s">
        <v>27</v>
      </c>
      <c r="K80" s="6">
        <f>6*8</f>
        <v>48</v>
      </c>
      <c r="L80" s="3" t="s">
        <v>90</v>
      </c>
      <c r="M80" s="7"/>
      <c r="N80" s="6"/>
      <c r="O80" s="9">
        <f>0.47*Table2[[#This Row],[قيمة المحضر]]</f>
        <v>0</v>
      </c>
      <c r="P80" s="9">
        <f>0.17*Table2[[#This Row],[قيمة المحضر]]</f>
        <v>0</v>
      </c>
      <c r="Q80" s="9">
        <f t="shared" ca="1" si="5"/>
        <v>12144</v>
      </c>
      <c r="R80" s="3"/>
      <c r="S80" s="3"/>
      <c r="T80" s="9" t="str">
        <f t="shared" si="6"/>
        <v>-</v>
      </c>
      <c r="U80" s="3" t="s">
        <v>25</v>
      </c>
      <c r="V80" s="9" t="str">
        <f t="shared" si="7"/>
        <v>-</v>
      </c>
      <c r="W80" s="4"/>
      <c r="X80" s="38"/>
      <c r="Y80" s="1">
        <f t="shared" ca="1" si="8"/>
        <v>46162</v>
      </c>
      <c r="Z80" s="1" cm="1">
        <f t="array" aca="1" ref="Z80" ca="1">IF(D80&gt;DATE(2015,5,16),0,
K80*
(
INT((MIN(Y80,DATE(2015,5,16))-D80)/365)
+
CEILING(MOD((MIN(Y80,DATE(2015,5,16))-D80)/365,1),0.25)
)
*
_xlfn.SWITCH(J80,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96</v>
      </c>
      <c r="AA80" s="1" cm="1">
        <f t="array" aca="1" ref="AA80" ca="1">IF(Y80&lt;DATE(2015,5,17),0,
K80*
(
INT((MIN(Y80,DATE(2018,9,23))-MAX(D80,DATE(2015,5,17)))/365)
+
CEILING(MOD((MIN(Y80,DATE(2018,9,23))-MAX(D80,DATE(2015,5,17)))/365,1),0.25)
)
*
_xlfn.SWITCH(J80,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1344</v>
      </c>
      <c r="AB80" s="1" cm="1">
        <f t="array" aca="1" ref="AB80" ca="1">IF(Y80&lt;DATE(2018,9,24),0,
IF(J80="زراعة",
K80*
(
INT((MIN(Y80,DATE(2023,4,30))-MAX(D80,DATE(2018,9,24)))/365)
+
CEILING(MOD((MIN(Y80,DATE(2023,4,30))-MAX(D80,DATE(2018,9,24)))/365,1),0.25)
)
*1,
K80*
(
DATEDIF(MAX(D80,DATE(2018,9,24)),MIN(Y80,DATE(2023,4,30)),"m")+1
)
*
_xlfn.SWITCH(J80,
"موقف/تندة",IF(D80&lt;DATE(2019,11,30),6,30),
"تشوينات",IF(D80&lt;DATE(2019,11,30),4,20),
"مشاتل",IF(D80&lt;DATE(2019,11,30),2,10),
"كافيتيريا",IF(D80&lt;DATE(2019,11,30),30,150),
"نوادي",IF(D80&lt;DATE(2019,11,30),6,30),
"رسو مراكب",IF(D80&lt;DATE(2019,11,30),2,10),
"مباني",IF(D80&lt;DATE(2018,9,24),2,10),
"عشش",IF(D80&lt;DATE(2019,11,30),2,10),
"كشك (تجاري/صناعي)",IF(D80&lt;DATE(2019,11,30),10,50),
"ردم",20,
0)))</f>
        <v>5376</v>
      </c>
      <c r="AC80" s="1" cm="1">
        <f t="array" aca="1" ref="AC80" ca="1">IF(Y80&lt;DATE(2023,5,1),0,
IF(J80="زراعة",
K80*
(
INT((Y80-MAX(DATE(2023,5,1),D80))/365)
+
CEILING(MOD((Y80-MAX(DATE(2023,5,1),D80))/365,1),0.25)
)
*3,
IF(J80="ردم",
K80*20,
K80*
(
DATEDIF(MAX(DATE(2023,5,1),D80),Y80,"m")+1
)
*
_xlfn.SWITCH(J80,
"موقف/تندة",6,
"تشوينات",4,
"مشاتل",2,
"رسو مراكب",6,
"مباني",3,
"عشش",1,
"كشك (تجاري/صناعي)",20,
"مواسير صرف صحي (&lt;1م)",16,
"مواسير صرف صحي (&gt;1م)",18,
0))))</f>
        <v>5328</v>
      </c>
      <c r="AD80" s="1">
        <f t="shared" ca="1" si="9"/>
        <v>55</v>
      </c>
    </row>
    <row r="81" spans="1:30" ht="19.5" thickBot="1" x14ac:dyDescent="0.3">
      <c r="A81" s="30">
        <v>80</v>
      </c>
      <c r="B81" s="6">
        <v>160</v>
      </c>
      <c r="C81" s="6">
        <v>2014</v>
      </c>
      <c r="D81" s="7">
        <v>41995</v>
      </c>
      <c r="E81" s="12"/>
      <c r="F81" s="6"/>
      <c r="G81" s="6" t="s">
        <v>140</v>
      </c>
      <c r="H81" s="6"/>
      <c r="I81" s="6" t="s">
        <v>144</v>
      </c>
      <c r="J81" s="3" t="s">
        <v>27</v>
      </c>
      <c r="K81" s="6">
        <v>50</v>
      </c>
      <c r="L81" s="3" t="s">
        <v>90</v>
      </c>
      <c r="M81" s="7"/>
      <c r="N81" s="6"/>
      <c r="O81" s="9">
        <f>0.47*Table2[[#This Row],[قيمة المحضر]]</f>
        <v>0</v>
      </c>
      <c r="P81" s="9">
        <f>0.17*Table2[[#This Row],[قيمة المحضر]]</f>
        <v>0</v>
      </c>
      <c r="Q81" s="9">
        <f t="shared" ca="1" si="5"/>
        <v>12650</v>
      </c>
      <c r="R81" s="3"/>
      <c r="S81" s="3"/>
      <c r="T81" s="9" t="str">
        <f t="shared" si="6"/>
        <v>-</v>
      </c>
      <c r="U81" s="3" t="s">
        <v>25</v>
      </c>
      <c r="V81" s="9" t="str">
        <f t="shared" si="7"/>
        <v>-</v>
      </c>
      <c r="W81" s="4"/>
      <c r="X81" s="38"/>
      <c r="Y81" s="1">
        <f t="shared" ca="1" si="8"/>
        <v>46162</v>
      </c>
      <c r="Z81" s="1" cm="1">
        <f t="array" aca="1" ref="Z81" ca="1">IF(D81&gt;DATE(2015,5,16),0,
K81*
(
INT((MIN(Y81,DATE(2015,5,16))-D81)/365)
+
CEILING(MOD((MIN(Y81,DATE(2015,5,16))-D81)/365,1),0.25)
)
*
_xlfn.SWITCH(J81,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100</v>
      </c>
      <c r="AA81" s="1" cm="1">
        <f t="array" aca="1" ref="AA81" ca="1">IF(Y81&lt;DATE(2015,5,17),0,
K81*
(
INT((MIN(Y81,DATE(2018,9,23))-MAX(D81,DATE(2015,5,17)))/365)
+
CEILING(MOD((MIN(Y81,DATE(2018,9,23))-MAX(D81,DATE(2015,5,17)))/365,1),0.25)
)
*
_xlfn.SWITCH(J81,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1400</v>
      </c>
      <c r="AB81" s="1" cm="1">
        <f t="array" aca="1" ref="AB81" ca="1">IF(Y81&lt;DATE(2018,9,24),0,
IF(J81="زراعة",
K81*
(
INT((MIN(Y81,DATE(2023,4,30))-MAX(D81,DATE(2018,9,24)))/365)
+
CEILING(MOD((MIN(Y81,DATE(2023,4,30))-MAX(D81,DATE(2018,9,24)))/365,1),0.25)
)
*1,
K81*
(
DATEDIF(MAX(D81,DATE(2018,9,24)),MIN(Y81,DATE(2023,4,30)),"m")+1
)
*
_xlfn.SWITCH(J81,
"موقف/تندة",IF(D81&lt;DATE(2019,11,30),6,30),
"تشوينات",IF(D81&lt;DATE(2019,11,30),4,20),
"مشاتل",IF(D81&lt;DATE(2019,11,30),2,10),
"كافيتيريا",IF(D81&lt;DATE(2019,11,30),30,150),
"نوادي",IF(D81&lt;DATE(2019,11,30),6,30),
"رسو مراكب",IF(D81&lt;DATE(2019,11,30),2,10),
"مباني",IF(D81&lt;DATE(2018,9,24),2,10),
"عشش",IF(D81&lt;DATE(2019,11,30),2,10),
"كشك (تجاري/صناعي)",IF(D81&lt;DATE(2019,11,30),10,50),
"ردم",20,
0)))</f>
        <v>5600</v>
      </c>
      <c r="AC81" s="1" cm="1">
        <f t="array" aca="1" ref="AC81" ca="1">IF(Y81&lt;DATE(2023,5,1),0,
IF(J81="زراعة",
K81*
(
INT((Y81-MAX(DATE(2023,5,1),D81))/365)
+
CEILING(MOD((Y81-MAX(DATE(2023,5,1),D81))/365,1),0.25)
)
*3,
IF(J81="ردم",
K81*20,
K81*
(
DATEDIF(MAX(DATE(2023,5,1),D81),Y81,"m")+1
)
*
_xlfn.SWITCH(J81,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81" s="1">
        <f t="shared" ca="1" si="9"/>
        <v>55</v>
      </c>
    </row>
    <row r="82" spans="1:30" ht="19.5" thickBot="1" x14ac:dyDescent="0.3">
      <c r="A82" s="30">
        <v>81</v>
      </c>
      <c r="B82" s="6">
        <v>161</v>
      </c>
      <c r="C82" s="6">
        <v>2014</v>
      </c>
      <c r="D82" s="7">
        <v>41995</v>
      </c>
      <c r="E82" s="12"/>
      <c r="F82" s="6"/>
      <c r="G82" s="6" t="s">
        <v>141</v>
      </c>
      <c r="H82" s="6"/>
      <c r="I82" s="6" t="s">
        <v>144</v>
      </c>
      <c r="J82" s="3" t="s">
        <v>27</v>
      </c>
      <c r="K82" s="6">
        <v>10</v>
      </c>
      <c r="L82" s="3" t="s">
        <v>90</v>
      </c>
      <c r="M82" s="7"/>
      <c r="N82" s="6"/>
      <c r="O82" s="9">
        <f>0.47*Table2[[#This Row],[قيمة المحضر]]</f>
        <v>0</v>
      </c>
      <c r="P82" s="9">
        <f>0.17*Table2[[#This Row],[قيمة المحضر]]</f>
        <v>0</v>
      </c>
      <c r="Q82" s="9">
        <f t="shared" ca="1" si="5"/>
        <v>2530</v>
      </c>
      <c r="R82" s="3"/>
      <c r="S82" s="3"/>
      <c r="T82" s="9" t="str">
        <f t="shared" si="6"/>
        <v>-</v>
      </c>
      <c r="U82" s="3" t="s">
        <v>25</v>
      </c>
      <c r="V82" s="9" t="str">
        <f t="shared" si="7"/>
        <v>-</v>
      </c>
      <c r="W82" s="4"/>
      <c r="X82" s="38"/>
      <c r="Y82" s="1">
        <f t="shared" ca="1" si="8"/>
        <v>46162</v>
      </c>
      <c r="Z82" s="1" cm="1">
        <f t="array" aca="1" ref="Z82" ca="1">IF(D82&gt;DATE(2015,5,16),0,
K82*
(
INT((MIN(Y82,DATE(2015,5,16))-D82)/365)
+
CEILING(MOD((MIN(Y82,DATE(2015,5,16))-D82)/365,1),0.25)
)
*
_xlfn.SWITCH(J82,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20</v>
      </c>
      <c r="AA82" s="1" cm="1">
        <f t="array" aca="1" ref="AA82" ca="1">IF(Y82&lt;DATE(2015,5,17),0,
K82*
(
INT((MIN(Y82,DATE(2018,9,23))-MAX(D82,DATE(2015,5,17)))/365)
+
CEILING(MOD((MIN(Y82,DATE(2018,9,23))-MAX(D82,DATE(2015,5,17)))/365,1),0.25)
)
*
_xlfn.SWITCH(J82,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280</v>
      </c>
      <c r="AB82" s="1" cm="1">
        <f t="array" aca="1" ref="AB82" ca="1">IF(Y82&lt;DATE(2018,9,24),0,
IF(J82="زراعة",
K82*
(
INT((MIN(Y82,DATE(2023,4,30))-MAX(D82,DATE(2018,9,24)))/365)
+
CEILING(MOD((MIN(Y82,DATE(2023,4,30))-MAX(D82,DATE(2018,9,24)))/365,1),0.25)
)
*1,
K82*
(
DATEDIF(MAX(D82,DATE(2018,9,24)),MIN(Y82,DATE(2023,4,30)),"m")+1
)
*
_xlfn.SWITCH(J82,
"موقف/تندة",IF(D82&lt;DATE(2019,11,30),6,30),
"تشوينات",IF(D82&lt;DATE(2019,11,30),4,20),
"مشاتل",IF(D82&lt;DATE(2019,11,30),2,10),
"كافيتيريا",IF(D82&lt;DATE(2019,11,30),30,150),
"نوادي",IF(D82&lt;DATE(2019,11,30),6,30),
"رسو مراكب",IF(D82&lt;DATE(2019,11,30),2,10),
"مباني",IF(D82&lt;DATE(2018,9,24),2,10),
"عشش",IF(D82&lt;DATE(2019,11,30),2,10),
"كشك (تجاري/صناعي)",IF(D82&lt;DATE(2019,11,30),10,50),
"ردم",20,
0)))</f>
        <v>1120</v>
      </c>
      <c r="AC82" s="1" cm="1">
        <f t="array" aca="1" ref="AC82" ca="1">IF(Y82&lt;DATE(2023,5,1),0,
IF(J82="زراعة",
K82*
(
INT((Y82-MAX(DATE(2023,5,1),D82))/365)
+
CEILING(MOD((Y82-MAX(DATE(2023,5,1),D82))/365,1),0.25)
)
*3,
IF(J82="ردم",
K82*20,
K82*
(
DATEDIF(MAX(DATE(2023,5,1),D82),Y82,"m")+1
)
*
_xlfn.SWITCH(J82,
"موقف/تندة",6,
"تشوينات",4,
"مشاتل",2,
"رسو مراكب",6,
"مباني",3,
"عشش",1,
"كشك (تجاري/صناعي)",20,
"مواسير صرف صحي (&lt;1م)",16,
"مواسير صرف صحي (&gt;1م)",18,
0))))</f>
        <v>1110</v>
      </c>
      <c r="AD82" s="1">
        <f t="shared" ca="1" si="9"/>
        <v>55</v>
      </c>
    </row>
    <row r="83" spans="1:30" ht="19.5" thickBot="1" x14ac:dyDescent="0.3">
      <c r="A83" s="30">
        <v>82</v>
      </c>
      <c r="B83" s="6">
        <v>157</v>
      </c>
      <c r="C83" s="6">
        <v>2014</v>
      </c>
      <c r="D83" s="7">
        <v>41995</v>
      </c>
      <c r="E83" s="12"/>
      <c r="F83" s="6"/>
      <c r="G83" s="6" t="s">
        <v>137</v>
      </c>
      <c r="H83" s="6"/>
      <c r="I83" s="6" t="s">
        <v>144</v>
      </c>
      <c r="J83" s="3" t="s">
        <v>77</v>
      </c>
      <c r="K83" s="6">
        <v>48</v>
      </c>
      <c r="L83" s="3" t="s">
        <v>90</v>
      </c>
      <c r="M83" s="7"/>
      <c r="N83" s="6"/>
      <c r="O83" s="9">
        <f>0.47*Table2[[#This Row],[قيمة المحضر]]</f>
        <v>0</v>
      </c>
      <c r="P83" s="9">
        <f>0.17*Table2[[#This Row],[قيمة المحضر]]</f>
        <v>0</v>
      </c>
      <c r="Q83" s="9">
        <f t="shared" ca="1" si="5"/>
        <v>58560</v>
      </c>
      <c r="R83" s="3"/>
      <c r="S83" s="3"/>
      <c r="T83" s="9" t="str">
        <f t="shared" si="6"/>
        <v>-</v>
      </c>
      <c r="U83" s="3" t="s">
        <v>25</v>
      </c>
      <c r="V83" s="9" t="str">
        <f t="shared" si="7"/>
        <v>-</v>
      </c>
      <c r="W83" s="4"/>
      <c r="X83" s="38"/>
      <c r="Y83" s="1">
        <f t="shared" ca="1" si="8"/>
        <v>46162</v>
      </c>
      <c r="Z83" s="1" cm="1">
        <f t="array" aca="1" ref="Z83" ca="1">IF(D83&gt;DATE(2015,5,16),0,
K83*
(
INT((MIN(Y83,DATE(2015,5,16))-D83)/365)
+
CEILING(MOD((MIN(Y83,DATE(2015,5,16))-D83)/365,1),0.25)
)
*
_xlfn.SWITCH(J83,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480</v>
      </c>
      <c r="AA83" s="1" cm="1">
        <f t="array" aca="1" ref="AA83" ca="1">IF(Y83&lt;DATE(2015,5,17),0,
K83*
(
INT((MIN(Y83,DATE(2018,9,23))-MAX(D83,DATE(2015,5,17)))/365)
+
CEILING(MOD((MIN(Y83,DATE(2018,9,23))-MAX(D83,DATE(2015,5,17)))/365,1),0.25)
)
*
_xlfn.SWITCH(J83,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3360</v>
      </c>
      <c r="AB83" s="1" cm="1">
        <f t="array" aca="1" ref="AB83" ca="1">IF(Y83&lt;DATE(2018,9,24),0,
IF(J83="زراعة",
K83*
(
INT((MIN(Y83,DATE(2023,4,30))-MAX(D83,DATE(2018,9,24)))/365)
+
CEILING(MOD((MIN(Y83,DATE(2023,4,30))-MAX(D83,DATE(2018,9,24)))/365,1),0.25)
)
*1,
K83*
(
DATEDIF(MAX(D83,DATE(2018,9,24)),MIN(Y83,DATE(2023,4,30)),"m")+1
)
*
_xlfn.SWITCH(J83,
"موقف/تندة",IF(D83&lt;DATE(2019,11,30),6,30),
"تشوينات",IF(D83&lt;DATE(2019,11,30),4,20),
"مشاتل",IF(D83&lt;DATE(2019,11,30),2,10),
"كافيتيريا",IF(D83&lt;DATE(2019,11,30),30,150),
"نوادي",IF(D83&lt;DATE(2019,11,30),6,30),
"رسو مراكب",IF(D83&lt;DATE(2019,11,30),2,10),
"مباني",IF(D83&lt;DATE(2018,9,24),2,10),
"عشش",IF(D83&lt;DATE(2019,11,30),2,10),
"كشك (تجاري/صناعي)",IF(D83&lt;DATE(2019,11,30),10,50),
"ردم",20,
0)))</f>
        <v>53760</v>
      </c>
      <c r="AC83" s="1" cm="1">
        <f t="array" aca="1" ref="AC83" ca="1">IF(Y83&lt;DATE(2023,5,1),0,
IF(J83="زراعة",
K83*
(
INT((Y83-MAX(DATE(2023,5,1),D83))/365)
+
CEILING(MOD((Y83-MAX(DATE(2023,5,1),D83))/365,1),0.25)
)
*3,
IF(J83="ردم",
K83*20,
K83*
(
DATEDIF(MAX(DATE(2023,5,1),D83),Y83,"m")+1
)
*
_xlfn.SWITCH(J83,
"موقف/تندة",6,
"تشوينات",4,
"مشاتل",2,
"رسو مراكب",6,
"مباني",3,
"عشش",1,
"كشك (تجاري/صناعي)",20,
"مواسير صرف صحي (&lt;1م)",16,
"مواسير صرف صحي (&gt;1م)",18,
0))))</f>
        <v>960</v>
      </c>
      <c r="AD83" s="1">
        <f t="shared" ca="1" si="9"/>
        <v>55</v>
      </c>
    </row>
    <row r="84" spans="1:30" s="80" customFormat="1" ht="19.5" thickBot="1" x14ac:dyDescent="0.3">
      <c r="A84" s="30">
        <v>83</v>
      </c>
      <c r="B84" s="6">
        <v>158</v>
      </c>
      <c r="C84" s="6">
        <v>2014</v>
      </c>
      <c r="D84" s="7">
        <v>41995</v>
      </c>
      <c r="E84" s="12"/>
      <c r="F84" s="6"/>
      <c r="G84" s="6" t="s">
        <v>138</v>
      </c>
      <c r="H84" s="6"/>
      <c r="I84" s="6" t="s">
        <v>144</v>
      </c>
      <c r="J84" s="3" t="s">
        <v>77</v>
      </c>
      <c r="K84" s="6">
        <v>24</v>
      </c>
      <c r="L84" s="3" t="s">
        <v>90</v>
      </c>
      <c r="M84" s="7"/>
      <c r="N84" s="6"/>
      <c r="O84" s="9">
        <f>0.47*Table2[[#This Row],[قيمة المحضر]]</f>
        <v>0</v>
      </c>
      <c r="P84" s="9">
        <f>0.17*Table2[[#This Row],[قيمة المحضر]]</f>
        <v>0</v>
      </c>
      <c r="Q84" s="9">
        <f t="shared" ca="1" si="5"/>
        <v>29280</v>
      </c>
      <c r="R84" s="3"/>
      <c r="S84" s="3"/>
      <c r="T84" s="9" t="str">
        <f t="shared" si="6"/>
        <v>-</v>
      </c>
      <c r="U84" s="3" t="s">
        <v>25</v>
      </c>
      <c r="V84" s="9" t="str">
        <f t="shared" si="7"/>
        <v>-</v>
      </c>
      <c r="W84" s="4"/>
      <c r="X84" s="38"/>
      <c r="Y84" s="1">
        <f t="shared" ca="1" si="8"/>
        <v>46162</v>
      </c>
      <c r="Z84" s="1" cm="1">
        <f t="array" aca="1" ref="Z84" ca="1">IF(D84&gt;DATE(2015,5,16),0,
K84*
(
INT((MIN(Y84,DATE(2015,5,16))-D84)/365)
+
CEILING(MOD((MIN(Y84,DATE(2015,5,16))-D84)/365,1),0.25)
)
*
_xlfn.SWITCH(J84,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240</v>
      </c>
      <c r="AA84" s="1" cm="1">
        <f t="array" aca="1" ref="AA84" ca="1">IF(Y84&lt;DATE(2015,5,17),0,
K84*
(
INT((MIN(Y84,DATE(2018,9,23))-MAX(D84,DATE(2015,5,17)))/365)
+
CEILING(MOD((MIN(Y84,DATE(2018,9,23))-MAX(D84,DATE(2015,5,17)))/365,1),0.25)
)
*
_xlfn.SWITCH(J84,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1680</v>
      </c>
      <c r="AB84" s="1" cm="1">
        <f t="array" aca="1" ref="AB84" ca="1">IF(Y84&lt;DATE(2018,9,24),0,
IF(J84="زراعة",
K84*
(
INT((MIN(Y84,DATE(2023,4,30))-MAX(D84,DATE(2018,9,24)))/365)
+
CEILING(MOD((MIN(Y84,DATE(2023,4,30))-MAX(D84,DATE(2018,9,24)))/365,1),0.25)
)
*1,
K84*
(
DATEDIF(MAX(D84,DATE(2018,9,24)),MIN(Y84,DATE(2023,4,30)),"m")+1
)
*
_xlfn.SWITCH(J84,
"موقف/تندة",IF(D84&lt;DATE(2019,11,30),6,30),
"تشوينات",IF(D84&lt;DATE(2019,11,30),4,20),
"مشاتل",IF(D84&lt;DATE(2019,11,30),2,10),
"كافيتيريا",IF(D84&lt;DATE(2019,11,30),30,150),
"نوادي",IF(D84&lt;DATE(2019,11,30),6,30),
"رسو مراكب",IF(D84&lt;DATE(2019,11,30),2,10),
"مباني",IF(D84&lt;DATE(2018,9,24),2,10),
"عشش",IF(D84&lt;DATE(2019,11,30),2,10),
"كشك (تجاري/صناعي)",IF(D84&lt;DATE(2019,11,30),10,50),
"ردم",20,
0)))</f>
        <v>26880</v>
      </c>
      <c r="AC84" s="1" cm="1">
        <f t="array" aca="1" ref="AC84" ca="1">IF(Y84&lt;DATE(2023,5,1),0,
IF(J84="زراعة",
K84*
(
INT((Y84-MAX(DATE(2023,5,1),D84))/365)
+
CEILING(MOD((Y84-MAX(DATE(2023,5,1),D84))/365,1),0.25)
)
*3,
IF(J84="ردم",
K84*20,
K84*
(
DATEDIF(MAX(DATE(2023,5,1),D84),Y84,"m")+1
)
*
_xlfn.SWITCH(J84,
"موقف/تندة",6,
"تشوينات",4,
"مشاتل",2,
"رسو مراكب",6,
"مباني",3,
"عشش",1,
"كشك (تجاري/صناعي)",20,
"مواسير صرف صحي (&lt;1م)",16,
"مواسير صرف صحي (&gt;1م)",18,
0))))</f>
        <v>480</v>
      </c>
      <c r="AD84" s="1">
        <f t="shared" ca="1" si="9"/>
        <v>55</v>
      </c>
    </row>
    <row r="85" spans="1:30" s="80" customFormat="1" ht="19.5" thickBot="1" x14ac:dyDescent="0.3">
      <c r="A85" s="30">
        <v>84</v>
      </c>
      <c r="B85" s="6">
        <v>159</v>
      </c>
      <c r="C85" s="6">
        <v>2014</v>
      </c>
      <c r="D85" s="7">
        <v>41995</v>
      </c>
      <c r="E85" s="12"/>
      <c r="F85" s="6"/>
      <c r="G85" s="6" t="s">
        <v>139</v>
      </c>
      <c r="H85" s="6"/>
      <c r="I85" s="6" t="s">
        <v>144</v>
      </c>
      <c r="J85" s="3" t="s">
        <v>77</v>
      </c>
      <c r="K85" s="6">
        <f>6*8</f>
        <v>48</v>
      </c>
      <c r="L85" s="3" t="s">
        <v>90</v>
      </c>
      <c r="M85" s="7"/>
      <c r="N85" s="6"/>
      <c r="O85" s="9">
        <f>0.47*Table2[[#This Row],[قيمة المحضر]]</f>
        <v>0</v>
      </c>
      <c r="P85" s="9">
        <f>0.17*Table2[[#This Row],[قيمة المحضر]]</f>
        <v>0</v>
      </c>
      <c r="Q85" s="9">
        <f t="shared" ca="1" si="5"/>
        <v>58560</v>
      </c>
      <c r="R85" s="3"/>
      <c r="S85" s="3"/>
      <c r="T85" s="9" t="str">
        <f t="shared" si="6"/>
        <v>-</v>
      </c>
      <c r="U85" s="3" t="s">
        <v>25</v>
      </c>
      <c r="V85" s="9" t="str">
        <f t="shared" si="7"/>
        <v>-</v>
      </c>
      <c r="W85" s="4"/>
      <c r="X85" s="38"/>
      <c r="Y85" s="1">
        <f t="shared" ca="1" si="8"/>
        <v>46162</v>
      </c>
      <c r="Z85" s="1" cm="1">
        <f t="array" aca="1" ref="Z85" ca="1">IF(D85&gt;DATE(2015,5,16),0,
K85*
(
INT((MIN(Y85,DATE(2015,5,16))-D85)/365)
+
CEILING(MOD((MIN(Y85,DATE(2015,5,16))-D85)/365,1),0.25)
)
*
_xlfn.SWITCH(J85,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480</v>
      </c>
      <c r="AA85" s="1" cm="1">
        <f t="array" aca="1" ref="AA85" ca="1">IF(Y85&lt;DATE(2015,5,17),0,
K85*
(
INT((MIN(Y85,DATE(2018,9,23))-MAX(D85,DATE(2015,5,17)))/365)
+
CEILING(MOD((MIN(Y85,DATE(2018,9,23))-MAX(D85,DATE(2015,5,17)))/365,1),0.25)
)
*
_xlfn.SWITCH(J85,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3360</v>
      </c>
      <c r="AB85" s="1" cm="1">
        <f t="array" aca="1" ref="AB85" ca="1">IF(Y85&lt;DATE(2018,9,24),0,
IF(J85="زراعة",
K85*
(
INT((MIN(Y85,DATE(2023,4,30))-MAX(D85,DATE(2018,9,24)))/365)
+
CEILING(MOD((MIN(Y85,DATE(2023,4,30))-MAX(D85,DATE(2018,9,24)))/365,1),0.25)
)
*1,
K85*
(
DATEDIF(MAX(D85,DATE(2018,9,24)),MIN(Y85,DATE(2023,4,30)),"m")+1
)
*
_xlfn.SWITCH(J85,
"موقف/تندة",IF(D85&lt;DATE(2019,11,30),6,30),
"تشوينات",IF(D85&lt;DATE(2019,11,30),4,20),
"مشاتل",IF(D85&lt;DATE(2019,11,30),2,10),
"كافيتيريا",IF(D85&lt;DATE(2019,11,30),30,150),
"نوادي",IF(D85&lt;DATE(2019,11,30),6,30),
"رسو مراكب",IF(D85&lt;DATE(2019,11,30),2,10),
"مباني",IF(D85&lt;DATE(2018,9,24),2,10),
"عشش",IF(D85&lt;DATE(2019,11,30),2,10),
"كشك (تجاري/صناعي)",IF(D85&lt;DATE(2019,11,30),10,50),
"ردم",20,
0)))</f>
        <v>53760</v>
      </c>
      <c r="AC85" s="1" cm="1">
        <f t="array" aca="1" ref="AC85" ca="1">IF(Y85&lt;DATE(2023,5,1),0,
IF(J85="زراعة",
K85*
(
INT((Y85-MAX(DATE(2023,5,1),D85))/365)
+
CEILING(MOD((Y85-MAX(DATE(2023,5,1),D85))/365,1),0.25)
)
*3,
IF(J85="ردم",
K85*20,
K85*
(
DATEDIF(MAX(DATE(2023,5,1),D85),Y85,"m")+1
)
*
_xlfn.SWITCH(J85,
"موقف/تندة",6,
"تشوينات",4,
"مشاتل",2,
"رسو مراكب",6,
"مباني",3,
"عشش",1,
"كشك (تجاري/صناعي)",20,
"مواسير صرف صحي (&lt;1م)",16,
"مواسير صرف صحي (&gt;1م)",18,
0))))</f>
        <v>960</v>
      </c>
      <c r="AD85" s="1">
        <f t="shared" ca="1" si="9"/>
        <v>55</v>
      </c>
    </row>
    <row r="86" spans="1:30" s="80" customFormat="1" ht="19.5" thickBot="1" x14ac:dyDescent="0.3">
      <c r="A86" s="30">
        <v>85</v>
      </c>
      <c r="B86" s="6">
        <v>160</v>
      </c>
      <c r="C86" s="6">
        <v>2014</v>
      </c>
      <c r="D86" s="7">
        <v>41995</v>
      </c>
      <c r="E86" s="12"/>
      <c r="F86" s="6"/>
      <c r="G86" s="6" t="s">
        <v>140</v>
      </c>
      <c r="H86" s="6"/>
      <c r="I86" s="6" t="s">
        <v>144</v>
      </c>
      <c r="J86" s="3" t="s">
        <v>77</v>
      </c>
      <c r="K86" s="6">
        <v>50</v>
      </c>
      <c r="L86" s="3" t="s">
        <v>90</v>
      </c>
      <c r="M86" s="7"/>
      <c r="N86" s="6"/>
      <c r="O86" s="9">
        <f>0.47*Table2[[#This Row],[قيمة المحضر]]</f>
        <v>0</v>
      </c>
      <c r="P86" s="9">
        <f>0.17*Table2[[#This Row],[قيمة المحضر]]</f>
        <v>0</v>
      </c>
      <c r="Q86" s="9">
        <f t="shared" ca="1" si="5"/>
        <v>61000</v>
      </c>
      <c r="R86" s="3"/>
      <c r="S86" s="3"/>
      <c r="T86" s="9" t="str">
        <f t="shared" si="6"/>
        <v>-</v>
      </c>
      <c r="U86" s="3" t="s">
        <v>25</v>
      </c>
      <c r="V86" s="9" t="str">
        <f t="shared" si="7"/>
        <v>-</v>
      </c>
      <c r="W86" s="4"/>
      <c r="X86" s="38"/>
      <c r="Y86" s="1">
        <f t="shared" ca="1" si="8"/>
        <v>46162</v>
      </c>
      <c r="Z86" s="1" cm="1">
        <f t="array" aca="1" ref="Z86" ca="1">IF(D86&gt;DATE(2015,5,16),0,
K86*
(
INT((MIN(Y86,DATE(2015,5,16))-D86)/365)
+
CEILING(MOD((MIN(Y86,DATE(2015,5,16))-D86)/365,1),0.25)
)
*
_xlfn.SWITCH(J86,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500</v>
      </c>
      <c r="AA86" s="1" cm="1">
        <f t="array" aca="1" ref="AA86" ca="1">IF(Y86&lt;DATE(2015,5,17),0,
K86*
(
INT((MIN(Y86,DATE(2018,9,23))-MAX(D86,DATE(2015,5,17)))/365)
+
CEILING(MOD((MIN(Y86,DATE(2018,9,23))-MAX(D86,DATE(2015,5,17)))/365,1),0.25)
)
*
_xlfn.SWITCH(J86,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3500</v>
      </c>
      <c r="AB86" s="1" cm="1">
        <f t="array" aca="1" ref="AB86" ca="1">IF(Y86&lt;DATE(2018,9,24),0,
IF(J86="زراعة",
K86*
(
INT((MIN(Y86,DATE(2023,4,30))-MAX(D86,DATE(2018,9,24)))/365)
+
CEILING(MOD((MIN(Y86,DATE(2023,4,30))-MAX(D86,DATE(2018,9,24)))/365,1),0.25)
)
*1,
K86*
(
DATEDIF(MAX(D86,DATE(2018,9,24)),MIN(Y86,DATE(2023,4,30)),"m")+1
)
*
_xlfn.SWITCH(J86,
"موقف/تندة",IF(D86&lt;DATE(2019,11,30),6,30),
"تشوينات",IF(D86&lt;DATE(2019,11,30),4,20),
"مشاتل",IF(D86&lt;DATE(2019,11,30),2,10),
"كافيتيريا",IF(D86&lt;DATE(2019,11,30),30,150),
"نوادي",IF(D86&lt;DATE(2019,11,30),6,30),
"رسو مراكب",IF(D86&lt;DATE(2019,11,30),2,10),
"مباني",IF(D86&lt;DATE(2018,9,24),2,10),
"عشش",IF(D86&lt;DATE(2019,11,30),2,10),
"كشك (تجاري/صناعي)",IF(D86&lt;DATE(2019,11,30),10,50),
"ردم",20,
0)))</f>
        <v>56000</v>
      </c>
      <c r="AC86" s="1" cm="1">
        <f t="array" aca="1" ref="AC86" ca="1">IF(Y86&lt;DATE(2023,5,1),0,
IF(J86="زراعة",
K86*
(
INT((Y86-MAX(DATE(2023,5,1),D86))/365)
+
CEILING(MOD((Y86-MAX(DATE(2023,5,1),D86))/365,1),0.25)
)
*3,
IF(J86="ردم",
K86*20,
K86*
(
DATEDIF(MAX(DATE(2023,5,1),D86),Y86,"m")+1
)
*
_xlfn.SWITCH(J86,
"موقف/تندة",6,
"تشوينات",4,
"مشاتل",2,
"رسو مراكب",6,
"مباني",3,
"عشش",1,
"كشك (تجاري/صناعي)",20,
"مواسير صرف صحي (&lt;1م)",16,
"مواسير صرف صحي (&gt;1م)",18,
0))))</f>
        <v>1000</v>
      </c>
      <c r="AD86" s="1">
        <f t="shared" ca="1" si="9"/>
        <v>55</v>
      </c>
    </row>
    <row r="87" spans="1:30" s="80" customFormat="1" ht="19.5" thickBot="1" x14ac:dyDescent="0.3">
      <c r="A87" s="30">
        <v>86</v>
      </c>
      <c r="B87" s="6">
        <v>161</v>
      </c>
      <c r="C87" s="6">
        <v>2014</v>
      </c>
      <c r="D87" s="7">
        <v>41995</v>
      </c>
      <c r="E87" s="12"/>
      <c r="F87" s="6"/>
      <c r="G87" s="6" t="s">
        <v>141</v>
      </c>
      <c r="H87" s="6"/>
      <c r="I87" s="6" t="s">
        <v>144</v>
      </c>
      <c r="J87" s="6" t="s">
        <v>77</v>
      </c>
      <c r="K87" s="6">
        <v>10</v>
      </c>
      <c r="L87" s="6" t="s">
        <v>90</v>
      </c>
      <c r="M87" s="7"/>
      <c r="N87" s="6"/>
      <c r="O87" s="72">
        <f>0.47*Table2[[#This Row],[قيمة المحضر]]</f>
        <v>0</v>
      </c>
      <c r="P87" s="72">
        <f>0.17*Table2[[#This Row],[قيمة المحضر]]</f>
        <v>0</v>
      </c>
      <c r="Q87" s="72">
        <f t="shared" ca="1" si="5"/>
        <v>12200</v>
      </c>
      <c r="R87" s="6"/>
      <c r="S87" s="6"/>
      <c r="T87" s="72" t="str">
        <f t="shared" si="6"/>
        <v>-</v>
      </c>
      <c r="U87" s="6" t="s">
        <v>25</v>
      </c>
      <c r="V87" s="72" t="str">
        <f t="shared" si="7"/>
        <v>-</v>
      </c>
      <c r="W87" s="73"/>
      <c r="X87" s="75"/>
      <c r="Y87" s="1">
        <f t="shared" ca="1" si="8"/>
        <v>46162</v>
      </c>
      <c r="Z87" s="1" cm="1">
        <f t="array" aca="1" ref="Z87" ca="1">IF(D87&gt;DATE(2015,5,16),0,
K87*
(
INT((MIN(Y87,DATE(2015,5,16))-D87)/365)
+
CEILING(MOD((MIN(Y87,DATE(2015,5,16))-D87)/365,1),0.25)
)
*
_xlfn.SWITCH(J87,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100</v>
      </c>
      <c r="AA87" s="1" cm="1">
        <f t="array" aca="1" ref="AA87" ca="1">IF(Y87&lt;DATE(2015,5,17),0,
K87*
(
INT((MIN(Y87,DATE(2018,9,23))-MAX(D87,DATE(2015,5,17)))/365)
+
CEILING(MOD((MIN(Y87,DATE(2018,9,23))-MAX(D87,DATE(2015,5,17)))/365,1),0.25)
)
*
_xlfn.SWITCH(J87,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700</v>
      </c>
      <c r="AB87" s="1" cm="1">
        <f t="array" aca="1" ref="AB87" ca="1">IF(Y87&lt;DATE(2018,9,24),0,
IF(J87="زراعة",
K87*
(
INT((MIN(Y87,DATE(2023,4,30))-MAX(D87,DATE(2018,9,24)))/365)
+
CEILING(MOD((MIN(Y87,DATE(2023,4,30))-MAX(D87,DATE(2018,9,24)))/365,1),0.25)
)
*1,
K87*
(
DATEDIF(MAX(D87,DATE(2018,9,24)),MIN(Y87,DATE(2023,4,30)),"m")+1
)
*
_xlfn.SWITCH(J87,
"موقف/تندة",IF(D87&lt;DATE(2019,11,30),6,30),
"تشوينات",IF(D87&lt;DATE(2019,11,30),4,20),
"مشاتل",IF(D87&lt;DATE(2019,11,30),2,10),
"كافيتيريا",IF(D87&lt;DATE(2019,11,30),30,150),
"نوادي",IF(D87&lt;DATE(2019,11,30),6,30),
"رسو مراكب",IF(D87&lt;DATE(2019,11,30),2,10),
"مباني",IF(D87&lt;DATE(2018,9,24),2,10),
"عشش",IF(D87&lt;DATE(2019,11,30),2,10),
"كشك (تجاري/صناعي)",IF(D87&lt;DATE(2019,11,30),10,50),
"ردم",20,
0)))</f>
        <v>11200</v>
      </c>
      <c r="AC87" s="1" cm="1">
        <f t="array" aca="1" ref="AC87" ca="1">IF(Y87&lt;DATE(2023,5,1),0,
IF(J87="زراعة",
K87*
(
INT((Y87-MAX(DATE(2023,5,1),D87))/365)
+
CEILING(MOD((Y87-MAX(DATE(2023,5,1),D87))/365,1),0.25)
)
*3,
IF(J87="ردم",
K87*20,
K87*
(
DATEDIF(MAX(DATE(2023,5,1),D87),Y87,"m")+1
)
*
_xlfn.SWITCH(J87,
"موقف/تندة",6,
"تشوينات",4,
"مشاتل",2,
"رسو مراكب",6,
"مباني",3,
"عشش",1,
"كشك (تجاري/صناعي)",20,
"مواسير صرف صحي (&lt;1م)",16,
"مواسير صرف صحي (&gt;1م)",18,
0))))</f>
        <v>200</v>
      </c>
      <c r="AD87" s="1">
        <f t="shared" ca="1" si="9"/>
        <v>55</v>
      </c>
    </row>
    <row r="88" spans="1:30" s="80" customFormat="1" ht="19.5" thickBot="1" x14ac:dyDescent="0.3">
      <c r="A88" s="46">
        <v>87</v>
      </c>
      <c r="B88" s="47">
        <v>1</v>
      </c>
      <c r="C88" s="47">
        <v>2015</v>
      </c>
      <c r="D88" s="48">
        <v>42045</v>
      </c>
      <c r="E88" s="49"/>
      <c r="F88" s="47"/>
      <c r="G88" s="47" t="s">
        <v>147</v>
      </c>
      <c r="H88" s="31"/>
      <c r="I88" s="47" t="s">
        <v>190</v>
      </c>
      <c r="J88" s="31" t="s">
        <v>27</v>
      </c>
      <c r="K88" s="47">
        <v>50</v>
      </c>
      <c r="L88" s="31" t="s">
        <v>191</v>
      </c>
      <c r="M88" s="48"/>
      <c r="N88" s="47"/>
      <c r="O88" s="34">
        <f>0.47*Table2[[#This Row],[قيمة المحضر]]</f>
        <v>0</v>
      </c>
      <c r="P88" s="34">
        <f>0.17*Table2[[#This Row],[قيمة المحضر]]</f>
        <v>0</v>
      </c>
      <c r="Q88" s="34">
        <f t="shared" ref="Q88:Q90" ca="1" si="10">Z88+AA88+AB88+AC88</f>
        <v>12650</v>
      </c>
      <c r="R88" s="31"/>
      <c r="S88" s="31"/>
      <c r="T88" s="34" t="str">
        <f t="shared" ref="T88:T90" si="11">IF(R88="تم الحجز",Q88+O88+N88,"-")</f>
        <v>-</v>
      </c>
      <c r="U88" s="31" t="s">
        <v>25</v>
      </c>
      <c r="V88" s="34" t="str">
        <f t="shared" ref="V88:V90" si="12">IF(OR(U88="قائم",U88="قائم و سدد مقابل انتفاع"),"-",
IF(U88="تم رد الشئ لأصله",P88+Q88,
IF(U88="ازالة جبرية",N88+O88+Q88,"")))</f>
        <v>-</v>
      </c>
      <c r="W88" s="35"/>
      <c r="X88" s="36"/>
      <c r="Y88" s="1">
        <f t="shared" ca="1" si="8"/>
        <v>46162</v>
      </c>
      <c r="Z88" s="1" cm="1">
        <f t="array" aca="1" ref="Z88" ca="1">IF(D88&gt;DATE(2015,5,16),0,
K88*
(
INT((MIN(Y88,DATE(2015,5,16))-D88)/365)
+
CEILING(MOD((MIN(Y88,DATE(2015,5,16))-D88)/365,1),0.25)
)
*
_xlfn.SWITCH(J88,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100</v>
      </c>
      <c r="AA88" s="1" cm="1">
        <f t="array" aca="1" ref="AA88" ca="1">IF(Y88&lt;DATE(2015,5,17),0,
K88*
(
INT((MIN(Y88,DATE(2018,9,23))-MAX(D88,DATE(2015,5,17)))/365)
+
CEILING(MOD((MIN(Y88,DATE(2018,9,23))-MAX(D88,DATE(2015,5,17)))/365,1),0.25)
)
*
_xlfn.SWITCH(J88,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1400</v>
      </c>
      <c r="AB88" s="1" cm="1">
        <f t="array" aca="1" ref="AB88" ca="1">IF(Y88&lt;DATE(2018,9,24),0,
IF(J88="زراعة",
K88*
(
INT((MIN(Y88,DATE(2023,4,30))-MAX(D88,DATE(2018,9,24)))/365)
+
CEILING(MOD((MIN(Y88,DATE(2023,4,30))-MAX(D88,DATE(2018,9,24)))/365,1),0.25)
)
*1,
K88*
(
DATEDIF(MAX(D88,DATE(2018,9,24)),MIN(Y88,DATE(2023,4,30)),"m")+1
)
*
_xlfn.SWITCH(J88,
"موقف/تندة",IF(D88&lt;DATE(2019,11,30),6,30),
"تشوينات",IF(D88&lt;DATE(2019,11,30),4,20),
"مشاتل",IF(D88&lt;DATE(2019,11,30),2,10),
"كافيتيريا",IF(D88&lt;DATE(2019,11,30),30,150),
"نوادي",IF(D88&lt;DATE(2019,11,30),6,30),
"رسو مراكب",IF(D88&lt;DATE(2019,11,30),2,10),
"مباني",IF(D88&lt;DATE(2018,9,24),2,10),
"عشش",IF(D88&lt;DATE(2019,11,30),2,10),
"كشك (تجاري/صناعي)",IF(D88&lt;DATE(2019,11,30),10,50),
"ردم",20,
0)))</f>
        <v>5600</v>
      </c>
      <c r="AC88" s="1" cm="1">
        <f t="array" aca="1" ref="AC88" ca="1">IF(Y88&lt;DATE(2023,5,1),0,
IF(J88="زراعة",
K88*
(
INT((Y88-MAX(DATE(2023,5,1),D88))/365)
+
CEILING(MOD((Y88-MAX(DATE(2023,5,1),D88))/365,1),0.25)
)
*3,
IF(J88="ردم",
K88*20,
K88*
(
DATEDIF(MAX(DATE(2023,5,1),D88),Y88,"m")+1
)
*
_xlfn.SWITCH(J88,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88" s="1">
        <f t="shared" ca="1" si="9"/>
        <v>55</v>
      </c>
    </row>
    <row r="89" spans="1:30" s="80" customFormat="1" ht="19.5" thickBot="1" x14ac:dyDescent="0.3">
      <c r="A89" s="46">
        <v>88</v>
      </c>
      <c r="B89" s="6">
        <v>2</v>
      </c>
      <c r="C89" s="6">
        <v>2015</v>
      </c>
      <c r="D89" s="7">
        <v>42045</v>
      </c>
      <c r="E89" s="12"/>
      <c r="F89" s="6"/>
      <c r="G89" s="6" t="s">
        <v>148</v>
      </c>
      <c r="H89" s="3"/>
      <c r="I89" s="6" t="s">
        <v>190</v>
      </c>
      <c r="J89" s="3" t="s">
        <v>27</v>
      </c>
      <c r="K89" s="6">
        <v>50</v>
      </c>
      <c r="L89" s="3" t="s">
        <v>191</v>
      </c>
      <c r="M89" s="7"/>
      <c r="N89" s="6"/>
      <c r="O89" s="9">
        <f>0.47*Table2[[#This Row],[قيمة المحضر]]</f>
        <v>0</v>
      </c>
      <c r="P89" s="9">
        <f>0.17*Table2[[#This Row],[قيمة المحضر]]</f>
        <v>0</v>
      </c>
      <c r="Q89" s="9">
        <f t="shared" ca="1" si="10"/>
        <v>12650</v>
      </c>
      <c r="R89" s="3"/>
      <c r="S89" s="3"/>
      <c r="T89" s="9" t="str">
        <f t="shared" si="11"/>
        <v>-</v>
      </c>
      <c r="U89" s="3" t="s">
        <v>25</v>
      </c>
      <c r="V89" s="9" t="str">
        <f t="shared" si="12"/>
        <v>-</v>
      </c>
      <c r="W89" s="4"/>
      <c r="X89" s="38"/>
      <c r="Y89" s="1">
        <f t="shared" ca="1" si="8"/>
        <v>46162</v>
      </c>
      <c r="Z89" s="1" cm="1">
        <f t="array" aca="1" ref="Z89" ca="1">IF(D89&gt;DATE(2015,5,16),0,
K89*
(
INT((MIN(Y89,DATE(2015,5,16))-D89)/365)
+
CEILING(MOD((MIN(Y89,DATE(2015,5,16))-D89)/365,1),0.25)
)
*
_xlfn.SWITCH(J89,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100</v>
      </c>
      <c r="AA89" s="1" cm="1">
        <f t="array" aca="1" ref="AA89" ca="1">IF(Y89&lt;DATE(2015,5,17),0,
K89*
(
INT((MIN(Y89,DATE(2018,9,23))-MAX(D89,DATE(2015,5,17)))/365)
+
CEILING(MOD((MIN(Y89,DATE(2018,9,23))-MAX(D89,DATE(2015,5,17)))/365,1),0.25)
)
*
_xlfn.SWITCH(J89,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1400</v>
      </c>
      <c r="AB89" s="1" cm="1">
        <f t="array" aca="1" ref="AB89" ca="1">IF(Y89&lt;DATE(2018,9,24),0,
IF(J89="زراعة",
K89*
(
INT((MIN(Y89,DATE(2023,4,30))-MAX(D89,DATE(2018,9,24)))/365)
+
CEILING(MOD((MIN(Y89,DATE(2023,4,30))-MAX(D89,DATE(2018,9,24)))/365,1),0.25)
)
*1,
K89*
(
DATEDIF(MAX(D89,DATE(2018,9,24)),MIN(Y89,DATE(2023,4,30)),"m")+1
)
*
_xlfn.SWITCH(J89,
"موقف/تندة",IF(D89&lt;DATE(2019,11,30),6,30),
"تشوينات",IF(D89&lt;DATE(2019,11,30),4,20),
"مشاتل",IF(D89&lt;DATE(2019,11,30),2,10),
"كافيتيريا",IF(D89&lt;DATE(2019,11,30),30,150),
"نوادي",IF(D89&lt;DATE(2019,11,30),6,30),
"رسو مراكب",IF(D89&lt;DATE(2019,11,30),2,10),
"مباني",IF(D89&lt;DATE(2018,9,24),2,10),
"عشش",IF(D89&lt;DATE(2019,11,30),2,10),
"كشك (تجاري/صناعي)",IF(D89&lt;DATE(2019,11,30),10,50),
"ردم",20,
0)))</f>
        <v>5600</v>
      </c>
      <c r="AC89" s="1" cm="1">
        <f t="array" aca="1" ref="AC89" ca="1">IF(Y89&lt;DATE(2023,5,1),0,
IF(J89="زراعة",
K89*
(
INT((Y89-MAX(DATE(2023,5,1),D89))/365)
+
CEILING(MOD((Y89-MAX(DATE(2023,5,1),D89))/365,1),0.25)
)
*3,
IF(J89="ردم",
K89*20,
K89*
(
DATEDIF(MAX(DATE(2023,5,1),D89),Y89,"m")+1
)
*
_xlfn.SWITCH(J89,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89" s="1">
        <f t="shared" ca="1" si="9"/>
        <v>55</v>
      </c>
    </row>
    <row r="90" spans="1:30" s="80" customFormat="1" ht="19.5" thickBot="1" x14ac:dyDescent="0.3">
      <c r="A90" s="46">
        <v>89</v>
      </c>
      <c r="B90" s="6">
        <v>3</v>
      </c>
      <c r="C90" s="6">
        <v>2015</v>
      </c>
      <c r="D90" s="7">
        <v>42045</v>
      </c>
      <c r="E90" s="12"/>
      <c r="F90" s="6"/>
      <c r="G90" s="6" t="s">
        <v>149</v>
      </c>
      <c r="H90" s="3"/>
      <c r="I90" s="6" t="s">
        <v>190</v>
      </c>
      <c r="J90" s="3" t="s">
        <v>27</v>
      </c>
      <c r="K90" s="6">
        <v>50</v>
      </c>
      <c r="L90" s="3" t="s">
        <v>191</v>
      </c>
      <c r="M90" s="7"/>
      <c r="N90" s="6"/>
      <c r="O90" s="9">
        <f>0.47*Table2[[#This Row],[قيمة المحضر]]</f>
        <v>0</v>
      </c>
      <c r="P90" s="9">
        <f>0.17*Table2[[#This Row],[قيمة المحضر]]</f>
        <v>0</v>
      </c>
      <c r="Q90" s="9">
        <f t="shared" ca="1" si="10"/>
        <v>12650</v>
      </c>
      <c r="R90" s="3"/>
      <c r="S90" s="3"/>
      <c r="T90" s="9" t="str">
        <f t="shared" si="11"/>
        <v>-</v>
      </c>
      <c r="U90" s="3" t="s">
        <v>25</v>
      </c>
      <c r="V90" s="9" t="str">
        <f t="shared" si="12"/>
        <v>-</v>
      </c>
      <c r="W90" s="4"/>
      <c r="X90" s="38"/>
      <c r="Y90" s="1">
        <f t="shared" ca="1" si="8"/>
        <v>46162</v>
      </c>
      <c r="Z90" s="1" cm="1">
        <f t="array" aca="1" ref="Z90" ca="1">IF(D90&gt;DATE(2015,5,16),0,
K90*
(
INT((MIN(Y90,DATE(2015,5,16))-D90)/365)
+
CEILING(MOD((MIN(Y90,DATE(2015,5,16))-D90)/365,1),0.25)
)
*
_xlfn.SWITCH(J90,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100</v>
      </c>
      <c r="AA90" s="1" cm="1">
        <f t="array" aca="1" ref="AA90" ca="1">IF(Y90&lt;DATE(2015,5,17),0,
K90*
(
INT((MIN(Y90,DATE(2018,9,23))-MAX(D90,DATE(2015,5,17)))/365)
+
CEILING(MOD((MIN(Y90,DATE(2018,9,23))-MAX(D90,DATE(2015,5,17)))/365,1),0.25)
)
*
_xlfn.SWITCH(J90,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1400</v>
      </c>
      <c r="AB90" s="1" cm="1">
        <f t="array" aca="1" ref="AB90" ca="1">IF(Y90&lt;DATE(2018,9,24),0,
IF(J90="زراعة",
K90*
(
INT((MIN(Y90,DATE(2023,4,30))-MAX(D90,DATE(2018,9,24)))/365)
+
CEILING(MOD((MIN(Y90,DATE(2023,4,30))-MAX(D90,DATE(2018,9,24)))/365,1),0.25)
)
*1,
K90*
(
DATEDIF(MAX(D90,DATE(2018,9,24)),MIN(Y90,DATE(2023,4,30)),"m")+1
)
*
_xlfn.SWITCH(J90,
"موقف/تندة",IF(D90&lt;DATE(2019,11,30),6,30),
"تشوينات",IF(D90&lt;DATE(2019,11,30),4,20),
"مشاتل",IF(D90&lt;DATE(2019,11,30),2,10),
"كافيتيريا",IF(D90&lt;DATE(2019,11,30),30,150),
"نوادي",IF(D90&lt;DATE(2019,11,30),6,30),
"رسو مراكب",IF(D90&lt;DATE(2019,11,30),2,10),
"مباني",IF(D90&lt;DATE(2018,9,24),2,10),
"عشش",IF(D90&lt;DATE(2019,11,30),2,10),
"كشك (تجاري/صناعي)",IF(D90&lt;DATE(2019,11,30),10,50),
"ردم",20,
0)))</f>
        <v>5600</v>
      </c>
      <c r="AC90" s="1" cm="1">
        <f t="array" aca="1" ref="AC90" ca="1">IF(Y90&lt;DATE(2023,5,1),0,
IF(J90="زراعة",
K90*
(
INT((Y90-MAX(DATE(2023,5,1),D90))/365)
+
CEILING(MOD((Y90-MAX(DATE(2023,5,1),D90))/365,1),0.25)
)
*3,
IF(J90="ردم",
K90*20,
K90*
(
DATEDIF(MAX(DATE(2023,5,1),D90),Y90,"m")+1
)
*
_xlfn.SWITCH(J90,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90" s="1">
        <f t="shared" ca="1" si="9"/>
        <v>55</v>
      </c>
    </row>
    <row r="91" spans="1:30" s="80" customFormat="1" ht="19.5" thickBot="1" x14ac:dyDescent="0.3">
      <c r="A91" s="46">
        <v>90</v>
      </c>
      <c r="B91" s="6">
        <v>4</v>
      </c>
      <c r="C91" s="6">
        <v>2015</v>
      </c>
      <c r="D91" s="7">
        <v>42045</v>
      </c>
      <c r="E91" s="12" t="s">
        <v>172</v>
      </c>
      <c r="F91" s="6"/>
      <c r="G91" s="6" t="s">
        <v>150</v>
      </c>
      <c r="H91" s="3"/>
      <c r="I91" s="6" t="s">
        <v>190</v>
      </c>
      <c r="J91" s="3" t="s">
        <v>27</v>
      </c>
      <c r="K91" s="6">
        <v>50</v>
      </c>
      <c r="L91" s="3" t="s">
        <v>191</v>
      </c>
      <c r="M91" s="7"/>
      <c r="N91" s="6"/>
      <c r="O91" s="9">
        <f>0.47*Table2[[#This Row],[قيمة المحضر]]</f>
        <v>0</v>
      </c>
      <c r="P91" s="9">
        <f>0.17*Table2[[#This Row],[قيمة المحضر]]</f>
        <v>0</v>
      </c>
      <c r="Q91" s="9">
        <f t="shared" ref="Q91:Q154" ca="1" si="13">Z91+AA91+AB91+AC91</f>
        <v>12650</v>
      </c>
      <c r="R91" s="3"/>
      <c r="S91" s="3"/>
      <c r="T91" s="9" t="str">
        <f t="shared" ref="T91:T154" si="14">IF(R91="تم الحجز",Q91+O91+N91,"-")</f>
        <v>-</v>
      </c>
      <c r="U91" s="3" t="s">
        <v>25</v>
      </c>
      <c r="V91" s="9" t="str">
        <f t="shared" ref="V91:V154" si="15">IF(OR(U91="قائم",U91="قائم و سدد مقابل انتفاع"),"-",
IF(U91="تم رد الشئ لأصله",P91+Q91,
IF(U91="ازالة جبرية",N91+O91+Q91,"")))</f>
        <v>-</v>
      </c>
      <c r="W91" s="4"/>
      <c r="X91" s="38"/>
      <c r="Y91" s="1">
        <f t="shared" ca="1" si="8"/>
        <v>46162</v>
      </c>
      <c r="Z91" s="1" cm="1">
        <f t="array" aca="1" ref="Z91" ca="1">IF(D91&gt;DATE(2015,5,16),0,
K91*
(
INT((MIN(Y91,DATE(2015,5,16))-D91)/365)
+
CEILING(MOD((MIN(Y91,DATE(2015,5,16))-D91)/365,1),0.25)
)
*
_xlfn.SWITCH(J91,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100</v>
      </c>
      <c r="AA91" s="1" cm="1">
        <f t="array" aca="1" ref="AA91" ca="1">IF(Y91&lt;DATE(2015,5,17),0,
K91*
(
INT((MIN(Y91,DATE(2018,9,23))-MAX(D91,DATE(2015,5,17)))/365)
+
CEILING(MOD((MIN(Y91,DATE(2018,9,23))-MAX(D91,DATE(2015,5,17)))/365,1),0.25)
)
*
_xlfn.SWITCH(J91,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1400</v>
      </c>
      <c r="AB91" s="1" cm="1">
        <f t="array" aca="1" ref="AB91" ca="1">IF(Y91&lt;DATE(2018,9,24),0,
IF(J91="زراعة",
K91*
(
INT((MIN(Y91,DATE(2023,4,30))-MAX(D91,DATE(2018,9,24)))/365)
+
CEILING(MOD((MIN(Y91,DATE(2023,4,30))-MAX(D91,DATE(2018,9,24)))/365,1),0.25)
)
*1,
K91*
(
DATEDIF(MAX(D91,DATE(2018,9,24)),MIN(Y91,DATE(2023,4,30)),"m")+1
)
*
_xlfn.SWITCH(J91,
"موقف/تندة",IF(D91&lt;DATE(2019,11,30),6,30),
"تشوينات",IF(D91&lt;DATE(2019,11,30),4,20),
"مشاتل",IF(D91&lt;DATE(2019,11,30),2,10),
"كافيتيريا",IF(D91&lt;DATE(2019,11,30),30,150),
"نوادي",IF(D91&lt;DATE(2019,11,30),6,30),
"رسو مراكب",IF(D91&lt;DATE(2019,11,30),2,10),
"مباني",IF(D91&lt;DATE(2018,9,24),2,10),
"عشش",IF(D91&lt;DATE(2019,11,30),2,10),
"كشك (تجاري/صناعي)",IF(D91&lt;DATE(2019,11,30),10,50),
"ردم",20,
0)))</f>
        <v>5600</v>
      </c>
      <c r="AC91" s="1" cm="1">
        <f t="array" aca="1" ref="AC91" ca="1">IF(Y91&lt;DATE(2023,5,1),0,
IF(J91="زراعة",
K91*
(
INT((Y91-MAX(DATE(2023,5,1),D91))/365)
+
CEILING(MOD((Y91-MAX(DATE(2023,5,1),D91))/365,1),0.25)
)
*3,
IF(J91="ردم",
K91*20,
K91*
(
DATEDIF(MAX(DATE(2023,5,1),D91),Y91,"m")+1
)
*
_xlfn.SWITCH(J91,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91" s="1">
        <f t="shared" ca="1" si="9"/>
        <v>55</v>
      </c>
    </row>
    <row r="92" spans="1:30" s="80" customFormat="1" ht="19.5" thickBot="1" x14ac:dyDescent="0.3">
      <c r="A92" s="46">
        <v>91</v>
      </c>
      <c r="B92" s="6">
        <v>5</v>
      </c>
      <c r="C92" s="6">
        <v>2015</v>
      </c>
      <c r="D92" s="7">
        <v>42045</v>
      </c>
      <c r="E92" s="12" t="s">
        <v>173</v>
      </c>
      <c r="F92" s="6"/>
      <c r="G92" s="6" t="s">
        <v>151</v>
      </c>
      <c r="H92" s="3"/>
      <c r="I92" s="6" t="s">
        <v>190</v>
      </c>
      <c r="J92" s="3" t="s">
        <v>27</v>
      </c>
      <c r="K92" s="6">
        <v>50</v>
      </c>
      <c r="L92" s="3" t="s">
        <v>191</v>
      </c>
      <c r="M92" s="7"/>
      <c r="N92" s="6"/>
      <c r="O92" s="9">
        <f>0.47*Table2[[#This Row],[قيمة المحضر]]</f>
        <v>0</v>
      </c>
      <c r="P92" s="9">
        <f>0.17*Table2[[#This Row],[قيمة المحضر]]</f>
        <v>0</v>
      </c>
      <c r="Q92" s="9">
        <f t="shared" ca="1" si="13"/>
        <v>12650</v>
      </c>
      <c r="R92" s="3"/>
      <c r="S92" s="3"/>
      <c r="T92" s="9" t="str">
        <f t="shared" si="14"/>
        <v>-</v>
      </c>
      <c r="U92" s="3" t="s">
        <v>25</v>
      </c>
      <c r="V92" s="9" t="str">
        <f t="shared" si="15"/>
        <v>-</v>
      </c>
      <c r="W92" s="4"/>
      <c r="X92" s="38"/>
      <c r="Y92" s="1">
        <f t="shared" ca="1" si="8"/>
        <v>46162</v>
      </c>
      <c r="Z92" s="1" cm="1">
        <f t="array" aca="1" ref="Z92" ca="1">IF(D92&gt;DATE(2015,5,16),0,
K92*
(
INT((MIN(Y92,DATE(2015,5,16))-D92)/365)
+
CEILING(MOD((MIN(Y92,DATE(2015,5,16))-D92)/365,1),0.25)
)
*
_xlfn.SWITCH(J92,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100</v>
      </c>
      <c r="AA92" s="1" cm="1">
        <f t="array" aca="1" ref="AA92" ca="1">IF(Y92&lt;DATE(2015,5,17),0,
K92*
(
INT((MIN(Y92,DATE(2018,9,23))-MAX(D92,DATE(2015,5,17)))/365)
+
CEILING(MOD((MIN(Y92,DATE(2018,9,23))-MAX(D92,DATE(2015,5,17)))/365,1),0.25)
)
*
_xlfn.SWITCH(J92,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1400</v>
      </c>
      <c r="AB92" s="1" cm="1">
        <f t="array" aca="1" ref="AB92" ca="1">IF(Y92&lt;DATE(2018,9,24),0,
IF(J92="زراعة",
K92*
(
INT((MIN(Y92,DATE(2023,4,30))-MAX(D92,DATE(2018,9,24)))/365)
+
CEILING(MOD((MIN(Y92,DATE(2023,4,30))-MAX(D92,DATE(2018,9,24)))/365,1),0.25)
)
*1,
K92*
(
DATEDIF(MAX(D92,DATE(2018,9,24)),MIN(Y92,DATE(2023,4,30)),"m")+1
)
*
_xlfn.SWITCH(J92,
"موقف/تندة",IF(D92&lt;DATE(2019,11,30),6,30),
"تشوينات",IF(D92&lt;DATE(2019,11,30),4,20),
"مشاتل",IF(D92&lt;DATE(2019,11,30),2,10),
"كافيتيريا",IF(D92&lt;DATE(2019,11,30),30,150),
"نوادي",IF(D92&lt;DATE(2019,11,30),6,30),
"رسو مراكب",IF(D92&lt;DATE(2019,11,30),2,10),
"مباني",IF(D92&lt;DATE(2018,9,24),2,10),
"عشش",IF(D92&lt;DATE(2019,11,30),2,10),
"كشك (تجاري/صناعي)",IF(D92&lt;DATE(2019,11,30),10,50),
"ردم",20,
0)))</f>
        <v>5600</v>
      </c>
      <c r="AC92" s="1" cm="1">
        <f t="array" aca="1" ref="AC92" ca="1">IF(Y92&lt;DATE(2023,5,1),0,
IF(J92="زراعة",
K92*
(
INT((Y92-MAX(DATE(2023,5,1),D92))/365)
+
CEILING(MOD((Y92-MAX(DATE(2023,5,1),D92))/365,1),0.25)
)
*3,
IF(J92="ردم",
K92*20,
K92*
(
DATEDIF(MAX(DATE(2023,5,1),D92),Y92,"m")+1
)
*
_xlfn.SWITCH(J92,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92" s="1">
        <f t="shared" ca="1" si="9"/>
        <v>55</v>
      </c>
    </row>
    <row r="93" spans="1:30" s="80" customFormat="1" ht="19.5" thickBot="1" x14ac:dyDescent="0.3">
      <c r="A93" s="46">
        <v>92</v>
      </c>
      <c r="B93" s="6">
        <v>6</v>
      </c>
      <c r="C93" s="6">
        <v>2015</v>
      </c>
      <c r="D93" s="7">
        <v>42045</v>
      </c>
      <c r="E93" s="12" t="s">
        <v>174</v>
      </c>
      <c r="F93" s="6"/>
      <c r="G93" s="6" t="s">
        <v>152</v>
      </c>
      <c r="H93" s="3"/>
      <c r="I93" s="6" t="s">
        <v>190</v>
      </c>
      <c r="J93" s="3" t="s">
        <v>27</v>
      </c>
      <c r="K93" s="6">
        <v>60</v>
      </c>
      <c r="L93" s="3" t="s">
        <v>191</v>
      </c>
      <c r="M93" s="7"/>
      <c r="N93" s="6"/>
      <c r="O93" s="9">
        <f>0.47*Table2[[#This Row],[قيمة المحضر]]</f>
        <v>0</v>
      </c>
      <c r="P93" s="9">
        <f>0.17*Table2[[#This Row],[قيمة المحضر]]</f>
        <v>0</v>
      </c>
      <c r="Q93" s="9">
        <f t="shared" ca="1" si="13"/>
        <v>15180</v>
      </c>
      <c r="R93" s="3"/>
      <c r="S93" s="3"/>
      <c r="T93" s="9" t="str">
        <f t="shared" si="14"/>
        <v>-</v>
      </c>
      <c r="U93" s="3" t="s">
        <v>25</v>
      </c>
      <c r="V93" s="9" t="str">
        <f t="shared" si="15"/>
        <v>-</v>
      </c>
      <c r="W93" s="4"/>
      <c r="X93" s="38"/>
      <c r="Y93" s="1">
        <f t="shared" ca="1" si="8"/>
        <v>46162</v>
      </c>
      <c r="Z93" s="1" cm="1">
        <f t="array" aca="1" ref="Z93" ca="1">IF(D93&gt;DATE(2015,5,16),0,
K93*
(
INT((MIN(Y93,DATE(2015,5,16))-D93)/365)
+
CEILING(MOD((MIN(Y93,DATE(2015,5,16))-D93)/365,1),0.25)
)
*
_xlfn.SWITCH(J93,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120</v>
      </c>
      <c r="AA93" s="1" cm="1">
        <f t="array" aca="1" ref="AA93" ca="1">IF(Y93&lt;DATE(2015,5,17),0,
K93*
(
INT((MIN(Y93,DATE(2018,9,23))-MAX(D93,DATE(2015,5,17)))/365)
+
CEILING(MOD((MIN(Y93,DATE(2018,9,23))-MAX(D93,DATE(2015,5,17)))/365,1),0.25)
)
*
_xlfn.SWITCH(J93,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1680</v>
      </c>
      <c r="AB93" s="1" cm="1">
        <f t="array" aca="1" ref="AB93" ca="1">IF(Y93&lt;DATE(2018,9,24),0,
IF(J93="زراعة",
K93*
(
INT((MIN(Y93,DATE(2023,4,30))-MAX(D93,DATE(2018,9,24)))/365)
+
CEILING(MOD((MIN(Y93,DATE(2023,4,30))-MAX(D93,DATE(2018,9,24)))/365,1),0.25)
)
*1,
K93*
(
DATEDIF(MAX(D93,DATE(2018,9,24)),MIN(Y93,DATE(2023,4,30)),"m")+1
)
*
_xlfn.SWITCH(J93,
"موقف/تندة",IF(D93&lt;DATE(2019,11,30),6,30),
"تشوينات",IF(D93&lt;DATE(2019,11,30),4,20),
"مشاتل",IF(D93&lt;DATE(2019,11,30),2,10),
"كافيتيريا",IF(D93&lt;DATE(2019,11,30),30,150),
"نوادي",IF(D93&lt;DATE(2019,11,30),6,30),
"رسو مراكب",IF(D93&lt;DATE(2019,11,30),2,10),
"مباني",IF(D93&lt;DATE(2018,9,24),2,10),
"عشش",IF(D93&lt;DATE(2019,11,30),2,10),
"كشك (تجاري/صناعي)",IF(D93&lt;DATE(2019,11,30),10,50),
"ردم",20,
0)))</f>
        <v>6720</v>
      </c>
      <c r="AC93" s="1" cm="1">
        <f t="array" aca="1" ref="AC93" ca="1">IF(Y93&lt;DATE(2023,5,1),0,
IF(J93="زراعة",
K93*
(
INT((Y93-MAX(DATE(2023,5,1),D93))/365)
+
CEILING(MOD((Y93-MAX(DATE(2023,5,1),D93))/365,1),0.25)
)
*3,
IF(J93="ردم",
K93*20,
K93*
(
DATEDIF(MAX(DATE(2023,5,1),D93),Y93,"m")+1
)
*
_xlfn.SWITCH(J93,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93" s="1">
        <f t="shared" ca="1" si="9"/>
        <v>55</v>
      </c>
    </row>
    <row r="94" spans="1:30" s="80" customFormat="1" ht="19.5" thickBot="1" x14ac:dyDescent="0.3">
      <c r="A94" s="46">
        <v>93</v>
      </c>
      <c r="B94" s="6">
        <v>7</v>
      </c>
      <c r="C94" s="6">
        <v>2015</v>
      </c>
      <c r="D94" s="7">
        <v>42045</v>
      </c>
      <c r="E94" s="12" t="s">
        <v>175</v>
      </c>
      <c r="F94" s="6"/>
      <c r="G94" s="6" t="s">
        <v>153</v>
      </c>
      <c r="H94" s="3"/>
      <c r="I94" s="6" t="s">
        <v>190</v>
      </c>
      <c r="J94" s="3" t="s">
        <v>27</v>
      </c>
      <c r="K94" s="6">
        <v>40</v>
      </c>
      <c r="L94" s="3" t="s">
        <v>191</v>
      </c>
      <c r="M94" s="7"/>
      <c r="N94" s="6"/>
      <c r="O94" s="9">
        <f>0.47*Table2[[#This Row],[قيمة المحضر]]</f>
        <v>0</v>
      </c>
      <c r="P94" s="9">
        <f>0.17*Table2[[#This Row],[قيمة المحضر]]</f>
        <v>0</v>
      </c>
      <c r="Q94" s="9">
        <f t="shared" ca="1" si="13"/>
        <v>10120</v>
      </c>
      <c r="R94" s="3"/>
      <c r="S94" s="3"/>
      <c r="T94" s="9" t="str">
        <f t="shared" si="14"/>
        <v>-</v>
      </c>
      <c r="U94" s="3" t="s">
        <v>25</v>
      </c>
      <c r="V94" s="9" t="str">
        <f t="shared" si="15"/>
        <v>-</v>
      </c>
      <c r="W94" s="4"/>
      <c r="X94" s="38"/>
      <c r="Y94" s="1">
        <f t="shared" ca="1" si="8"/>
        <v>46162</v>
      </c>
      <c r="Z94" s="1" cm="1">
        <f t="array" aca="1" ref="Z94" ca="1">IF(D94&gt;DATE(2015,5,16),0,
K94*
(
INT((MIN(Y94,DATE(2015,5,16))-D94)/365)
+
CEILING(MOD((MIN(Y94,DATE(2015,5,16))-D94)/365,1),0.25)
)
*
_xlfn.SWITCH(J94,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80</v>
      </c>
      <c r="AA94" s="1" cm="1">
        <f t="array" aca="1" ref="AA94" ca="1">IF(Y94&lt;DATE(2015,5,17),0,
K94*
(
INT((MIN(Y94,DATE(2018,9,23))-MAX(D94,DATE(2015,5,17)))/365)
+
CEILING(MOD((MIN(Y94,DATE(2018,9,23))-MAX(D94,DATE(2015,5,17)))/365,1),0.25)
)
*
_xlfn.SWITCH(J94,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1120</v>
      </c>
      <c r="AB94" s="1" cm="1">
        <f t="array" aca="1" ref="AB94" ca="1">IF(Y94&lt;DATE(2018,9,24),0,
IF(J94="زراعة",
K94*
(
INT((MIN(Y94,DATE(2023,4,30))-MAX(D94,DATE(2018,9,24)))/365)
+
CEILING(MOD((MIN(Y94,DATE(2023,4,30))-MAX(D94,DATE(2018,9,24)))/365,1),0.25)
)
*1,
K94*
(
DATEDIF(MAX(D94,DATE(2018,9,24)),MIN(Y94,DATE(2023,4,30)),"m")+1
)
*
_xlfn.SWITCH(J94,
"موقف/تندة",IF(D94&lt;DATE(2019,11,30),6,30),
"تشوينات",IF(D94&lt;DATE(2019,11,30),4,20),
"مشاتل",IF(D94&lt;DATE(2019,11,30),2,10),
"كافيتيريا",IF(D94&lt;DATE(2019,11,30),30,150),
"نوادي",IF(D94&lt;DATE(2019,11,30),6,30),
"رسو مراكب",IF(D94&lt;DATE(2019,11,30),2,10),
"مباني",IF(D94&lt;DATE(2018,9,24),2,10),
"عشش",IF(D94&lt;DATE(2019,11,30),2,10),
"كشك (تجاري/صناعي)",IF(D94&lt;DATE(2019,11,30),10,50),
"ردم",20,
0)))</f>
        <v>4480</v>
      </c>
      <c r="AC94" s="1" cm="1">
        <f t="array" aca="1" ref="AC94" ca="1">IF(Y94&lt;DATE(2023,5,1),0,
IF(J94="زراعة",
K94*
(
INT((Y94-MAX(DATE(2023,5,1),D94))/365)
+
CEILING(MOD((Y94-MAX(DATE(2023,5,1),D94))/365,1),0.25)
)
*3,
IF(J94="ردم",
K94*20,
K94*
(
DATEDIF(MAX(DATE(2023,5,1),D94),Y94,"m")+1
)
*
_xlfn.SWITCH(J94,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94" s="1">
        <f t="shared" ca="1" si="9"/>
        <v>55</v>
      </c>
    </row>
    <row r="95" spans="1:30" s="80" customFormat="1" ht="19.5" thickBot="1" x14ac:dyDescent="0.3">
      <c r="A95" s="46">
        <v>94</v>
      </c>
      <c r="B95" s="6">
        <v>8</v>
      </c>
      <c r="C95" s="6">
        <v>2015</v>
      </c>
      <c r="D95" s="7">
        <v>42045</v>
      </c>
      <c r="E95" s="12" t="s">
        <v>176</v>
      </c>
      <c r="F95" s="6"/>
      <c r="G95" s="6" t="s">
        <v>154</v>
      </c>
      <c r="H95" s="3"/>
      <c r="I95" s="6" t="s">
        <v>190</v>
      </c>
      <c r="J95" s="3" t="s">
        <v>27</v>
      </c>
      <c r="K95" s="6">
        <v>40</v>
      </c>
      <c r="L95" s="3" t="s">
        <v>191</v>
      </c>
      <c r="M95" s="7"/>
      <c r="N95" s="6"/>
      <c r="O95" s="9">
        <f>0.47*Table2[[#This Row],[قيمة المحضر]]</f>
        <v>0</v>
      </c>
      <c r="P95" s="9">
        <f>0.17*Table2[[#This Row],[قيمة المحضر]]</f>
        <v>0</v>
      </c>
      <c r="Q95" s="9">
        <f t="shared" ca="1" si="13"/>
        <v>10120</v>
      </c>
      <c r="R95" s="3"/>
      <c r="S95" s="3"/>
      <c r="T95" s="9" t="str">
        <f t="shared" si="14"/>
        <v>-</v>
      </c>
      <c r="U95" s="3" t="s">
        <v>25</v>
      </c>
      <c r="V95" s="9" t="str">
        <f t="shared" si="15"/>
        <v>-</v>
      </c>
      <c r="W95" s="4"/>
      <c r="X95" s="38"/>
      <c r="Y95" s="1">
        <f t="shared" ca="1" si="8"/>
        <v>46162</v>
      </c>
      <c r="Z95" s="1" cm="1">
        <f t="array" aca="1" ref="Z95" ca="1">IF(D95&gt;DATE(2015,5,16),0,
K95*
(
INT((MIN(Y95,DATE(2015,5,16))-D95)/365)
+
CEILING(MOD((MIN(Y95,DATE(2015,5,16))-D95)/365,1),0.25)
)
*
_xlfn.SWITCH(J95,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80</v>
      </c>
      <c r="AA95" s="1" cm="1">
        <f t="array" aca="1" ref="AA95" ca="1">IF(Y95&lt;DATE(2015,5,17),0,
K95*
(
INT((MIN(Y95,DATE(2018,9,23))-MAX(D95,DATE(2015,5,17)))/365)
+
CEILING(MOD((MIN(Y95,DATE(2018,9,23))-MAX(D95,DATE(2015,5,17)))/365,1),0.25)
)
*
_xlfn.SWITCH(J95,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1120</v>
      </c>
      <c r="AB95" s="1" cm="1">
        <f t="array" aca="1" ref="AB95" ca="1">IF(Y95&lt;DATE(2018,9,24),0,
IF(J95="زراعة",
K95*
(
INT((MIN(Y95,DATE(2023,4,30))-MAX(D95,DATE(2018,9,24)))/365)
+
CEILING(MOD((MIN(Y95,DATE(2023,4,30))-MAX(D95,DATE(2018,9,24)))/365,1),0.25)
)
*1,
K95*
(
DATEDIF(MAX(D95,DATE(2018,9,24)),MIN(Y95,DATE(2023,4,30)),"m")+1
)
*
_xlfn.SWITCH(J95,
"موقف/تندة",IF(D95&lt;DATE(2019,11,30),6,30),
"تشوينات",IF(D95&lt;DATE(2019,11,30),4,20),
"مشاتل",IF(D95&lt;DATE(2019,11,30),2,10),
"كافيتيريا",IF(D95&lt;DATE(2019,11,30),30,150),
"نوادي",IF(D95&lt;DATE(2019,11,30),6,30),
"رسو مراكب",IF(D95&lt;DATE(2019,11,30),2,10),
"مباني",IF(D95&lt;DATE(2018,9,24),2,10),
"عشش",IF(D95&lt;DATE(2019,11,30),2,10),
"كشك (تجاري/صناعي)",IF(D95&lt;DATE(2019,11,30),10,50),
"ردم",20,
0)))</f>
        <v>4480</v>
      </c>
      <c r="AC95" s="1" cm="1">
        <f t="array" aca="1" ref="AC95" ca="1">IF(Y95&lt;DATE(2023,5,1),0,
IF(J95="زراعة",
K95*
(
INT((Y95-MAX(DATE(2023,5,1),D95))/365)
+
CEILING(MOD((Y95-MAX(DATE(2023,5,1),D95))/365,1),0.25)
)
*3,
IF(J95="ردم",
K95*20,
K95*
(
DATEDIF(MAX(DATE(2023,5,1),D95),Y95,"m")+1
)
*
_xlfn.SWITCH(J95,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95" s="1">
        <f t="shared" ca="1" si="9"/>
        <v>55</v>
      </c>
    </row>
    <row r="96" spans="1:30" s="80" customFormat="1" ht="19.5" thickBot="1" x14ac:dyDescent="0.3">
      <c r="A96" s="46">
        <v>95</v>
      </c>
      <c r="B96" s="6">
        <v>9</v>
      </c>
      <c r="C96" s="6">
        <v>2015</v>
      </c>
      <c r="D96" s="7">
        <v>42045</v>
      </c>
      <c r="E96" s="12" t="s">
        <v>177</v>
      </c>
      <c r="F96" s="6"/>
      <c r="G96" s="6" t="s">
        <v>155</v>
      </c>
      <c r="H96" s="3"/>
      <c r="I96" s="6" t="s">
        <v>190</v>
      </c>
      <c r="J96" s="3" t="s">
        <v>27</v>
      </c>
      <c r="K96" s="6">
        <v>55</v>
      </c>
      <c r="L96" s="3" t="s">
        <v>191</v>
      </c>
      <c r="M96" s="7"/>
      <c r="N96" s="6"/>
      <c r="O96" s="9">
        <f>0.47*Table2[[#This Row],[قيمة المحضر]]</f>
        <v>0</v>
      </c>
      <c r="P96" s="9">
        <f>0.17*Table2[[#This Row],[قيمة المحضر]]</f>
        <v>0</v>
      </c>
      <c r="Q96" s="9">
        <f t="shared" ca="1" si="13"/>
        <v>13915</v>
      </c>
      <c r="R96" s="3"/>
      <c r="S96" s="3"/>
      <c r="T96" s="9" t="str">
        <f t="shared" si="14"/>
        <v>-</v>
      </c>
      <c r="U96" s="3" t="s">
        <v>25</v>
      </c>
      <c r="V96" s="9" t="str">
        <f t="shared" si="15"/>
        <v>-</v>
      </c>
      <c r="W96" s="4"/>
      <c r="X96" s="38"/>
      <c r="Y96" s="1">
        <f t="shared" ca="1" si="8"/>
        <v>46162</v>
      </c>
      <c r="Z96" s="1" cm="1">
        <f t="array" aca="1" ref="Z96" ca="1">IF(D96&gt;DATE(2015,5,16),0,
K96*
(
INT((MIN(Y96,DATE(2015,5,16))-D96)/365)
+
CEILING(MOD((MIN(Y96,DATE(2015,5,16))-D96)/365,1),0.25)
)
*
_xlfn.SWITCH(J96,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110</v>
      </c>
      <c r="AA96" s="1" cm="1">
        <f t="array" aca="1" ref="AA96" ca="1">IF(Y96&lt;DATE(2015,5,17),0,
K96*
(
INT((MIN(Y96,DATE(2018,9,23))-MAX(D96,DATE(2015,5,17)))/365)
+
CEILING(MOD((MIN(Y96,DATE(2018,9,23))-MAX(D96,DATE(2015,5,17)))/365,1),0.25)
)
*
_xlfn.SWITCH(J96,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1540</v>
      </c>
      <c r="AB96" s="1" cm="1">
        <f t="array" aca="1" ref="AB96" ca="1">IF(Y96&lt;DATE(2018,9,24),0,
IF(J96="زراعة",
K96*
(
INT((MIN(Y96,DATE(2023,4,30))-MAX(D96,DATE(2018,9,24)))/365)
+
CEILING(MOD((MIN(Y96,DATE(2023,4,30))-MAX(D96,DATE(2018,9,24)))/365,1),0.25)
)
*1,
K96*
(
DATEDIF(MAX(D96,DATE(2018,9,24)),MIN(Y96,DATE(2023,4,30)),"m")+1
)
*
_xlfn.SWITCH(J96,
"موقف/تندة",IF(D96&lt;DATE(2019,11,30),6,30),
"تشوينات",IF(D96&lt;DATE(2019,11,30),4,20),
"مشاتل",IF(D96&lt;DATE(2019,11,30),2,10),
"كافيتيريا",IF(D96&lt;DATE(2019,11,30),30,150),
"نوادي",IF(D96&lt;DATE(2019,11,30),6,30),
"رسو مراكب",IF(D96&lt;DATE(2019,11,30),2,10),
"مباني",IF(D96&lt;DATE(2018,9,24),2,10),
"عشش",IF(D96&lt;DATE(2019,11,30),2,10),
"كشك (تجاري/صناعي)",IF(D96&lt;DATE(2019,11,30),10,50),
"ردم",20,
0)))</f>
        <v>6160</v>
      </c>
      <c r="AC96" s="1" cm="1">
        <f t="array" aca="1" ref="AC96" ca="1">IF(Y96&lt;DATE(2023,5,1),0,
IF(J96="زراعة",
K96*
(
INT((Y96-MAX(DATE(2023,5,1),D96))/365)
+
CEILING(MOD((Y96-MAX(DATE(2023,5,1),D96))/365,1),0.25)
)
*3,
IF(J96="ردم",
K96*20,
K96*
(
DATEDIF(MAX(DATE(2023,5,1),D96),Y96,"m")+1
)
*
_xlfn.SWITCH(J96,
"موقف/تندة",6,
"تشوينات",4,
"مشاتل",2,
"رسو مراكب",6,
"مباني",3,
"عشش",1,
"كشك (تجاري/صناعي)",20,
"مواسير صرف صحي (&lt;1م)",16,
"مواسير صرف صحي (&gt;1م)",18,
0))))</f>
        <v>6105</v>
      </c>
      <c r="AD96" s="1">
        <f t="shared" ca="1" si="9"/>
        <v>55</v>
      </c>
    </row>
    <row r="97" spans="1:30" s="80" customFormat="1" ht="19.5" thickBot="1" x14ac:dyDescent="0.3">
      <c r="A97" s="46">
        <v>96</v>
      </c>
      <c r="B97" s="6">
        <v>10</v>
      </c>
      <c r="C97" s="6">
        <v>2015</v>
      </c>
      <c r="D97" s="7">
        <v>42045</v>
      </c>
      <c r="E97" s="12" t="s">
        <v>178</v>
      </c>
      <c r="F97" s="6"/>
      <c r="G97" s="6" t="s">
        <v>156</v>
      </c>
      <c r="H97" s="3"/>
      <c r="I97" s="6" t="s">
        <v>190</v>
      </c>
      <c r="J97" s="3" t="s">
        <v>27</v>
      </c>
      <c r="K97" s="6">
        <v>40</v>
      </c>
      <c r="L97" s="3" t="s">
        <v>191</v>
      </c>
      <c r="M97" s="7"/>
      <c r="N97" s="6"/>
      <c r="O97" s="9">
        <f>0.47*Table2[[#This Row],[قيمة المحضر]]</f>
        <v>0</v>
      </c>
      <c r="P97" s="9">
        <f>0.17*Table2[[#This Row],[قيمة المحضر]]</f>
        <v>0</v>
      </c>
      <c r="Q97" s="9">
        <f t="shared" ca="1" si="13"/>
        <v>10120</v>
      </c>
      <c r="R97" s="3"/>
      <c r="S97" s="3"/>
      <c r="T97" s="9" t="str">
        <f t="shared" si="14"/>
        <v>-</v>
      </c>
      <c r="U97" s="3" t="s">
        <v>25</v>
      </c>
      <c r="V97" s="9" t="str">
        <f t="shared" si="15"/>
        <v>-</v>
      </c>
      <c r="W97" s="4"/>
      <c r="X97" s="38"/>
      <c r="Y97" s="1">
        <f t="shared" ca="1" si="8"/>
        <v>46162</v>
      </c>
      <c r="Z97" s="1" cm="1">
        <f t="array" aca="1" ref="Z97" ca="1">IF(D97&gt;DATE(2015,5,16),0,
K97*
(
INT((MIN(Y97,DATE(2015,5,16))-D97)/365)
+
CEILING(MOD((MIN(Y97,DATE(2015,5,16))-D97)/365,1),0.25)
)
*
_xlfn.SWITCH(J97,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80</v>
      </c>
      <c r="AA97" s="1" cm="1">
        <f t="array" aca="1" ref="AA97" ca="1">IF(Y97&lt;DATE(2015,5,17),0,
K97*
(
INT((MIN(Y97,DATE(2018,9,23))-MAX(D97,DATE(2015,5,17)))/365)
+
CEILING(MOD((MIN(Y97,DATE(2018,9,23))-MAX(D97,DATE(2015,5,17)))/365,1),0.25)
)
*
_xlfn.SWITCH(J97,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1120</v>
      </c>
      <c r="AB97" s="1" cm="1">
        <f t="array" aca="1" ref="AB97" ca="1">IF(Y97&lt;DATE(2018,9,24),0,
IF(J97="زراعة",
K97*
(
INT((MIN(Y97,DATE(2023,4,30))-MAX(D97,DATE(2018,9,24)))/365)
+
CEILING(MOD((MIN(Y97,DATE(2023,4,30))-MAX(D97,DATE(2018,9,24)))/365,1),0.25)
)
*1,
K97*
(
DATEDIF(MAX(D97,DATE(2018,9,24)),MIN(Y97,DATE(2023,4,30)),"m")+1
)
*
_xlfn.SWITCH(J97,
"موقف/تندة",IF(D97&lt;DATE(2019,11,30),6,30),
"تشوينات",IF(D97&lt;DATE(2019,11,30),4,20),
"مشاتل",IF(D97&lt;DATE(2019,11,30),2,10),
"كافيتيريا",IF(D97&lt;DATE(2019,11,30),30,150),
"نوادي",IF(D97&lt;DATE(2019,11,30),6,30),
"رسو مراكب",IF(D97&lt;DATE(2019,11,30),2,10),
"مباني",IF(D97&lt;DATE(2018,9,24),2,10),
"عشش",IF(D97&lt;DATE(2019,11,30),2,10),
"كشك (تجاري/صناعي)",IF(D97&lt;DATE(2019,11,30),10,50),
"ردم",20,
0)))</f>
        <v>4480</v>
      </c>
      <c r="AC97" s="1" cm="1">
        <f t="array" aca="1" ref="AC97" ca="1">IF(Y97&lt;DATE(2023,5,1),0,
IF(J97="زراعة",
K97*
(
INT((Y97-MAX(DATE(2023,5,1),D97))/365)
+
CEILING(MOD((Y97-MAX(DATE(2023,5,1),D97))/365,1),0.25)
)
*3,
IF(J97="ردم",
K97*20,
K97*
(
DATEDIF(MAX(DATE(2023,5,1),D97),Y97,"m")+1
)
*
_xlfn.SWITCH(J97,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97" s="1">
        <f t="shared" ca="1" si="9"/>
        <v>55</v>
      </c>
    </row>
    <row r="98" spans="1:30" s="80" customFormat="1" ht="19.5" thickBot="1" x14ac:dyDescent="0.3">
      <c r="A98" s="46">
        <v>97</v>
      </c>
      <c r="B98" s="6">
        <v>11</v>
      </c>
      <c r="C98" s="6">
        <v>2015</v>
      </c>
      <c r="D98" s="7">
        <v>42045</v>
      </c>
      <c r="E98" s="12" t="s">
        <v>179</v>
      </c>
      <c r="F98" s="6"/>
      <c r="G98" s="6" t="s">
        <v>157</v>
      </c>
      <c r="H98" s="3"/>
      <c r="I98" s="6" t="s">
        <v>190</v>
      </c>
      <c r="J98" s="3" t="s">
        <v>27</v>
      </c>
      <c r="K98" s="6">
        <v>60</v>
      </c>
      <c r="L98" s="3" t="s">
        <v>191</v>
      </c>
      <c r="M98" s="7"/>
      <c r="N98" s="6"/>
      <c r="O98" s="9">
        <f>0.47*Table2[[#This Row],[قيمة المحضر]]</f>
        <v>0</v>
      </c>
      <c r="P98" s="9">
        <f>0.17*Table2[[#This Row],[قيمة المحضر]]</f>
        <v>0</v>
      </c>
      <c r="Q98" s="9">
        <f t="shared" ca="1" si="13"/>
        <v>15180</v>
      </c>
      <c r="R98" s="3"/>
      <c r="S98" s="3"/>
      <c r="T98" s="9" t="str">
        <f t="shared" si="14"/>
        <v>-</v>
      </c>
      <c r="U98" s="3" t="s">
        <v>25</v>
      </c>
      <c r="V98" s="9" t="str">
        <f t="shared" si="15"/>
        <v>-</v>
      </c>
      <c r="W98" s="4"/>
      <c r="X98" s="38"/>
      <c r="Y98" s="1">
        <f t="shared" ca="1" si="8"/>
        <v>46162</v>
      </c>
      <c r="Z98" s="1" cm="1">
        <f t="array" aca="1" ref="Z98" ca="1">IF(D98&gt;DATE(2015,5,16),0,
K98*
(
INT((MIN(Y98,DATE(2015,5,16))-D98)/365)
+
CEILING(MOD((MIN(Y98,DATE(2015,5,16))-D98)/365,1),0.25)
)
*
_xlfn.SWITCH(J98,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120</v>
      </c>
      <c r="AA98" s="1" cm="1">
        <f t="array" aca="1" ref="AA98" ca="1">IF(Y98&lt;DATE(2015,5,17),0,
K98*
(
INT((MIN(Y98,DATE(2018,9,23))-MAX(D98,DATE(2015,5,17)))/365)
+
CEILING(MOD((MIN(Y98,DATE(2018,9,23))-MAX(D98,DATE(2015,5,17)))/365,1),0.25)
)
*
_xlfn.SWITCH(J98,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1680</v>
      </c>
      <c r="AB98" s="1" cm="1">
        <f t="array" aca="1" ref="AB98" ca="1">IF(Y98&lt;DATE(2018,9,24),0,
IF(J98="زراعة",
K98*
(
INT((MIN(Y98,DATE(2023,4,30))-MAX(D98,DATE(2018,9,24)))/365)
+
CEILING(MOD((MIN(Y98,DATE(2023,4,30))-MAX(D98,DATE(2018,9,24)))/365,1),0.25)
)
*1,
K98*
(
DATEDIF(MAX(D98,DATE(2018,9,24)),MIN(Y98,DATE(2023,4,30)),"m")+1
)
*
_xlfn.SWITCH(J98,
"موقف/تندة",IF(D98&lt;DATE(2019,11,30),6,30),
"تشوينات",IF(D98&lt;DATE(2019,11,30),4,20),
"مشاتل",IF(D98&lt;DATE(2019,11,30),2,10),
"كافيتيريا",IF(D98&lt;DATE(2019,11,30),30,150),
"نوادي",IF(D98&lt;DATE(2019,11,30),6,30),
"رسو مراكب",IF(D98&lt;DATE(2019,11,30),2,10),
"مباني",IF(D98&lt;DATE(2018,9,24),2,10),
"عشش",IF(D98&lt;DATE(2019,11,30),2,10),
"كشك (تجاري/صناعي)",IF(D98&lt;DATE(2019,11,30),10,50),
"ردم",20,
0)))</f>
        <v>6720</v>
      </c>
      <c r="AC98" s="1" cm="1">
        <f t="array" aca="1" ref="AC98" ca="1">IF(Y98&lt;DATE(2023,5,1),0,
IF(J98="زراعة",
K98*
(
INT((Y98-MAX(DATE(2023,5,1),D98))/365)
+
CEILING(MOD((Y98-MAX(DATE(2023,5,1),D98))/365,1),0.25)
)
*3,
IF(J98="ردم",
K98*20,
K98*
(
DATEDIF(MAX(DATE(2023,5,1),D98),Y98,"m")+1
)
*
_xlfn.SWITCH(J98,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98" s="1">
        <f t="shared" ca="1" si="9"/>
        <v>55</v>
      </c>
    </row>
    <row r="99" spans="1:30" s="80" customFormat="1" ht="19.5" thickBot="1" x14ac:dyDescent="0.3">
      <c r="A99" s="46">
        <v>98</v>
      </c>
      <c r="B99" s="6">
        <v>12</v>
      </c>
      <c r="C99" s="6">
        <v>2015</v>
      </c>
      <c r="D99" s="7">
        <v>42045</v>
      </c>
      <c r="E99" s="12" t="s">
        <v>180</v>
      </c>
      <c r="F99" s="6"/>
      <c r="G99" s="6" t="s">
        <v>158</v>
      </c>
      <c r="H99" s="3"/>
      <c r="I99" s="6" t="s">
        <v>190</v>
      </c>
      <c r="J99" s="3" t="s">
        <v>27</v>
      </c>
      <c r="K99" s="6">
        <v>40</v>
      </c>
      <c r="L99" s="3" t="s">
        <v>191</v>
      </c>
      <c r="M99" s="7"/>
      <c r="N99" s="6"/>
      <c r="O99" s="9">
        <f>0.47*Table2[[#This Row],[قيمة المحضر]]</f>
        <v>0</v>
      </c>
      <c r="P99" s="9">
        <f>0.17*Table2[[#This Row],[قيمة المحضر]]</f>
        <v>0</v>
      </c>
      <c r="Q99" s="9">
        <f t="shared" ca="1" si="13"/>
        <v>10120</v>
      </c>
      <c r="R99" s="3"/>
      <c r="S99" s="3"/>
      <c r="T99" s="9" t="str">
        <f t="shared" si="14"/>
        <v>-</v>
      </c>
      <c r="U99" s="3" t="s">
        <v>25</v>
      </c>
      <c r="V99" s="9" t="str">
        <f t="shared" si="15"/>
        <v>-</v>
      </c>
      <c r="W99" s="4"/>
      <c r="X99" s="38"/>
      <c r="Y99" s="1">
        <f t="shared" ca="1" si="8"/>
        <v>46162</v>
      </c>
      <c r="Z99" s="1" cm="1">
        <f t="array" aca="1" ref="Z99" ca="1">IF(D99&gt;DATE(2015,5,16),0,
K99*
(
INT((MIN(Y99,DATE(2015,5,16))-D99)/365)
+
CEILING(MOD((MIN(Y99,DATE(2015,5,16))-D99)/365,1),0.25)
)
*
_xlfn.SWITCH(J99,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80</v>
      </c>
      <c r="AA99" s="1" cm="1">
        <f t="array" aca="1" ref="AA99" ca="1">IF(Y99&lt;DATE(2015,5,17),0,
K99*
(
INT((MIN(Y99,DATE(2018,9,23))-MAX(D99,DATE(2015,5,17)))/365)
+
CEILING(MOD((MIN(Y99,DATE(2018,9,23))-MAX(D99,DATE(2015,5,17)))/365,1),0.25)
)
*
_xlfn.SWITCH(J99,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1120</v>
      </c>
      <c r="AB99" s="1" cm="1">
        <f t="array" aca="1" ref="AB99" ca="1">IF(Y99&lt;DATE(2018,9,24),0,
IF(J99="زراعة",
K99*
(
INT((MIN(Y99,DATE(2023,4,30))-MAX(D99,DATE(2018,9,24)))/365)
+
CEILING(MOD((MIN(Y99,DATE(2023,4,30))-MAX(D99,DATE(2018,9,24)))/365,1),0.25)
)
*1,
K99*
(
DATEDIF(MAX(D99,DATE(2018,9,24)),MIN(Y99,DATE(2023,4,30)),"m")+1
)
*
_xlfn.SWITCH(J99,
"موقف/تندة",IF(D99&lt;DATE(2019,11,30),6,30),
"تشوينات",IF(D99&lt;DATE(2019,11,30),4,20),
"مشاتل",IF(D99&lt;DATE(2019,11,30),2,10),
"كافيتيريا",IF(D99&lt;DATE(2019,11,30),30,150),
"نوادي",IF(D99&lt;DATE(2019,11,30),6,30),
"رسو مراكب",IF(D99&lt;DATE(2019,11,30),2,10),
"مباني",IF(D99&lt;DATE(2018,9,24),2,10),
"عشش",IF(D99&lt;DATE(2019,11,30),2,10),
"كشك (تجاري/صناعي)",IF(D99&lt;DATE(2019,11,30),10,50),
"ردم",20,
0)))</f>
        <v>4480</v>
      </c>
      <c r="AC99" s="1" cm="1">
        <f t="array" aca="1" ref="AC99" ca="1">IF(Y99&lt;DATE(2023,5,1),0,
IF(J99="زراعة",
K99*
(
INT((Y99-MAX(DATE(2023,5,1),D99))/365)
+
CEILING(MOD((Y99-MAX(DATE(2023,5,1),D99))/365,1),0.25)
)
*3,
IF(J99="ردم",
K99*20,
K99*
(
DATEDIF(MAX(DATE(2023,5,1),D99),Y99,"m")+1
)
*
_xlfn.SWITCH(J99,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99" s="1">
        <f t="shared" ca="1" si="9"/>
        <v>55</v>
      </c>
    </row>
    <row r="100" spans="1:30" s="80" customFormat="1" ht="19.5" thickBot="1" x14ac:dyDescent="0.3">
      <c r="A100" s="46">
        <v>99</v>
      </c>
      <c r="B100" s="6">
        <v>13</v>
      </c>
      <c r="C100" s="6">
        <v>2015</v>
      </c>
      <c r="D100" s="7">
        <v>42045</v>
      </c>
      <c r="E100" s="12" t="s">
        <v>181</v>
      </c>
      <c r="F100" s="6"/>
      <c r="G100" s="6" t="s">
        <v>159</v>
      </c>
      <c r="H100" s="3"/>
      <c r="I100" s="6" t="s">
        <v>190</v>
      </c>
      <c r="J100" s="3" t="s">
        <v>27</v>
      </c>
      <c r="K100" s="6">
        <v>60</v>
      </c>
      <c r="L100" s="3" t="s">
        <v>191</v>
      </c>
      <c r="M100" s="7"/>
      <c r="N100" s="6"/>
      <c r="O100" s="9">
        <f>0.47*Table2[[#This Row],[قيمة المحضر]]</f>
        <v>0</v>
      </c>
      <c r="P100" s="9">
        <f>0.17*Table2[[#This Row],[قيمة المحضر]]</f>
        <v>0</v>
      </c>
      <c r="Q100" s="9">
        <f t="shared" ca="1" si="13"/>
        <v>15180</v>
      </c>
      <c r="R100" s="3"/>
      <c r="S100" s="3"/>
      <c r="T100" s="9" t="str">
        <f t="shared" si="14"/>
        <v>-</v>
      </c>
      <c r="U100" s="3" t="s">
        <v>25</v>
      </c>
      <c r="V100" s="9" t="str">
        <f t="shared" si="15"/>
        <v>-</v>
      </c>
      <c r="W100" s="4"/>
      <c r="X100" s="38"/>
      <c r="Y100" s="1">
        <f t="shared" ca="1" si="8"/>
        <v>46162</v>
      </c>
      <c r="Z100" s="1" cm="1">
        <f t="array" aca="1" ref="Z100" ca="1">IF(D100&gt;DATE(2015,5,16),0,
K100*
(
INT((MIN(Y100,DATE(2015,5,16))-D100)/365)
+
CEILING(MOD((MIN(Y100,DATE(2015,5,16))-D100)/365,1),0.25)
)
*
_xlfn.SWITCH(J100,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120</v>
      </c>
      <c r="AA100" s="1" cm="1">
        <f t="array" aca="1" ref="AA100" ca="1">IF(Y100&lt;DATE(2015,5,17),0,
K100*
(
INT((MIN(Y100,DATE(2018,9,23))-MAX(D100,DATE(2015,5,17)))/365)
+
CEILING(MOD((MIN(Y100,DATE(2018,9,23))-MAX(D100,DATE(2015,5,17)))/365,1),0.25)
)
*
_xlfn.SWITCH(J100,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1680</v>
      </c>
      <c r="AB100" s="1" cm="1">
        <f t="array" aca="1" ref="AB100" ca="1">IF(Y100&lt;DATE(2018,9,24),0,
IF(J100="زراعة",
K100*
(
INT((MIN(Y100,DATE(2023,4,30))-MAX(D100,DATE(2018,9,24)))/365)
+
CEILING(MOD((MIN(Y100,DATE(2023,4,30))-MAX(D100,DATE(2018,9,24)))/365,1),0.25)
)
*1,
K100*
(
DATEDIF(MAX(D100,DATE(2018,9,24)),MIN(Y100,DATE(2023,4,30)),"m")+1
)
*
_xlfn.SWITCH(J100,
"موقف/تندة",IF(D100&lt;DATE(2019,11,30),6,30),
"تشوينات",IF(D100&lt;DATE(2019,11,30),4,20),
"مشاتل",IF(D100&lt;DATE(2019,11,30),2,10),
"كافيتيريا",IF(D100&lt;DATE(2019,11,30),30,150),
"نوادي",IF(D100&lt;DATE(2019,11,30),6,30),
"رسو مراكب",IF(D100&lt;DATE(2019,11,30),2,10),
"مباني",IF(D100&lt;DATE(2018,9,24),2,10),
"عشش",IF(D100&lt;DATE(2019,11,30),2,10),
"كشك (تجاري/صناعي)",IF(D100&lt;DATE(2019,11,30),10,50),
"ردم",20,
0)))</f>
        <v>6720</v>
      </c>
      <c r="AC100" s="1" cm="1">
        <f t="array" aca="1" ref="AC100" ca="1">IF(Y100&lt;DATE(2023,5,1),0,
IF(J100="زراعة",
K100*
(
INT((Y100-MAX(DATE(2023,5,1),D100))/365)
+
CEILING(MOD((Y100-MAX(DATE(2023,5,1),D100))/365,1),0.25)
)
*3,
IF(J100="ردم",
K100*20,
K100*
(
DATEDIF(MAX(DATE(2023,5,1),D100),Y100,"m")+1
)
*
_xlfn.SWITCH(J100,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100" s="1">
        <f t="shared" ca="1" si="9"/>
        <v>55</v>
      </c>
    </row>
    <row r="101" spans="1:30" s="80" customFormat="1" ht="19.5" thickBot="1" x14ac:dyDescent="0.3">
      <c r="A101" s="46">
        <v>100</v>
      </c>
      <c r="B101" s="6">
        <v>14</v>
      </c>
      <c r="C101" s="6">
        <v>2015</v>
      </c>
      <c r="D101" s="7">
        <v>42045</v>
      </c>
      <c r="E101" s="12" t="s">
        <v>182</v>
      </c>
      <c r="F101" s="6"/>
      <c r="G101" s="6" t="s">
        <v>160</v>
      </c>
      <c r="H101" s="3"/>
      <c r="I101" s="6" t="s">
        <v>190</v>
      </c>
      <c r="J101" s="3" t="s">
        <v>27</v>
      </c>
      <c r="K101" s="6">
        <v>40</v>
      </c>
      <c r="L101" s="3" t="s">
        <v>191</v>
      </c>
      <c r="M101" s="7"/>
      <c r="N101" s="6"/>
      <c r="O101" s="9">
        <f>0.47*Table2[[#This Row],[قيمة المحضر]]</f>
        <v>0</v>
      </c>
      <c r="P101" s="9">
        <f>0.17*Table2[[#This Row],[قيمة المحضر]]</f>
        <v>0</v>
      </c>
      <c r="Q101" s="9">
        <f t="shared" ca="1" si="13"/>
        <v>10120</v>
      </c>
      <c r="R101" s="3"/>
      <c r="S101" s="3"/>
      <c r="T101" s="9" t="str">
        <f t="shared" si="14"/>
        <v>-</v>
      </c>
      <c r="U101" s="3" t="s">
        <v>25</v>
      </c>
      <c r="V101" s="9" t="str">
        <f t="shared" si="15"/>
        <v>-</v>
      </c>
      <c r="W101" s="4"/>
      <c r="X101" s="38"/>
      <c r="Y101" s="1">
        <f t="shared" ca="1" si="8"/>
        <v>46162</v>
      </c>
      <c r="Z101" s="1" cm="1">
        <f t="array" aca="1" ref="Z101" ca="1">IF(D101&gt;DATE(2015,5,16),0,
K101*
(
INT((MIN(Y101,DATE(2015,5,16))-D101)/365)
+
CEILING(MOD((MIN(Y101,DATE(2015,5,16))-D101)/365,1),0.25)
)
*
_xlfn.SWITCH(J101,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80</v>
      </c>
      <c r="AA101" s="1" cm="1">
        <f t="array" aca="1" ref="AA101" ca="1">IF(Y101&lt;DATE(2015,5,17),0,
K101*
(
INT((MIN(Y101,DATE(2018,9,23))-MAX(D101,DATE(2015,5,17)))/365)
+
CEILING(MOD((MIN(Y101,DATE(2018,9,23))-MAX(D101,DATE(2015,5,17)))/365,1),0.25)
)
*
_xlfn.SWITCH(J101,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1120</v>
      </c>
      <c r="AB101" s="1" cm="1">
        <f t="array" aca="1" ref="AB101" ca="1">IF(Y101&lt;DATE(2018,9,24),0,
IF(J101="زراعة",
K101*
(
INT((MIN(Y101,DATE(2023,4,30))-MAX(D101,DATE(2018,9,24)))/365)
+
CEILING(MOD((MIN(Y101,DATE(2023,4,30))-MAX(D101,DATE(2018,9,24)))/365,1),0.25)
)
*1,
K101*
(
DATEDIF(MAX(D101,DATE(2018,9,24)),MIN(Y101,DATE(2023,4,30)),"m")+1
)
*
_xlfn.SWITCH(J101,
"موقف/تندة",IF(D101&lt;DATE(2019,11,30),6,30),
"تشوينات",IF(D101&lt;DATE(2019,11,30),4,20),
"مشاتل",IF(D101&lt;DATE(2019,11,30),2,10),
"كافيتيريا",IF(D101&lt;DATE(2019,11,30),30,150),
"نوادي",IF(D101&lt;DATE(2019,11,30),6,30),
"رسو مراكب",IF(D101&lt;DATE(2019,11,30),2,10),
"مباني",IF(D101&lt;DATE(2018,9,24),2,10),
"عشش",IF(D101&lt;DATE(2019,11,30),2,10),
"كشك (تجاري/صناعي)",IF(D101&lt;DATE(2019,11,30),10,50),
"ردم",20,
0)))</f>
        <v>4480</v>
      </c>
      <c r="AC101" s="1" cm="1">
        <f t="array" aca="1" ref="AC101" ca="1">IF(Y101&lt;DATE(2023,5,1),0,
IF(J101="زراعة",
K101*
(
INT((Y101-MAX(DATE(2023,5,1),D101))/365)
+
CEILING(MOD((Y101-MAX(DATE(2023,5,1),D101))/365,1),0.25)
)
*3,
IF(J101="ردم",
K101*20,
K101*
(
DATEDIF(MAX(DATE(2023,5,1),D101),Y101,"m")+1
)
*
_xlfn.SWITCH(J101,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101" s="1">
        <f t="shared" ca="1" si="9"/>
        <v>55</v>
      </c>
    </row>
    <row r="102" spans="1:30" s="80" customFormat="1" ht="19.5" thickBot="1" x14ac:dyDescent="0.3">
      <c r="A102" s="46">
        <v>101</v>
      </c>
      <c r="B102" s="6">
        <v>15</v>
      </c>
      <c r="C102" s="6">
        <v>2015</v>
      </c>
      <c r="D102" s="7">
        <v>42045</v>
      </c>
      <c r="E102" s="12" t="s">
        <v>183</v>
      </c>
      <c r="F102" s="6"/>
      <c r="G102" s="6" t="s">
        <v>161</v>
      </c>
      <c r="H102" s="3"/>
      <c r="I102" s="6" t="s">
        <v>190</v>
      </c>
      <c r="J102" s="3" t="s">
        <v>27</v>
      </c>
      <c r="K102" s="6">
        <v>60</v>
      </c>
      <c r="L102" s="3" t="s">
        <v>191</v>
      </c>
      <c r="M102" s="7"/>
      <c r="N102" s="6"/>
      <c r="O102" s="9">
        <f>0.47*Table2[[#This Row],[قيمة المحضر]]</f>
        <v>0</v>
      </c>
      <c r="P102" s="9">
        <f>0.17*Table2[[#This Row],[قيمة المحضر]]</f>
        <v>0</v>
      </c>
      <c r="Q102" s="9">
        <f t="shared" ca="1" si="13"/>
        <v>15180</v>
      </c>
      <c r="R102" s="3"/>
      <c r="S102" s="3"/>
      <c r="T102" s="9" t="str">
        <f t="shared" si="14"/>
        <v>-</v>
      </c>
      <c r="U102" s="3" t="s">
        <v>25</v>
      </c>
      <c r="V102" s="9" t="str">
        <f t="shared" si="15"/>
        <v>-</v>
      </c>
      <c r="W102" s="4"/>
      <c r="X102" s="38"/>
      <c r="Y102" s="1">
        <f t="shared" ca="1" si="8"/>
        <v>46162</v>
      </c>
      <c r="Z102" s="1" cm="1">
        <f t="array" aca="1" ref="Z102" ca="1">IF(D102&gt;DATE(2015,5,16),0,
K102*
(
INT((MIN(Y102,DATE(2015,5,16))-D102)/365)
+
CEILING(MOD((MIN(Y102,DATE(2015,5,16))-D102)/365,1),0.25)
)
*
_xlfn.SWITCH(J102,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120</v>
      </c>
      <c r="AA102" s="1" cm="1">
        <f t="array" aca="1" ref="AA102" ca="1">IF(Y102&lt;DATE(2015,5,17),0,
K102*
(
INT((MIN(Y102,DATE(2018,9,23))-MAX(D102,DATE(2015,5,17)))/365)
+
CEILING(MOD((MIN(Y102,DATE(2018,9,23))-MAX(D102,DATE(2015,5,17)))/365,1),0.25)
)
*
_xlfn.SWITCH(J102,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1680</v>
      </c>
      <c r="AB102" s="1" cm="1">
        <f t="array" aca="1" ref="AB102" ca="1">IF(Y102&lt;DATE(2018,9,24),0,
IF(J102="زراعة",
K102*
(
INT((MIN(Y102,DATE(2023,4,30))-MAX(D102,DATE(2018,9,24)))/365)
+
CEILING(MOD((MIN(Y102,DATE(2023,4,30))-MAX(D102,DATE(2018,9,24)))/365,1),0.25)
)
*1,
K102*
(
DATEDIF(MAX(D102,DATE(2018,9,24)),MIN(Y102,DATE(2023,4,30)),"m")+1
)
*
_xlfn.SWITCH(J102,
"موقف/تندة",IF(D102&lt;DATE(2019,11,30),6,30),
"تشوينات",IF(D102&lt;DATE(2019,11,30),4,20),
"مشاتل",IF(D102&lt;DATE(2019,11,30),2,10),
"كافيتيريا",IF(D102&lt;DATE(2019,11,30),30,150),
"نوادي",IF(D102&lt;DATE(2019,11,30),6,30),
"رسو مراكب",IF(D102&lt;DATE(2019,11,30),2,10),
"مباني",IF(D102&lt;DATE(2018,9,24),2,10),
"عشش",IF(D102&lt;DATE(2019,11,30),2,10),
"كشك (تجاري/صناعي)",IF(D102&lt;DATE(2019,11,30),10,50),
"ردم",20,
0)))</f>
        <v>6720</v>
      </c>
      <c r="AC102" s="1" cm="1">
        <f t="array" aca="1" ref="AC102" ca="1">IF(Y102&lt;DATE(2023,5,1),0,
IF(J102="زراعة",
K102*
(
INT((Y102-MAX(DATE(2023,5,1),D102))/365)
+
CEILING(MOD((Y102-MAX(DATE(2023,5,1),D102))/365,1),0.25)
)
*3,
IF(J102="ردم",
K102*20,
K102*
(
DATEDIF(MAX(DATE(2023,5,1),D102),Y102,"m")+1
)
*
_xlfn.SWITCH(J102,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102" s="1">
        <f t="shared" ca="1" si="9"/>
        <v>55</v>
      </c>
    </row>
    <row r="103" spans="1:30" s="80" customFormat="1" ht="19.5" thickBot="1" x14ac:dyDescent="0.3">
      <c r="A103" s="46">
        <v>102</v>
      </c>
      <c r="B103" s="6">
        <v>16</v>
      </c>
      <c r="C103" s="6">
        <v>2015</v>
      </c>
      <c r="D103" s="7">
        <v>42045</v>
      </c>
      <c r="E103" s="12" t="s">
        <v>184</v>
      </c>
      <c r="F103" s="6"/>
      <c r="G103" s="6" t="s">
        <v>162</v>
      </c>
      <c r="H103" s="3"/>
      <c r="I103" s="6" t="s">
        <v>190</v>
      </c>
      <c r="J103" s="3" t="s">
        <v>27</v>
      </c>
      <c r="K103" s="6">
        <v>90</v>
      </c>
      <c r="L103" s="3" t="s">
        <v>191</v>
      </c>
      <c r="M103" s="7"/>
      <c r="N103" s="6"/>
      <c r="O103" s="9">
        <f>0.47*Table2[[#This Row],[قيمة المحضر]]</f>
        <v>0</v>
      </c>
      <c r="P103" s="9">
        <f>0.17*Table2[[#This Row],[قيمة المحضر]]</f>
        <v>0</v>
      </c>
      <c r="Q103" s="9">
        <f t="shared" ca="1" si="13"/>
        <v>22770</v>
      </c>
      <c r="R103" s="3"/>
      <c r="S103" s="3"/>
      <c r="T103" s="9" t="str">
        <f t="shared" si="14"/>
        <v>-</v>
      </c>
      <c r="U103" s="3" t="s">
        <v>25</v>
      </c>
      <c r="V103" s="9" t="str">
        <f t="shared" si="15"/>
        <v>-</v>
      </c>
      <c r="W103" s="4"/>
      <c r="X103" s="38"/>
      <c r="Y103" s="1">
        <f t="shared" ca="1" si="8"/>
        <v>46162</v>
      </c>
      <c r="Z103" s="1" cm="1">
        <f t="array" aca="1" ref="Z103" ca="1">IF(D103&gt;DATE(2015,5,16),0,
K103*
(
INT((MIN(Y103,DATE(2015,5,16))-D103)/365)
+
CEILING(MOD((MIN(Y103,DATE(2015,5,16))-D103)/365,1),0.25)
)
*
_xlfn.SWITCH(J103,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180</v>
      </c>
      <c r="AA103" s="1" cm="1">
        <f t="array" aca="1" ref="AA103" ca="1">IF(Y103&lt;DATE(2015,5,17),0,
K103*
(
INT((MIN(Y103,DATE(2018,9,23))-MAX(D103,DATE(2015,5,17)))/365)
+
CEILING(MOD((MIN(Y103,DATE(2018,9,23))-MAX(D103,DATE(2015,5,17)))/365,1),0.25)
)
*
_xlfn.SWITCH(J103,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2520</v>
      </c>
      <c r="AB103" s="1" cm="1">
        <f t="array" aca="1" ref="AB103" ca="1">IF(Y103&lt;DATE(2018,9,24),0,
IF(J103="زراعة",
K103*
(
INT((MIN(Y103,DATE(2023,4,30))-MAX(D103,DATE(2018,9,24)))/365)
+
CEILING(MOD((MIN(Y103,DATE(2023,4,30))-MAX(D103,DATE(2018,9,24)))/365,1),0.25)
)
*1,
K103*
(
DATEDIF(MAX(D103,DATE(2018,9,24)),MIN(Y103,DATE(2023,4,30)),"m")+1
)
*
_xlfn.SWITCH(J103,
"موقف/تندة",IF(D103&lt;DATE(2019,11,30),6,30),
"تشوينات",IF(D103&lt;DATE(2019,11,30),4,20),
"مشاتل",IF(D103&lt;DATE(2019,11,30),2,10),
"كافيتيريا",IF(D103&lt;DATE(2019,11,30),30,150),
"نوادي",IF(D103&lt;DATE(2019,11,30),6,30),
"رسو مراكب",IF(D103&lt;DATE(2019,11,30),2,10),
"مباني",IF(D103&lt;DATE(2018,9,24),2,10),
"عشش",IF(D103&lt;DATE(2019,11,30),2,10),
"كشك (تجاري/صناعي)",IF(D103&lt;DATE(2019,11,30),10,50),
"ردم",20,
0)))</f>
        <v>10080</v>
      </c>
      <c r="AC103" s="1" cm="1">
        <f t="array" aca="1" ref="AC103" ca="1">IF(Y103&lt;DATE(2023,5,1),0,
IF(J103="زراعة",
K103*
(
INT((Y103-MAX(DATE(2023,5,1),D103))/365)
+
CEILING(MOD((Y103-MAX(DATE(2023,5,1),D103))/365,1),0.25)
)
*3,
IF(J103="ردم",
K103*20,
K103*
(
DATEDIF(MAX(DATE(2023,5,1),D103),Y103,"m")+1
)
*
_xlfn.SWITCH(J103,
"موقف/تندة",6,
"تشوينات",4,
"مشاتل",2,
"رسو مراكب",6,
"مباني",3,
"عشش",1,
"كشك (تجاري/صناعي)",20,
"مواسير صرف صحي (&lt;1م)",16,
"مواسير صرف صحي (&gt;1م)",18,
0))))</f>
        <v>9990</v>
      </c>
      <c r="AD103" s="1">
        <f t="shared" ca="1" si="9"/>
        <v>55</v>
      </c>
    </row>
    <row r="104" spans="1:30" s="80" customFormat="1" ht="19.5" thickBot="1" x14ac:dyDescent="0.3">
      <c r="A104" s="46">
        <v>103</v>
      </c>
      <c r="B104" s="6">
        <v>17</v>
      </c>
      <c r="C104" s="6">
        <v>2015</v>
      </c>
      <c r="D104" s="7">
        <v>42046</v>
      </c>
      <c r="E104" s="12" t="s">
        <v>185</v>
      </c>
      <c r="F104" s="6"/>
      <c r="G104" s="6" t="s">
        <v>163</v>
      </c>
      <c r="H104" s="6"/>
      <c r="I104" s="6" t="s">
        <v>192</v>
      </c>
      <c r="J104" s="3" t="s">
        <v>28</v>
      </c>
      <c r="K104" s="6">
        <f>15*6</f>
        <v>90</v>
      </c>
      <c r="L104" s="3" t="s">
        <v>191</v>
      </c>
      <c r="M104" s="7"/>
      <c r="N104" s="6"/>
      <c r="O104" s="9">
        <f>0.47*Table2[[#This Row],[قيمة المحضر]]</f>
        <v>0</v>
      </c>
      <c r="P104" s="9">
        <f>0.17*Table2[[#This Row],[قيمة المحضر]]</f>
        <v>0</v>
      </c>
      <c r="Q104" s="9">
        <f t="shared" ca="1" si="13"/>
        <v>14715</v>
      </c>
      <c r="R104" s="3"/>
      <c r="S104" s="3"/>
      <c r="T104" s="9" t="str">
        <f t="shared" si="14"/>
        <v>-</v>
      </c>
      <c r="U104" s="3" t="s">
        <v>25</v>
      </c>
      <c r="V104" s="9" t="str">
        <f t="shared" si="15"/>
        <v>-</v>
      </c>
      <c r="W104" s="4"/>
      <c r="X104" s="38"/>
      <c r="Y104" s="1">
        <f t="shared" ca="1" si="8"/>
        <v>46162</v>
      </c>
      <c r="Z104" s="1" cm="1">
        <f t="array" aca="1" ref="Z104" ca="1">IF(D104&gt;DATE(2015,5,16),0,
K104*
(
INT((MIN(Y104,DATE(2015,5,16))-D104)/365)
+
CEILING(MOD((MIN(Y104,DATE(2015,5,16))-D104)/365,1),0.25)
)
*
_xlfn.SWITCH(J104,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45</v>
      </c>
      <c r="AA104" s="1" cm="1">
        <f t="array" aca="1" ref="AA104" ca="1">IF(Y104&lt;DATE(2015,5,17),0,
K104*
(
INT((MIN(Y104,DATE(2018,9,23))-MAX(D104,DATE(2015,5,17)))/365)
+
CEILING(MOD((MIN(Y104,DATE(2018,9,23))-MAX(D104,DATE(2015,5,17)))/365,1),0.25)
)
*
_xlfn.SWITCH(J104,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1260</v>
      </c>
      <c r="AB104" s="1" cm="1">
        <f t="array" aca="1" ref="AB104" ca="1">IF(Y104&lt;DATE(2018,9,24),0,
IF(J104="زراعة",
K104*
(
INT((MIN(Y104,DATE(2023,4,30))-MAX(D104,DATE(2018,9,24)))/365)
+
CEILING(MOD((MIN(Y104,DATE(2023,4,30))-MAX(D104,DATE(2018,9,24)))/365,1),0.25)
)
*1,
K104*
(
DATEDIF(MAX(D104,DATE(2018,9,24)),MIN(Y104,DATE(2023,4,30)),"m")+1
)
*
_xlfn.SWITCH(J104,
"موقف/تندة",IF(D104&lt;DATE(2019,11,30),6,30),
"تشوينات",IF(D104&lt;DATE(2019,11,30),4,20),
"مشاتل",IF(D104&lt;DATE(2019,11,30),2,10),
"كافيتيريا",IF(D104&lt;DATE(2019,11,30),30,150),
"نوادي",IF(D104&lt;DATE(2019,11,30),6,30),
"رسو مراكب",IF(D104&lt;DATE(2019,11,30),2,10),
"مباني",IF(D104&lt;DATE(2018,9,24),2,10),
"عشش",IF(D104&lt;DATE(2019,11,30),2,10),
"كشك (تجاري/صناعي)",IF(D104&lt;DATE(2019,11,30),10,50),
"ردم",20,
0)))</f>
        <v>10080</v>
      </c>
      <c r="AC104" s="1" cm="1">
        <f t="array" aca="1" ref="AC104" ca="1">IF(Y104&lt;DATE(2023,5,1),0,
IF(J104="زراعة",
K104*
(
INT((Y104-MAX(DATE(2023,5,1),D104))/365)
+
CEILING(MOD((Y104-MAX(DATE(2023,5,1),D104))/365,1),0.25)
)
*3,
IF(J104="ردم",
K104*20,
K104*
(
DATEDIF(MAX(DATE(2023,5,1),D104),Y104,"m")+1
)
*
_xlfn.SWITCH(J104,
"موقف/تندة",6,
"تشوينات",4,
"مشاتل",2,
"رسو مراكب",6,
"مباني",3,
"عشش",1,
"كشك (تجاري/صناعي)",20,
"مواسير صرف صحي (&lt;1م)",16,
"مواسير صرف صحي (&gt;1م)",18,
0))))</f>
        <v>3330</v>
      </c>
      <c r="AD104" s="1">
        <f t="shared" ca="1" si="9"/>
        <v>55</v>
      </c>
    </row>
    <row r="105" spans="1:30" s="80" customFormat="1" ht="19.5" thickBot="1" x14ac:dyDescent="0.3">
      <c r="A105" s="46">
        <v>104</v>
      </c>
      <c r="B105" s="6">
        <v>18</v>
      </c>
      <c r="C105" s="6">
        <v>2015</v>
      </c>
      <c r="D105" s="18">
        <v>42142</v>
      </c>
      <c r="E105" s="12" t="s">
        <v>186</v>
      </c>
      <c r="F105" s="17"/>
      <c r="G105" s="17" t="s">
        <v>164</v>
      </c>
      <c r="H105" s="17"/>
      <c r="I105" s="17"/>
      <c r="J105" s="14" t="s">
        <v>146</v>
      </c>
      <c r="K105" s="17">
        <f>50*34</f>
        <v>1700</v>
      </c>
      <c r="L105" s="14" t="s">
        <v>90</v>
      </c>
      <c r="M105" s="18"/>
      <c r="N105" s="17"/>
      <c r="O105" s="9">
        <f>0.47*Table2[[#This Row],[قيمة المحضر]]</f>
        <v>0</v>
      </c>
      <c r="P105" s="9">
        <f>0.17*Table2[[#This Row],[قيمة المحضر]]</f>
        <v>0</v>
      </c>
      <c r="Q105" s="9">
        <f t="shared" ca="1" si="13"/>
        <v>26435</v>
      </c>
      <c r="R105" s="3"/>
      <c r="S105" s="3"/>
      <c r="T105" s="9" t="str">
        <f t="shared" si="14"/>
        <v>-</v>
      </c>
      <c r="U105" s="3" t="s">
        <v>25</v>
      </c>
      <c r="V105" s="9" t="str">
        <f t="shared" si="15"/>
        <v>-</v>
      </c>
      <c r="W105" s="4"/>
      <c r="X105" s="38"/>
      <c r="Y105" s="1">
        <f t="shared" ca="1" si="8"/>
        <v>46162</v>
      </c>
      <c r="Z105" s="1" cm="1">
        <f t="array" ref="Z105">IF(D105&gt;DATE(2015,5,16),0,
K105*
(
INT((MIN(Y105,DATE(2015,5,16))-D105)/365)
+
CEILING(MOD((MIN(Y105,DATE(2015,5,16))-D105)/365,1),0.25)
)
*
_xlfn.SWITCH(J105,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05" s="1" cm="1">
        <f t="array" aca="1" ref="AA105" ca="1">IF(Y105&lt;DATE(2015,5,17),0,
K105*
(
INT((MIN(Y105,DATE(2018,9,23))-MAX(D105,DATE(2015,5,17)))/365)
+
CEILING(MOD((MIN(Y105,DATE(2018,9,23))-MAX(D105,DATE(2015,5,17)))/365,1),0.25)
)
*
_xlfn.SWITCH(J105,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1785</v>
      </c>
      <c r="AB105" s="1" cm="1">
        <f t="array" aca="1" ref="AB105" ca="1">IF(Y105&lt;DATE(2018,9,24),0,
IF(J105="زراعة",
K105*
(
INT((MIN(Y105,DATE(2023,4,30))-MAX(D105,DATE(2018,9,24)))/365)
+
CEILING(MOD((MIN(Y105,DATE(2023,4,30))-MAX(D105,DATE(2018,9,24)))/365,1),0.25)
)
*1,
K105*
(
DATEDIF(MAX(D105,DATE(2018,9,24)),MIN(Y105,DATE(2023,4,30)),"m")+1
)
*
_xlfn.SWITCH(J105,
"موقف/تندة",IF(D105&lt;DATE(2019,11,30),6,30),
"تشوينات",IF(D105&lt;DATE(2019,11,30),4,20),
"مشاتل",IF(D105&lt;DATE(2019,11,30),2,10),
"كافيتيريا",IF(D105&lt;DATE(2019,11,30),30,150),
"نوادي",IF(D105&lt;DATE(2019,11,30),6,30),
"رسو مراكب",IF(D105&lt;DATE(2019,11,30),2,10),
"مباني",IF(D105&lt;DATE(2018,9,24),2,10),
"عشش",IF(D105&lt;DATE(2019,11,30),2,10),
"كشك (تجاري/صناعي)",IF(D105&lt;DATE(2019,11,30),10,50),
"ردم",20,
0)))</f>
        <v>8075</v>
      </c>
      <c r="AC105" s="1" cm="1">
        <f t="array" aca="1" ref="AC105" ca="1">IF(Y105&lt;DATE(2023,5,1),0,
IF(J105="زراعة",
K105*
(
INT((Y105-MAX(DATE(2023,5,1),D105))/365)
+
CEILING(MOD((Y105-MAX(DATE(2023,5,1),D105))/365,1),0.25)
)
*3,
IF(J105="ردم",
K105*20,
K105*
(
DATEDIF(MAX(DATE(2023,5,1),D105),Y105,"m")+1
)
*
_xlfn.SWITCH(J105,
"موقف/تندة",6,
"تشوينات",4,
"مشاتل",2,
"رسو مراكب",6,
"مباني",3,
"عشش",1,
"كشك (تجاري/صناعي)",20,
"مواسير صرف صحي (&lt;1م)",16,
"مواسير صرف صحي (&gt;1م)",18,
0))))</f>
        <v>16575</v>
      </c>
      <c r="AD105" s="1">
        <f t="shared" ca="1" si="9"/>
        <v>55</v>
      </c>
    </row>
    <row r="106" spans="1:30" s="80" customFormat="1" ht="19.5" thickBot="1" x14ac:dyDescent="0.3">
      <c r="A106" s="46">
        <v>104</v>
      </c>
      <c r="B106" s="6">
        <v>18</v>
      </c>
      <c r="C106" s="6">
        <v>2015</v>
      </c>
      <c r="D106" s="18">
        <v>42142</v>
      </c>
      <c r="E106" s="12" t="s">
        <v>186</v>
      </c>
      <c r="F106" s="17"/>
      <c r="G106" s="17" t="s">
        <v>164</v>
      </c>
      <c r="H106" s="17"/>
      <c r="I106" s="17"/>
      <c r="J106" s="14" t="s">
        <v>27</v>
      </c>
      <c r="K106" s="17">
        <v>24</v>
      </c>
      <c r="L106" s="14" t="s">
        <v>90</v>
      </c>
      <c r="M106" s="18"/>
      <c r="N106" s="17"/>
      <c r="O106" s="9">
        <f>0.47*Table2[[#This Row],[قيمة المحضر]]</f>
        <v>0</v>
      </c>
      <c r="P106" s="9">
        <f>0.17*Table2[[#This Row],[قيمة المحضر]]</f>
        <v>0</v>
      </c>
      <c r="Q106" s="9">
        <f t="shared" ca="1" si="13"/>
        <v>6024</v>
      </c>
      <c r="R106" s="3"/>
      <c r="S106" s="3"/>
      <c r="T106" s="9" t="str">
        <f>IF(R106="تم الحجز",Q106+O106+N107,"-")</f>
        <v>-</v>
      </c>
      <c r="U106" s="3" t="s">
        <v>25</v>
      </c>
      <c r="V106" s="9" t="str">
        <f>IF(OR(U106="قائم",U106="قائم و سدد مقابل انتفاع"),"-",
IF(U106="تم رد الشئ لأصله",P106+Q106,
IF(U106="ازالة جبرية",N107+O106+Q106,"")))</f>
        <v>-</v>
      </c>
      <c r="W106" s="4"/>
      <c r="X106" s="38"/>
      <c r="Y106" s="1">
        <f t="shared" ca="1" si="8"/>
        <v>46162</v>
      </c>
      <c r="Z106" s="1" cm="1">
        <f t="array" ref="Z106">IF(D106&gt;DATE(2015,5,16),0,
K106*
(
INT((MIN(Y106,DATE(2015,5,16))-D106)/365)
+
CEILING(MOD((MIN(Y106,DATE(2015,5,16))-D106)/365,1),0.25)
)
*
_xlfn.SWITCH(J106,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06" s="1" cm="1">
        <f t="array" aca="1" ref="AA106" ca="1">IF(Y106&lt;DATE(2015,5,17),0,
K106*
(
INT((MIN(Y106,DATE(2018,9,23))-MAX(D106,DATE(2015,5,17)))/365)
+
CEILING(MOD((MIN(Y106,DATE(2018,9,23))-MAX(D106,DATE(2015,5,17)))/365,1),0.25)
)
*
_xlfn.SWITCH(J106,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672</v>
      </c>
      <c r="AB106" s="1" cm="1">
        <f t="array" aca="1" ref="AB106" ca="1">IF(Y106&lt;DATE(2018,9,24),0,
IF(J106="زراعة",
K106*
(
INT((MIN(Y106,DATE(2023,4,30))-MAX(D106,DATE(2018,9,24)))/365)
+
CEILING(MOD((MIN(Y106,DATE(2023,4,30))-MAX(D106,DATE(2018,9,24)))/365,1),0.25)
)
*1,
K106*
(
DATEDIF(MAX(D106,DATE(2018,9,24)),MIN(Y106,DATE(2023,4,30)),"m")+1
)
*
_xlfn.SWITCH(J106,
"موقف/تندة",IF(D106&lt;DATE(2019,11,30),6,30),
"تشوينات",IF(D106&lt;DATE(2019,11,30),4,20),
"مشاتل",IF(D106&lt;DATE(2019,11,30),2,10),
"كافيتيريا",IF(D106&lt;DATE(2019,11,30),30,150),
"نوادي",IF(D106&lt;DATE(2019,11,30),6,30),
"رسو مراكب",IF(D106&lt;DATE(2019,11,30),2,10),
"مباني",IF(D106&lt;DATE(2018,9,24),2,10),
"عشش",IF(D106&lt;DATE(2019,11,30),2,10),
"كشك (تجاري/صناعي)",IF(D106&lt;DATE(2019,11,30),10,50),
"ردم",20,
0)))</f>
        <v>2688</v>
      </c>
      <c r="AC106" s="1" cm="1">
        <f t="array" aca="1" ref="AC106" ca="1">IF(Y106&lt;DATE(2023,5,1),0,
IF(J106="زراعة",
K106*
(
INT((Y106-MAX(DATE(2023,5,1),D106))/365)
+
CEILING(MOD((Y106-MAX(DATE(2023,5,1),D106))/365,1),0.25)
)
*3,
IF(J106="ردم",
K106*20,
K106*
(
DATEDIF(MAX(DATE(2023,5,1),D106),Y106,"m")+1
)
*
_xlfn.SWITCH(J106,
"موقف/تندة",6,
"تشوينات",4,
"مشاتل",2,
"رسو مراكب",6,
"مباني",3,
"عشش",1,
"كشك (تجاري/صناعي)",20,
"مواسير صرف صحي (&lt;1م)",16,
"مواسير صرف صحي (&gt;1م)",18,
0))))</f>
        <v>2664</v>
      </c>
      <c r="AD106" s="1">
        <f t="shared" ca="1" si="9"/>
        <v>55</v>
      </c>
    </row>
    <row r="107" spans="1:30" s="80" customFormat="1" ht="19.5" thickBot="1" x14ac:dyDescent="0.3">
      <c r="A107" s="46">
        <v>105</v>
      </c>
      <c r="B107" s="3">
        <v>19</v>
      </c>
      <c r="C107" s="3">
        <v>2015</v>
      </c>
      <c r="D107" s="2">
        <v>42142</v>
      </c>
      <c r="E107" s="11" t="s">
        <v>187</v>
      </c>
      <c r="F107" s="3"/>
      <c r="G107" s="3" t="s">
        <v>165</v>
      </c>
      <c r="H107" s="3"/>
      <c r="I107" s="3" t="s">
        <v>192</v>
      </c>
      <c r="J107" s="3" t="s">
        <v>27</v>
      </c>
      <c r="K107" s="3">
        <f>5*9</f>
        <v>45</v>
      </c>
      <c r="L107" s="3" t="s">
        <v>90</v>
      </c>
      <c r="M107" s="2"/>
      <c r="N107" s="3"/>
      <c r="O107" s="9">
        <f>0.47*Table2[[#This Row],[قيمة المحضر]]</f>
        <v>0</v>
      </c>
      <c r="P107" s="9">
        <f>0.17*Table2[[#This Row],[قيمة المحضر]]</f>
        <v>0</v>
      </c>
      <c r="Q107" s="9">
        <f t="shared" ca="1" si="13"/>
        <v>11295</v>
      </c>
      <c r="R107" s="3"/>
      <c r="S107" s="3"/>
      <c r="T107" s="9" t="str">
        <f>IF(R107="تم الحجز",Q107+O107+N108,"-")</f>
        <v>-</v>
      </c>
      <c r="U107" s="3" t="s">
        <v>25</v>
      </c>
      <c r="V107" s="9" t="str">
        <f>IF(OR(U107="قائم",U107="قائم و سدد مقابل انتفاع"),"-",
IF(U107="تم رد الشئ لأصله",P107+Q107,
IF(U107="ازالة جبرية",N108+O107+Q107,"")))</f>
        <v>-</v>
      </c>
      <c r="W107" s="4"/>
      <c r="X107" s="38"/>
      <c r="Y107" s="1">
        <f t="shared" ca="1" si="8"/>
        <v>46162</v>
      </c>
      <c r="Z107" s="1" cm="1">
        <f t="array" ref="Z107">IF(D107&gt;DATE(2015,5,16),0,
K107*
(
INT((MIN(Y107,DATE(2015,5,16))-D107)/365)
+
CEILING(MOD((MIN(Y107,DATE(2015,5,16))-D107)/365,1),0.25)
)
*
_xlfn.SWITCH(J107,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07" s="1" cm="1">
        <f t="array" aca="1" ref="AA107" ca="1">IF(Y107&lt;DATE(2015,5,17),0,
K107*
(
INT((MIN(Y107,DATE(2018,9,23))-MAX(D107,DATE(2015,5,17)))/365)
+
CEILING(MOD((MIN(Y107,DATE(2018,9,23))-MAX(D107,DATE(2015,5,17)))/365,1),0.25)
)
*
_xlfn.SWITCH(J107,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1260</v>
      </c>
      <c r="AB107" s="1" cm="1">
        <f t="array" aca="1" ref="AB107" ca="1">IF(Y107&lt;DATE(2018,9,24),0,
IF(J107="زراعة",
K107*
(
INT((MIN(Y107,DATE(2023,4,30))-MAX(D107,DATE(2018,9,24)))/365)
+
CEILING(MOD((MIN(Y107,DATE(2023,4,30))-MAX(D107,DATE(2018,9,24)))/365,1),0.25)
)
*1,
K107*
(
DATEDIF(MAX(D107,DATE(2018,9,24)),MIN(Y107,DATE(2023,4,30)),"m")+1
)
*
_xlfn.SWITCH(J107,
"موقف/تندة",IF(D107&lt;DATE(2019,11,30),6,30),
"تشوينات",IF(D107&lt;DATE(2019,11,30),4,20),
"مشاتل",IF(D107&lt;DATE(2019,11,30),2,10),
"كافيتيريا",IF(D107&lt;DATE(2019,11,30),30,150),
"نوادي",IF(D107&lt;DATE(2019,11,30),6,30),
"رسو مراكب",IF(D107&lt;DATE(2019,11,30),2,10),
"مباني",IF(D107&lt;DATE(2018,9,24),2,10),
"عشش",IF(D107&lt;DATE(2019,11,30),2,10),
"كشك (تجاري/صناعي)",IF(D107&lt;DATE(2019,11,30),10,50),
"ردم",20,
0)))</f>
        <v>5040</v>
      </c>
      <c r="AC107" s="1" cm="1">
        <f t="array" aca="1" ref="AC107" ca="1">IF(Y107&lt;DATE(2023,5,1),0,
IF(J107="زراعة",
K107*
(
INT((Y107-MAX(DATE(2023,5,1),D107))/365)
+
CEILING(MOD((Y107-MAX(DATE(2023,5,1),D107))/365,1),0.25)
)
*3,
IF(J107="ردم",
K107*20,
K107*
(
DATEDIF(MAX(DATE(2023,5,1),D107),Y107,"m")+1
)
*
_xlfn.SWITCH(J107,
"موقف/تندة",6,
"تشوينات",4,
"مشاتل",2,
"رسو مراكب",6,
"مباني",3,
"عشش",1,
"كشك (تجاري/صناعي)",20,
"مواسير صرف صحي (&lt;1م)",16,
"مواسير صرف صحي (&gt;1م)",18,
0))))</f>
        <v>4995</v>
      </c>
      <c r="AD107" s="1">
        <f t="shared" ca="1" si="9"/>
        <v>55</v>
      </c>
    </row>
    <row r="108" spans="1:30" s="80" customFormat="1" ht="19.5" thickBot="1" x14ac:dyDescent="0.3">
      <c r="A108" s="46">
        <v>106</v>
      </c>
      <c r="B108" s="14">
        <v>20</v>
      </c>
      <c r="C108" s="14">
        <v>2015</v>
      </c>
      <c r="D108" s="15">
        <v>42149</v>
      </c>
      <c r="E108" s="19" t="s">
        <v>188</v>
      </c>
      <c r="F108" s="14"/>
      <c r="G108" s="14" t="s">
        <v>166</v>
      </c>
      <c r="H108" s="14"/>
      <c r="I108" s="14"/>
      <c r="J108" s="14" t="s">
        <v>27</v>
      </c>
      <c r="K108" s="14">
        <v>9</v>
      </c>
      <c r="L108" s="14" t="s">
        <v>90</v>
      </c>
      <c r="M108" s="15"/>
      <c r="N108" s="14"/>
      <c r="O108" s="9">
        <f>0.47*Table2[[#This Row],[قيمة المحضر]]</f>
        <v>0</v>
      </c>
      <c r="P108" s="9">
        <f>0.17*Table2[[#This Row],[قيمة المحضر]]</f>
        <v>0</v>
      </c>
      <c r="Q108" s="9">
        <f t="shared" ca="1" si="13"/>
        <v>2259</v>
      </c>
      <c r="R108" s="3"/>
      <c r="S108" s="3"/>
      <c r="T108" s="9" t="str">
        <f>IF(R108="تم الحجز",Q108+O108+N110,"-")</f>
        <v>-</v>
      </c>
      <c r="U108" s="3" t="s">
        <v>25</v>
      </c>
      <c r="V108" s="9" t="str">
        <f>IF(OR(U108="قائم",U108="قائم و سدد مقابل انتفاع"),"-",
IF(U108="تم رد الشئ لأصله",P108+Q108,
IF(U108="ازالة جبرية",N110+O108+Q108,"")))</f>
        <v>-</v>
      </c>
      <c r="W108" s="4"/>
      <c r="X108" s="38"/>
      <c r="Y108" s="1">
        <f t="shared" ca="1" si="8"/>
        <v>46162</v>
      </c>
      <c r="Z108" s="1" cm="1">
        <f t="array" ref="Z108">IF(D108&gt;DATE(2015,5,16),0,
K108*
(
INT((MIN(Y108,DATE(2015,5,16))-D108)/365)
+
CEILING(MOD((MIN(Y108,DATE(2015,5,16))-D108)/365,1),0.25)
)
*
_xlfn.SWITCH(J108,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08" s="1" cm="1">
        <f t="array" aca="1" ref="AA108" ca="1">IF(Y108&lt;DATE(2015,5,17),0,
K108*
(
INT((MIN(Y108,DATE(2018,9,23))-MAX(D108,DATE(2015,5,17)))/365)
+
CEILING(MOD((MIN(Y108,DATE(2018,9,23))-MAX(D108,DATE(2015,5,17)))/365,1),0.25)
)
*
_xlfn.SWITCH(J108,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252</v>
      </c>
      <c r="AB108" s="1" cm="1">
        <f t="array" aca="1" ref="AB108" ca="1">IF(Y108&lt;DATE(2018,9,24),0,
IF(J108="زراعة",
K108*
(
INT((MIN(Y108,DATE(2023,4,30))-MAX(D108,DATE(2018,9,24)))/365)
+
CEILING(MOD((MIN(Y108,DATE(2023,4,30))-MAX(D108,DATE(2018,9,24)))/365,1),0.25)
)
*1,
K108*
(
DATEDIF(MAX(D108,DATE(2018,9,24)),MIN(Y108,DATE(2023,4,30)),"m")+1
)
*
_xlfn.SWITCH(J108,
"موقف/تندة",IF(D108&lt;DATE(2019,11,30),6,30),
"تشوينات",IF(D108&lt;DATE(2019,11,30),4,20),
"مشاتل",IF(D108&lt;DATE(2019,11,30),2,10),
"كافيتيريا",IF(D108&lt;DATE(2019,11,30),30,150),
"نوادي",IF(D108&lt;DATE(2019,11,30),6,30),
"رسو مراكب",IF(D108&lt;DATE(2019,11,30),2,10),
"مباني",IF(D108&lt;DATE(2018,9,24),2,10),
"عشش",IF(D108&lt;DATE(2019,11,30),2,10),
"كشك (تجاري/صناعي)",IF(D108&lt;DATE(2019,11,30),10,50),
"ردم",20,
0)))</f>
        <v>1008</v>
      </c>
      <c r="AC108" s="1" cm="1">
        <f t="array" aca="1" ref="AC108" ca="1">IF(Y108&lt;DATE(2023,5,1),0,
IF(J108="زراعة",
K108*
(
INT((Y108-MAX(DATE(2023,5,1),D108))/365)
+
CEILING(MOD((Y108-MAX(DATE(2023,5,1),D108))/365,1),0.25)
)
*3,
IF(J108="ردم",
K108*20,
K108*
(
DATEDIF(MAX(DATE(2023,5,1),D108),Y108,"m")+1
)
*
_xlfn.SWITCH(J108,
"موقف/تندة",6,
"تشوينات",4,
"مشاتل",2,
"رسو مراكب",6,
"مباني",3,
"عشش",1,
"كشك (تجاري/صناعي)",20,
"مواسير صرف صحي (&lt;1م)",16,
"مواسير صرف صحي (&gt;1م)",18,
0))))</f>
        <v>999</v>
      </c>
      <c r="AD108" s="1">
        <f t="shared" ca="1" si="9"/>
        <v>55</v>
      </c>
    </row>
    <row r="109" spans="1:30" s="80" customFormat="1" ht="19.5" thickBot="1" x14ac:dyDescent="0.3">
      <c r="A109" s="46">
        <v>106</v>
      </c>
      <c r="B109" s="14">
        <v>20</v>
      </c>
      <c r="C109" s="14">
        <v>2015</v>
      </c>
      <c r="D109" s="15">
        <v>42149</v>
      </c>
      <c r="E109" s="19" t="s">
        <v>188</v>
      </c>
      <c r="F109" s="14"/>
      <c r="G109" s="14" t="s">
        <v>166</v>
      </c>
      <c r="H109" s="14"/>
      <c r="I109" s="14"/>
      <c r="J109" s="14" t="s">
        <v>29</v>
      </c>
      <c r="K109" s="14">
        <v>9</v>
      </c>
      <c r="L109" s="14" t="s">
        <v>90</v>
      </c>
      <c r="M109" s="15"/>
      <c r="N109" s="14"/>
      <c r="O109" s="9">
        <f>0.47*Table2[[#This Row],[قيمة المحضر]]</f>
        <v>0</v>
      </c>
      <c r="P109" s="9">
        <f>0.17*Table2[[#This Row],[قيمة المحضر]]</f>
        <v>0</v>
      </c>
      <c r="Q109" s="9">
        <f t="shared" ca="1" si="13"/>
        <v>15480</v>
      </c>
      <c r="R109" s="3"/>
      <c r="S109" s="3"/>
      <c r="T109" s="9" t="str">
        <f>IF(R109="تم الحجز",Q109+O109+N112,"-")</f>
        <v>-</v>
      </c>
      <c r="U109" s="3" t="s">
        <v>25</v>
      </c>
      <c r="V109" s="9" t="str">
        <f>IF(OR(U109="قائم",U109="قائم و سدد مقابل انتفاع"),"-",
IF(U109="تم رد الشئ لأصله",P109+Q109,
IF(U109="ازالة جبرية",N112+O109+Q109,"")))</f>
        <v>-</v>
      </c>
      <c r="W109" s="4"/>
      <c r="X109" s="38"/>
      <c r="Y109" s="1">
        <f t="shared" ca="1" si="8"/>
        <v>46162</v>
      </c>
      <c r="Z109" s="1" cm="1">
        <f t="array" ref="Z109">IF(D109&gt;DATE(2015,5,16),0,
K109*
(
INT((MIN(Y109,DATE(2015,5,16))-D109)/365)
+
CEILING(MOD((MIN(Y109,DATE(2015,5,16))-D109)/365,1),0.25)
)
*
_xlfn.SWITCH(J109,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09" s="1" cm="1">
        <f t="array" aca="1" ref="AA109" ca="1">IF(Y109&lt;DATE(2015,5,17),0,
K109*
(
INT((MIN(Y109,DATE(2018,9,23))-MAX(D109,DATE(2015,5,17)))/365)
+
CEILING(MOD((MIN(Y109,DATE(2018,9,23))-MAX(D109,DATE(2015,5,17)))/365,1),0.25)
)
*
_xlfn.SWITCH(J109,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3780</v>
      </c>
      <c r="AB109" s="1" cm="1">
        <f t="array" aca="1" ref="AB109" ca="1">IF(Y109&lt;DATE(2018,9,24),0,
IF(J109="زراعة",
K109*
(
INT((MIN(Y109,DATE(2023,4,30))-MAX(D109,DATE(2018,9,24)))/365)
+
CEILING(MOD((MIN(Y109,DATE(2023,4,30))-MAX(D109,DATE(2018,9,24)))/365,1),0.25)
)
*1,
K109*
(
DATEDIF(MAX(D109,DATE(2018,9,24)),MIN(Y109,DATE(2023,4,30)),"m")+1
)
*
_xlfn.SWITCH(J109,
"موقف/تندة",IF(D109&lt;DATE(2019,11,30),6,30),
"تشوينات",IF(D109&lt;DATE(2019,11,30),4,20),
"مشاتل",IF(D109&lt;DATE(2019,11,30),2,10),
"كافيتيريا",IF(D109&lt;DATE(2019,11,30),30,150),
"نوادي",IF(D109&lt;DATE(2019,11,30),6,30),
"رسو مراكب",IF(D109&lt;DATE(2019,11,30),2,10),
"مباني",IF(D109&lt;DATE(2018,9,24),2,10),
"عشش",IF(D109&lt;DATE(2019,11,30),2,10),
"كشك (تجاري/صناعي)",IF(D109&lt;DATE(2019,11,30),10,50),
"ردم",20,
0)))</f>
        <v>5040</v>
      </c>
      <c r="AC109" s="1" cm="1">
        <f t="array" aca="1" ref="AC109" ca="1">IF(Y109&lt;DATE(2023,5,1),0,
IF(J109="زراعة",
K109*
(
INT((Y109-MAX(DATE(2023,5,1),D109))/365)
+
CEILING(MOD((Y109-MAX(DATE(2023,5,1),D109))/365,1),0.25)
)
*3,
IF(J109="ردم",
K109*20,
K109*
(
DATEDIF(MAX(DATE(2023,5,1),D109),Y109,"m")+1
)
*
_xlfn.SWITCH(J109,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109" s="1">
        <f t="shared" ca="1" si="9"/>
        <v>55</v>
      </c>
    </row>
    <row r="110" spans="1:30" s="80" customFormat="1" ht="19.5" thickBot="1" x14ac:dyDescent="0.3">
      <c r="A110" s="46">
        <v>107</v>
      </c>
      <c r="B110" s="14">
        <v>21</v>
      </c>
      <c r="C110" s="14">
        <v>2015</v>
      </c>
      <c r="D110" s="15">
        <v>42159</v>
      </c>
      <c r="E110" s="19"/>
      <c r="F110" s="14"/>
      <c r="G110" s="14" t="s">
        <v>167</v>
      </c>
      <c r="H110" s="14"/>
      <c r="I110" s="14" t="s">
        <v>193</v>
      </c>
      <c r="J110" s="14" t="s">
        <v>194</v>
      </c>
      <c r="K110" s="14"/>
      <c r="L110" s="14" t="s">
        <v>196</v>
      </c>
      <c r="M110" s="15"/>
      <c r="N110" s="14"/>
      <c r="O110" s="9">
        <f>0.47*Table2[[#This Row],[قيمة المحضر]]</f>
        <v>0</v>
      </c>
      <c r="P110" s="9">
        <f>0.17*Table2[[#This Row],[قيمة المحضر]]</f>
        <v>0</v>
      </c>
      <c r="Q110" s="9">
        <f t="shared" ca="1" si="13"/>
        <v>0</v>
      </c>
      <c r="R110" s="3"/>
      <c r="S110" s="3"/>
      <c r="T110" s="9" t="str">
        <f>IF(R110="تم الحجز",Q110+O110+N113,"-")</f>
        <v>-</v>
      </c>
      <c r="U110" s="3" t="s">
        <v>25</v>
      </c>
      <c r="V110" s="9" t="str">
        <f>IF(OR(U110="قائم",U110="قائم و سدد مقابل انتفاع"),"-",
IF(U110="تم رد الشئ لأصله",P110+Q110,
IF(U110="ازالة جبرية",N113+O110+Q110,"")))</f>
        <v>-</v>
      </c>
      <c r="W110" s="4"/>
      <c r="X110" s="38"/>
      <c r="Y110" s="1">
        <f t="shared" ca="1" si="8"/>
        <v>46162</v>
      </c>
      <c r="Z110" s="1" cm="1">
        <f t="array" ref="Z110">IF(D110&gt;DATE(2015,5,16),0,
K110*
(
INT((MIN(Y110,DATE(2015,5,16))-D110)/365)
+
CEILING(MOD((MIN(Y110,DATE(2015,5,16))-D110)/365,1),0.25)
)
*
_xlfn.SWITCH(J110,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10" s="1" cm="1">
        <f t="array" aca="1" ref="AA110" ca="1">IF(Y110&lt;DATE(2015,5,17),0,
K110*
(
INT((MIN(Y110,DATE(2018,9,23))-MAX(D110,DATE(2015,5,17)))/365)
+
CEILING(MOD((MIN(Y110,DATE(2018,9,23))-MAX(D110,DATE(2015,5,17)))/365,1),0.25)
)
*
_xlfn.SWITCH(J110,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110" s="1" cm="1">
        <f t="array" aca="1" ref="AB110" ca="1">IF(Y110&lt;DATE(2018,9,24),0,
IF(J110="زراعة",
K110*
(
INT((MIN(Y110,DATE(2023,4,30))-MAX(D110,DATE(2018,9,24)))/365)
+
CEILING(MOD((MIN(Y110,DATE(2023,4,30))-MAX(D110,DATE(2018,9,24)))/365,1),0.25)
)
*1,
K110*
(
DATEDIF(MAX(D110,DATE(2018,9,24)),MIN(Y110,DATE(2023,4,30)),"m")+1
)
*
_xlfn.SWITCH(J110,
"موقف/تندة",IF(D110&lt;DATE(2019,11,30),6,30),
"تشوينات",IF(D110&lt;DATE(2019,11,30),4,20),
"مشاتل",IF(D110&lt;DATE(2019,11,30),2,10),
"كافيتيريا",IF(D110&lt;DATE(2019,11,30),30,150),
"نوادي",IF(D110&lt;DATE(2019,11,30),6,30),
"رسو مراكب",IF(D110&lt;DATE(2019,11,30),2,10),
"مباني",IF(D110&lt;DATE(2018,9,24),2,10),
"عشش",IF(D110&lt;DATE(2019,11,30),2,10),
"كشك (تجاري/صناعي)",IF(D110&lt;DATE(2019,11,30),10,50),
"ردم",20,
0)))</f>
        <v>0</v>
      </c>
      <c r="AC110" s="1" cm="1">
        <f t="array" aca="1" ref="AC110" ca="1">IF(Y110&lt;DATE(2023,5,1),0,
IF(J110="زراعة",
K110*
(
INT((Y110-MAX(DATE(2023,5,1),D110))/365)
+
CEILING(MOD((Y110-MAX(DATE(2023,5,1),D110))/365,1),0.25)
)
*3,
IF(J110="ردم",
K110*20,
K110*
(
DATEDIF(MAX(DATE(2023,5,1),D110),Y110,"m")+1
)
*
_xlfn.SWITCH(J110,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110" s="1">
        <f t="shared" ca="1" si="9"/>
        <v>55</v>
      </c>
    </row>
    <row r="111" spans="1:30" s="80" customFormat="1" ht="19.5" thickBot="1" x14ac:dyDescent="0.3">
      <c r="A111" s="46">
        <v>107</v>
      </c>
      <c r="B111" s="14">
        <v>21</v>
      </c>
      <c r="C111" s="14">
        <v>2015</v>
      </c>
      <c r="D111" s="15">
        <v>42159</v>
      </c>
      <c r="E111" s="19"/>
      <c r="F111" s="14"/>
      <c r="G111" s="14" t="s">
        <v>167</v>
      </c>
      <c r="H111" s="14"/>
      <c r="I111" s="14" t="s">
        <v>193</v>
      </c>
      <c r="J111" s="14" t="s">
        <v>195</v>
      </c>
      <c r="K111" s="14"/>
      <c r="L111" s="14" t="s">
        <v>196</v>
      </c>
      <c r="M111" s="15"/>
      <c r="N111" s="14"/>
      <c r="O111" s="9">
        <f>0.47*Table2[[#This Row],[قيمة المحضر]]</f>
        <v>0</v>
      </c>
      <c r="P111" s="9">
        <f>0.17*Table2[[#This Row],[قيمة المحضر]]</f>
        <v>0</v>
      </c>
      <c r="Q111" s="9">
        <f t="shared" ca="1" si="13"/>
        <v>0</v>
      </c>
      <c r="R111" s="3"/>
      <c r="S111" s="3"/>
      <c r="T111" s="9" t="str">
        <f>IF(R111="تم الحجز",Q111+O111+N114,"-")</f>
        <v>-</v>
      </c>
      <c r="U111" s="3" t="s">
        <v>25</v>
      </c>
      <c r="V111" s="9" t="str">
        <f>IF(OR(U111="قائم",U111="قائم و سدد مقابل انتفاع"),"-",
IF(U111="تم رد الشئ لأصله",P111+Q111,
IF(U111="ازالة جبرية",N114+O111+Q111,"")))</f>
        <v>-</v>
      </c>
      <c r="W111" s="4"/>
      <c r="X111" s="38"/>
      <c r="Y111" s="1">
        <f t="shared" ca="1" si="8"/>
        <v>46162</v>
      </c>
      <c r="Z111" s="1" cm="1">
        <f t="array" ref="Z111">IF(D111&gt;DATE(2015,5,16),0,
K111*
(
INT((MIN(Y111,DATE(2015,5,16))-D111)/365)
+
CEILING(MOD((MIN(Y111,DATE(2015,5,16))-D111)/365,1),0.25)
)
*
_xlfn.SWITCH(J111,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11" s="1" cm="1">
        <f t="array" aca="1" ref="AA111" ca="1">IF(Y111&lt;DATE(2015,5,17),0,
K111*
(
INT((MIN(Y111,DATE(2018,9,23))-MAX(D111,DATE(2015,5,17)))/365)
+
CEILING(MOD((MIN(Y111,DATE(2018,9,23))-MAX(D111,DATE(2015,5,17)))/365,1),0.25)
)
*
_xlfn.SWITCH(J111,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111" s="1" cm="1">
        <f t="array" aca="1" ref="AB111" ca="1">IF(Y111&lt;DATE(2018,9,24),0,
IF(J111="زراعة",
K111*
(
INT((MIN(Y111,DATE(2023,4,30))-MAX(D111,DATE(2018,9,24)))/365)
+
CEILING(MOD((MIN(Y111,DATE(2023,4,30))-MAX(D111,DATE(2018,9,24)))/365,1),0.25)
)
*1,
K111*
(
DATEDIF(MAX(D111,DATE(2018,9,24)),MIN(Y111,DATE(2023,4,30)),"m")+1
)
*
_xlfn.SWITCH(J111,
"موقف/تندة",IF(D111&lt;DATE(2019,11,30),6,30),
"تشوينات",IF(D111&lt;DATE(2019,11,30),4,20),
"مشاتل",IF(D111&lt;DATE(2019,11,30),2,10),
"كافيتيريا",IF(D111&lt;DATE(2019,11,30),30,150),
"نوادي",IF(D111&lt;DATE(2019,11,30),6,30),
"رسو مراكب",IF(D111&lt;DATE(2019,11,30),2,10),
"مباني",IF(D111&lt;DATE(2018,9,24),2,10),
"عشش",IF(D111&lt;DATE(2019,11,30),2,10),
"كشك (تجاري/صناعي)",IF(D111&lt;DATE(2019,11,30),10,50),
"ردم",20,
0)))</f>
        <v>0</v>
      </c>
      <c r="AC111" s="1" cm="1">
        <f t="array" aca="1" ref="AC111" ca="1">IF(Y111&lt;DATE(2023,5,1),0,
IF(J111="زراعة",
K111*
(
INT((Y111-MAX(DATE(2023,5,1),D111))/365)
+
CEILING(MOD((Y111-MAX(DATE(2023,5,1),D111))/365,1),0.25)
)
*3,
IF(J111="ردم",
K111*20,
K111*
(
DATEDIF(MAX(DATE(2023,5,1),D111),Y111,"m")+1
)
*
_xlfn.SWITCH(J111,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111" s="1">
        <f t="shared" ca="1" si="9"/>
        <v>55</v>
      </c>
    </row>
    <row r="112" spans="1:30" s="80" customFormat="1" ht="19.5" thickBot="1" x14ac:dyDescent="0.3">
      <c r="A112" s="46">
        <v>108</v>
      </c>
      <c r="B112" s="3">
        <v>22</v>
      </c>
      <c r="C112" s="3">
        <v>2015</v>
      </c>
      <c r="D112" s="2">
        <v>42219</v>
      </c>
      <c r="E112" s="11"/>
      <c r="F112" s="3"/>
      <c r="G112" s="3" t="s">
        <v>168</v>
      </c>
      <c r="H112" s="3"/>
      <c r="I112" s="3" t="s">
        <v>193</v>
      </c>
      <c r="J112" s="3" t="s">
        <v>197</v>
      </c>
      <c r="K112" s="3"/>
      <c r="L112" s="3" t="s">
        <v>196</v>
      </c>
      <c r="M112" s="2"/>
      <c r="N112" s="3"/>
      <c r="O112" s="9">
        <f>0.47*Table2[[#This Row],[قيمة المحضر]]</f>
        <v>0</v>
      </c>
      <c r="P112" s="9">
        <f>0.17*Table2[[#This Row],[قيمة المحضر]]</f>
        <v>0</v>
      </c>
      <c r="Q112" s="9">
        <f t="shared" ca="1" si="13"/>
        <v>0</v>
      </c>
      <c r="R112" s="3"/>
      <c r="S112" s="3"/>
      <c r="T112" s="9" t="str">
        <f>IF(R112="تم الحجز",Q112+O112+N115,"-")</f>
        <v>-</v>
      </c>
      <c r="U112" s="3" t="s">
        <v>25</v>
      </c>
      <c r="V112" s="9" t="str">
        <f>IF(OR(U112="قائم",U112="قائم و سدد مقابل انتفاع"),"-",
IF(U112="تم رد الشئ لأصله",P112+Q112,
IF(U112="ازالة جبرية",N115+O112+Q112,"")))</f>
        <v>-</v>
      </c>
      <c r="W112" s="4"/>
      <c r="X112" s="38"/>
      <c r="Y112" s="1">
        <f t="shared" ca="1" si="8"/>
        <v>46162</v>
      </c>
      <c r="Z112" s="1" cm="1">
        <f t="array" ref="Z112">IF(D112&gt;DATE(2015,5,16),0,
K112*
(
INT((MIN(Y112,DATE(2015,5,16))-D112)/365)
+
CEILING(MOD((MIN(Y112,DATE(2015,5,16))-D112)/365,1),0.25)
)
*
_xlfn.SWITCH(J112,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12" s="1" cm="1">
        <f t="array" aca="1" ref="AA112" ca="1">IF(Y112&lt;DATE(2015,5,17),0,
K112*
(
INT((MIN(Y112,DATE(2018,9,23))-MAX(D112,DATE(2015,5,17)))/365)
+
CEILING(MOD((MIN(Y112,DATE(2018,9,23))-MAX(D112,DATE(2015,5,17)))/365,1),0.25)
)
*
_xlfn.SWITCH(J112,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112" s="1" cm="1">
        <f t="array" aca="1" ref="AB112" ca="1">IF(Y112&lt;DATE(2018,9,24),0,
IF(J112="زراعة",
K112*
(
INT((MIN(Y112,DATE(2023,4,30))-MAX(D112,DATE(2018,9,24)))/365)
+
CEILING(MOD((MIN(Y112,DATE(2023,4,30))-MAX(D112,DATE(2018,9,24)))/365,1),0.25)
)
*1,
K112*
(
DATEDIF(MAX(D112,DATE(2018,9,24)),MIN(Y112,DATE(2023,4,30)),"m")+1
)
*
_xlfn.SWITCH(J112,
"موقف/تندة",IF(D112&lt;DATE(2019,11,30),6,30),
"تشوينات",IF(D112&lt;DATE(2019,11,30),4,20),
"مشاتل",IF(D112&lt;DATE(2019,11,30),2,10),
"كافيتيريا",IF(D112&lt;DATE(2019,11,30),30,150),
"نوادي",IF(D112&lt;DATE(2019,11,30),6,30),
"رسو مراكب",IF(D112&lt;DATE(2019,11,30),2,10),
"مباني",IF(D112&lt;DATE(2018,9,24),2,10),
"عشش",IF(D112&lt;DATE(2019,11,30),2,10),
"كشك (تجاري/صناعي)",IF(D112&lt;DATE(2019,11,30),10,50),
"ردم",20,
0)))</f>
        <v>0</v>
      </c>
      <c r="AC112" s="1" cm="1">
        <f t="array" aca="1" ref="AC112" ca="1">IF(Y112&lt;DATE(2023,5,1),0,
IF(J112="زراعة",
K112*
(
INT((Y112-MAX(DATE(2023,5,1),D112))/365)
+
CEILING(MOD((Y112-MAX(DATE(2023,5,1),D112))/365,1),0.25)
)
*3,
IF(J112="ردم",
K112*20,
K112*
(
DATEDIF(MAX(DATE(2023,5,1),D112),Y112,"m")+1
)
*
_xlfn.SWITCH(J112,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112" s="1">
        <f t="shared" ca="1" si="9"/>
        <v>55</v>
      </c>
    </row>
    <row r="113" spans="1:30" s="80" customFormat="1" ht="19.5" thickBot="1" x14ac:dyDescent="0.3">
      <c r="A113" s="46">
        <v>109</v>
      </c>
      <c r="B113" s="3">
        <v>23</v>
      </c>
      <c r="C113" s="3">
        <v>2015</v>
      </c>
      <c r="D113" s="2">
        <v>42255</v>
      </c>
      <c r="E113" s="11"/>
      <c r="F113" s="3"/>
      <c r="G113" s="3" t="s">
        <v>169</v>
      </c>
      <c r="H113" s="3"/>
      <c r="I113" s="3" t="s">
        <v>144</v>
      </c>
      <c r="J113" s="3" t="s">
        <v>27</v>
      </c>
      <c r="K113" s="3">
        <v>22.5</v>
      </c>
      <c r="L113" s="3" t="s">
        <v>90</v>
      </c>
      <c r="M113" s="2"/>
      <c r="N113" s="3"/>
      <c r="O113" s="9">
        <f>0.47*Table2[[#This Row],[قيمة المحضر]]</f>
        <v>0</v>
      </c>
      <c r="P113" s="9">
        <f>0.17*Table2[[#This Row],[قيمة المحضر]]</f>
        <v>0</v>
      </c>
      <c r="Q113" s="9">
        <f t="shared" ca="1" si="13"/>
        <v>5602.5</v>
      </c>
      <c r="R113" s="3"/>
      <c r="S113" s="3"/>
      <c r="T113" s="9" t="str">
        <f>IF(R113="تم الحجز",Q113+O113+#REF!,"-")</f>
        <v>-</v>
      </c>
      <c r="U113" s="3" t="s">
        <v>25</v>
      </c>
      <c r="V113" s="9" t="str">
        <f>IF(OR(U113="قائم",U113="قائم و سدد مقابل انتفاع"),"-",
IF(U113="تم رد الشئ لأصله",P113+Q113,
IF(U113="ازالة جبرية",#REF!+O113+Q113,"")))</f>
        <v>-</v>
      </c>
      <c r="W113" s="4"/>
      <c r="X113" s="38"/>
      <c r="Y113" s="1">
        <f t="shared" ca="1" si="8"/>
        <v>46162</v>
      </c>
      <c r="Z113" s="1" cm="1">
        <f t="array" ref="Z113">IF(D113&gt;DATE(2015,5,16),0,
K113*
(
INT((MIN(Y113,DATE(2015,5,16))-D113)/365)
+
CEILING(MOD((MIN(Y113,DATE(2015,5,16))-D113)/365,1),0.25)
)
*
_xlfn.SWITCH(J113,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13" s="1" cm="1">
        <f t="array" aca="1" ref="AA113" ca="1">IF(Y113&lt;DATE(2015,5,17),0,
K113*
(
INT((MIN(Y113,DATE(2018,9,23))-MAX(D113,DATE(2015,5,17)))/365)
+
CEILING(MOD((MIN(Y113,DATE(2018,9,23))-MAX(D113,DATE(2015,5,17)))/365,1),0.25)
)
*
_xlfn.SWITCH(J113,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585</v>
      </c>
      <c r="AB113" s="1" cm="1">
        <f t="array" aca="1" ref="AB113" ca="1">IF(Y113&lt;DATE(2018,9,24),0,
IF(J113="زراعة",
K113*
(
INT((MIN(Y113,DATE(2023,4,30))-MAX(D113,DATE(2018,9,24)))/365)
+
CEILING(MOD((MIN(Y113,DATE(2023,4,30))-MAX(D113,DATE(2018,9,24)))/365,1),0.25)
)
*1,
K113*
(
DATEDIF(MAX(D113,DATE(2018,9,24)),MIN(Y113,DATE(2023,4,30)),"m")+1
)
*
_xlfn.SWITCH(J113,
"موقف/تندة",IF(D113&lt;DATE(2019,11,30),6,30),
"تشوينات",IF(D113&lt;DATE(2019,11,30),4,20),
"مشاتل",IF(D113&lt;DATE(2019,11,30),2,10),
"كافيتيريا",IF(D113&lt;DATE(2019,11,30),30,150),
"نوادي",IF(D113&lt;DATE(2019,11,30),6,30),
"رسو مراكب",IF(D113&lt;DATE(2019,11,30),2,10),
"مباني",IF(D113&lt;DATE(2018,9,24),2,10),
"عشش",IF(D113&lt;DATE(2019,11,30),2,10),
"كشك (تجاري/صناعي)",IF(D113&lt;DATE(2019,11,30),10,50),
"ردم",20,
0)))</f>
        <v>2520</v>
      </c>
      <c r="AC113" s="1" cm="1">
        <f t="array" aca="1" ref="AC113" ca="1">IF(Y113&lt;DATE(2023,5,1),0,
IF(J113="زراعة",
K113*
(
INT((Y113-MAX(DATE(2023,5,1),D113))/365)
+
CEILING(MOD((Y113-MAX(DATE(2023,5,1),D113))/365,1),0.25)
)
*3,
IF(J113="ردم",
K113*20,
K113*
(
DATEDIF(MAX(DATE(2023,5,1),D113),Y113,"m")+1
)
*
_xlfn.SWITCH(J113,
"موقف/تندة",6,
"تشوينات",4,
"مشاتل",2,
"رسو مراكب",6,
"مباني",3,
"عشش",1,
"كشك (تجاري/صناعي)",20,
"مواسير صرف صحي (&lt;1م)",16,
"مواسير صرف صحي (&gt;1م)",18,
0))))</f>
        <v>2497.5</v>
      </c>
      <c r="AD113" s="1">
        <f t="shared" ca="1" si="9"/>
        <v>55</v>
      </c>
    </row>
    <row r="114" spans="1:30" s="80" customFormat="1" ht="19.5" thickBot="1" x14ac:dyDescent="0.3">
      <c r="A114" s="46">
        <v>110</v>
      </c>
      <c r="B114" s="3">
        <v>24</v>
      </c>
      <c r="C114" s="3">
        <v>2015</v>
      </c>
      <c r="D114" s="2">
        <v>42255</v>
      </c>
      <c r="E114" s="11" t="s">
        <v>189</v>
      </c>
      <c r="F114" s="3"/>
      <c r="G114" s="3" t="s">
        <v>170</v>
      </c>
      <c r="H114" s="3"/>
      <c r="I114" s="3" t="s">
        <v>144</v>
      </c>
      <c r="J114" s="3" t="s">
        <v>28</v>
      </c>
      <c r="K114" s="3">
        <v>9</v>
      </c>
      <c r="L114" s="3" t="s">
        <v>90</v>
      </c>
      <c r="M114" s="2"/>
      <c r="N114" s="3"/>
      <c r="O114" s="9">
        <f>0.47*Table2[[#This Row],[قيمة المحضر]]</f>
        <v>0</v>
      </c>
      <c r="P114" s="9">
        <f>0.17*Table2[[#This Row],[قيمة المحضر]]</f>
        <v>0</v>
      </c>
      <c r="Q114" s="9">
        <f t="shared" ca="1" si="13"/>
        <v>1458</v>
      </c>
      <c r="R114" s="3"/>
      <c r="S114" s="3"/>
      <c r="T114" s="9" t="str">
        <f>IF(R114="تم الحجز",Q114+O114+#REF!,"-")</f>
        <v>-</v>
      </c>
      <c r="U114" s="3" t="s">
        <v>25</v>
      </c>
      <c r="V114" s="9" t="str">
        <f>IF(OR(U114="قائم",U114="قائم و سدد مقابل انتفاع"),"-",
IF(U114="تم رد الشئ لأصله",P114+Q114,
IF(U114="ازالة جبرية",#REF!+O114+Q114,"")))</f>
        <v>-</v>
      </c>
      <c r="W114" s="4"/>
      <c r="X114" s="38"/>
      <c r="Y114" s="1">
        <f t="shared" ca="1" si="8"/>
        <v>46162</v>
      </c>
      <c r="Z114" s="1" cm="1">
        <f t="array" ref="Z114">IF(D114&gt;DATE(2015,5,16),0,
K114*
(
INT((MIN(Y114,DATE(2015,5,16))-D114)/365)
+
CEILING(MOD((MIN(Y114,DATE(2015,5,16))-D114)/365,1),0.25)
)
*
_xlfn.SWITCH(J114,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14" s="1" cm="1">
        <f t="array" aca="1" ref="AA114" ca="1">IF(Y114&lt;DATE(2015,5,17),0,
K114*
(
INT((MIN(Y114,DATE(2018,9,23))-MAX(D114,DATE(2015,5,17)))/365)
+
CEILING(MOD((MIN(Y114,DATE(2018,9,23))-MAX(D114,DATE(2015,5,17)))/365,1),0.25)
)
*
_xlfn.SWITCH(J114,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117</v>
      </c>
      <c r="AB114" s="1" cm="1">
        <f t="array" aca="1" ref="AB114" ca="1">IF(Y114&lt;DATE(2018,9,24),0,
IF(J114="زراعة",
K114*
(
INT((MIN(Y114,DATE(2023,4,30))-MAX(D114,DATE(2018,9,24)))/365)
+
CEILING(MOD((MIN(Y114,DATE(2023,4,30))-MAX(D114,DATE(2018,9,24)))/365,1),0.25)
)
*1,
K114*
(
DATEDIF(MAX(D114,DATE(2018,9,24)),MIN(Y114,DATE(2023,4,30)),"m")+1
)
*
_xlfn.SWITCH(J114,
"موقف/تندة",IF(D114&lt;DATE(2019,11,30),6,30),
"تشوينات",IF(D114&lt;DATE(2019,11,30),4,20),
"مشاتل",IF(D114&lt;DATE(2019,11,30),2,10),
"كافيتيريا",IF(D114&lt;DATE(2019,11,30),30,150),
"نوادي",IF(D114&lt;DATE(2019,11,30),6,30),
"رسو مراكب",IF(D114&lt;DATE(2019,11,30),2,10),
"مباني",IF(D114&lt;DATE(2018,9,24),2,10),
"عشش",IF(D114&lt;DATE(2019,11,30),2,10),
"كشك (تجاري/صناعي)",IF(D114&lt;DATE(2019,11,30),10,50),
"ردم",20,
0)))</f>
        <v>1008</v>
      </c>
      <c r="AC114" s="1" cm="1">
        <f t="array" aca="1" ref="AC114" ca="1">IF(Y114&lt;DATE(2023,5,1),0,
IF(J114="زراعة",
K114*
(
INT((Y114-MAX(DATE(2023,5,1),D114))/365)
+
CEILING(MOD((Y114-MAX(DATE(2023,5,1),D114))/365,1),0.25)
)
*3,
IF(J114="ردم",
K114*20,
K114*
(
DATEDIF(MAX(DATE(2023,5,1),D114),Y114,"m")+1
)
*
_xlfn.SWITCH(J114,
"موقف/تندة",6,
"تشوينات",4,
"مشاتل",2,
"رسو مراكب",6,
"مباني",3,
"عشش",1,
"كشك (تجاري/صناعي)",20,
"مواسير صرف صحي (&lt;1م)",16,
"مواسير صرف صحي (&gt;1م)",18,
0))))</f>
        <v>333</v>
      </c>
      <c r="AD114" s="1">
        <f t="shared" ca="1" si="9"/>
        <v>55</v>
      </c>
    </row>
    <row r="115" spans="1:30" s="80" customFormat="1" ht="19.5" thickBot="1" x14ac:dyDescent="0.3">
      <c r="A115" s="46">
        <v>111</v>
      </c>
      <c r="B115" s="6">
        <v>25</v>
      </c>
      <c r="C115" s="6">
        <v>2015</v>
      </c>
      <c r="D115" s="7">
        <v>42255</v>
      </c>
      <c r="E115" s="12"/>
      <c r="F115" s="6"/>
      <c r="G115" s="6" t="s">
        <v>171</v>
      </c>
      <c r="H115" s="6"/>
      <c r="I115" s="6" t="s">
        <v>144</v>
      </c>
      <c r="J115" s="3" t="s">
        <v>28</v>
      </c>
      <c r="K115" s="6">
        <v>16</v>
      </c>
      <c r="L115" s="3" t="s">
        <v>90</v>
      </c>
      <c r="M115" s="7"/>
      <c r="N115" s="6"/>
      <c r="O115" s="9">
        <f>0.47*Table2[[#This Row],[قيمة المحضر]]</f>
        <v>0</v>
      </c>
      <c r="P115" s="9">
        <f>0.17*Table2[[#This Row],[قيمة المحضر]]</f>
        <v>0</v>
      </c>
      <c r="Q115" s="9">
        <f t="shared" ca="1" si="13"/>
        <v>2592</v>
      </c>
      <c r="R115" s="3"/>
      <c r="S115" s="3"/>
      <c r="T115" s="9" t="str">
        <f>IF(R115="تم الحجز",Q115+O115+#REF!,"-")</f>
        <v>-</v>
      </c>
      <c r="U115" s="3" t="s">
        <v>25</v>
      </c>
      <c r="V115" s="9" t="str">
        <f>IF(OR(U115="قائم",U115="قائم و سدد مقابل انتفاع"),"-",
IF(U115="تم رد الشئ لأصله",P115+Q115,
IF(U115="ازالة جبرية",#REF!+O115+Q115,"")))</f>
        <v>-</v>
      </c>
      <c r="W115" s="4"/>
      <c r="X115" s="38"/>
      <c r="Y115" s="1">
        <f t="shared" ca="1" si="8"/>
        <v>46162</v>
      </c>
      <c r="Z115" s="1" cm="1">
        <f t="array" ref="Z115">IF(D115&gt;DATE(2015,5,16),0,
K115*
(
INT((MIN(Y115,DATE(2015,5,16))-D115)/365)
+
CEILING(MOD((MIN(Y115,DATE(2015,5,16))-D115)/365,1),0.25)
)
*
_xlfn.SWITCH(J115,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15" s="1" cm="1">
        <f t="array" aca="1" ref="AA115" ca="1">IF(Y115&lt;DATE(2015,5,17),0,
K115*
(
INT((MIN(Y115,DATE(2018,9,23))-MAX(D115,DATE(2015,5,17)))/365)
+
CEILING(MOD((MIN(Y115,DATE(2018,9,23))-MAX(D115,DATE(2015,5,17)))/365,1),0.25)
)
*
_xlfn.SWITCH(J115,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208</v>
      </c>
      <c r="AB115" s="1" cm="1">
        <f t="array" aca="1" ref="AB115" ca="1">IF(Y115&lt;DATE(2018,9,24),0,
IF(J115="زراعة",
K115*
(
INT((MIN(Y115,DATE(2023,4,30))-MAX(D115,DATE(2018,9,24)))/365)
+
CEILING(MOD((MIN(Y115,DATE(2023,4,30))-MAX(D115,DATE(2018,9,24)))/365,1),0.25)
)
*1,
K115*
(
DATEDIF(MAX(D115,DATE(2018,9,24)),MIN(Y115,DATE(2023,4,30)),"m")+1
)
*
_xlfn.SWITCH(J115,
"موقف/تندة",IF(D115&lt;DATE(2019,11,30),6,30),
"تشوينات",IF(D115&lt;DATE(2019,11,30),4,20),
"مشاتل",IF(D115&lt;DATE(2019,11,30),2,10),
"كافيتيريا",IF(D115&lt;DATE(2019,11,30),30,150),
"نوادي",IF(D115&lt;DATE(2019,11,30),6,30),
"رسو مراكب",IF(D115&lt;DATE(2019,11,30),2,10),
"مباني",IF(D115&lt;DATE(2018,9,24),2,10),
"عشش",IF(D115&lt;DATE(2019,11,30),2,10),
"كشك (تجاري/صناعي)",IF(D115&lt;DATE(2019,11,30),10,50),
"ردم",20,
0)))</f>
        <v>1792</v>
      </c>
      <c r="AC115" s="1" cm="1">
        <f t="array" aca="1" ref="AC115" ca="1">IF(Y115&lt;DATE(2023,5,1),0,
IF(J115="زراعة",
K115*
(
INT((Y115-MAX(DATE(2023,5,1),D115))/365)
+
CEILING(MOD((Y115-MAX(DATE(2023,5,1),D115))/365,1),0.25)
)
*3,
IF(J115="ردم",
K115*20,
K115*
(
DATEDIF(MAX(DATE(2023,5,1),D115),Y115,"m")+1
)
*
_xlfn.SWITCH(J115,
"موقف/تندة",6,
"تشوينات",4,
"مشاتل",2,
"رسو مراكب",6,
"مباني",3,
"عشش",1,
"كشك (تجاري/صناعي)",20,
"مواسير صرف صحي (&lt;1م)",16,
"مواسير صرف صحي (&gt;1م)",18,
0))))</f>
        <v>592</v>
      </c>
      <c r="AD115" s="1">
        <f t="shared" ca="1" si="9"/>
        <v>55</v>
      </c>
    </row>
    <row r="116" spans="1:30" s="80" customFormat="1" ht="19.5" thickBot="1" x14ac:dyDescent="0.3">
      <c r="A116" s="46">
        <v>111</v>
      </c>
      <c r="B116" s="40">
        <v>25</v>
      </c>
      <c r="C116" s="40">
        <v>2015</v>
      </c>
      <c r="D116" s="41">
        <v>42255</v>
      </c>
      <c r="E116" s="42"/>
      <c r="F116" s="40"/>
      <c r="G116" s="40" t="s">
        <v>171</v>
      </c>
      <c r="H116" s="40"/>
      <c r="I116" s="40" t="s">
        <v>144</v>
      </c>
      <c r="J116" s="40" t="s">
        <v>77</v>
      </c>
      <c r="K116" s="40">
        <v>2</v>
      </c>
      <c r="L116" s="40" t="s">
        <v>90</v>
      </c>
      <c r="M116" s="41"/>
      <c r="N116" s="40"/>
      <c r="O116" s="43">
        <f>0.47*Table2[[#This Row],[قيمة المحضر]]</f>
        <v>0</v>
      </c>
      <c r="P116" s="43">
        <f>0.17*Table2[[#This Row],[قيمة المحضر]]</f>
        <v>0</v>
      </c>
      <c r="Q116" s="43">
        <f t="shared" ca="1" si="13"/>
        <v>2410</v>
      </c>
      <c r="R116" s="40"/>
      <c r="S116" s="40"/>
      <c r="T116" s="43" t="str">
        <f t="shared" si="14"/>
        <v>-</v>
      </c>
      <c r="U116" s="40" t="s">
        <v>25</v>
      </c>
      <c r="V116" s="43" t="str">
        <f t="shared" si="15"/>
        <v>-</v>
      </c>
      <c r="W116" s="44"/>
      <c r="X116" s="45"/>
      <c r="Y116" s="1">
        <f t="shared" ca="1" si="8"/>
        <v>46162</v>
      </c>
      <c r="Z116" s="1" cm="1">
        <f t="array" ref="Z116">IF(D116&gt;DATE(2015,5,16),0,
K116*
(
INT((MIN(Y116,DATE(2015,5,16))-D116)/365)
+
CEILING(MOD((MIN(Y116,DATE(2015,5,16))-D116)/365,1),0.25)
)
*
_xlfn.SWITCH(J116,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16" s="1" cm="1">
        <f t="array" aca="1" ref="AA116" ca="1">IF(Y116&lt;DATE(2015,5,17),0,
K116*
(
INT((MIN(Y116,DATE(2018,9,23))-MAX(D116,DATE(2015,5,17)))/365)
+
CEILING(MOD((MIN(Y116,DATE(2018,9,23))-MAX(D116,DATE(2015,5,17)))/365,1),0.25)
)
*
_xlfn.SWITCH(J116,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130</v>
      </c>
      <c r="AB116" s="1" cm="1">
        <f t="array" aca="1" ref="AB116" ca="1">IF(Y116&lt;DATE(2018,9,24),0,
IF(J116="زراعة",
K116*
(
INT((MIN(Y116,DATE(2023,4,30))-MAX(D116,DATE(2018,9,24)))/365)
+
CEILING(MOD((MIN(Y116,DATE(2023,4,30))-MAX(D116,DATE(2018,9,24)))/365,1),0.25)
)
*1,
K116*
(
DATEDIF(MAX(D116,DATE(2018,9,24)),MIN(Y116,DATE(2023,4,30)),"m")+1
)
*
_xlfn.SWITCH(J116,
"موقف/تندة",IF(D116&lt;DATE(2019,11,30),6,30),
"تشوينات",IF(D116&lt;DATE(2019,11,30),4,20),
"مشاتل",IF(D116&lt;DATE(2019,11,30),2,10),
"كافيتيريا",IF(D116&lt;DATE(2019,11,30),30,150),
"نوادي",IF(D116&lt;DATE(2019,11,30),6,30),
"رسو مراكب",IF(D116&lt;DATE(2019,11,30),2,10),
"مباني",IF(D116&lt;DATE(2018,9,24),2,10),
"عشش",IF(D116&lt;DATE(2019,11,30),2,10),
"كشك (تجاري/صناعي)",IF(D116&lt;DATE(2019,11,30),10,50),
"ردم",20,
0)))</f>
        <v>2240</v>
      </c>
      <c r="AC116" s="1" cm="1">
        <f t="array" aca="1" ref="AC116" ca="1">IF(Y116&lt;DATE(2023,5,1),0,
IF(J116="زراعة",
K116*
(
INT((Y116-MAX(DATE(2023,5,1),D116))/365)
+
CEILING(MOD((Y116-MAX(DATE(2023,5,1),D116))/365,1),0.25)
)
*3,
IF(J116="ردم",
K116*20,
K116*
(
DATEDIF(MAX(DATE(2023,5,1),D116),Y116,"m")+1
)
*
_xlfn.SWITCH(J116,
"موقف/تندة",6,
"تشوينات",4,
"مشاتل",2,
"رسو مراكب",6,
"مباني",3,
"عشش",1,
"كشك (تجاري/صناعي)",20,
"مواسير صرف صحي (&lt;1م)",16,
"مواسير صرف صحي (&gt;1م)",18,
0))))</f>
        <v>40</v>
      </c>
      <c r="AD116" s="1">
        <f t="shared" ca="1" si="9"/>
        <v>55</v>
      </c>
    </row>
    <row r="117" spans="1:30" s="80" customFormat="1" ht="18.75" x14ac:dyDescent="0.25">
      <c r="A117" s="51">
        <v>112</v>
      </c>
      <c r="B117" s="25">
        <v>1</v>
      </c>
      <c r="C117" s="6">
        <v>2016</v>
      </c>
      <c r="D117" s="26">
        <v>42372</v>
      </c>
      <c r="E117" s="27" t="s">
        <v>212</v>
      </c>
      <c r="F117" s="25"/>
      <c r="G117" s="25" t="s">
        <v>198</v>
      </c>
      <c r="H117" s="25"/>
      <c r="I117" s="25" t="s">
        <v>210</v>
      </c>
      <c r="J117" s="5" t="s">
        <v>77</v>
      </c>
      <c r="K117" s="25">
        <v>60</v>
      </c>
      <c r="L117" s="5" t="s">
        <v>88</v>
      </c>
      <c r="M117" s="26"/>
      <c r="N117" s="25"/>
      <c r="O117" s="28">
        <f>0.47*Table2[[#This Row],[قيمة المحضر]]</f>
        <v>0</v>
      </c>
      <c r="P117" s="28">
        <f>0.17*Table2[[#This Row],[قيمة المحضر]]</f>
        <v>0</v>
      </c>
      <c r="Q117" s="28">
        <f t="shared" ca="1" si="13"/>
        <v>71700</v>
      </c>
      <c r="R117" s="5"/>
      <c r="S117" s="5"/>
      <c r="T117" s="28" t="str">
        <f t="shared" si="14"/>
        <v>-</v>
      </c>
      <c r="U117" s="5" t="s">
        <v>25</v>
      </c>
      <c r="V117" s="28" t="str">
        <f t="shared" si="15"/>
        <v>-</v>
      </c>
      <c r="W117" s="29"/>
      <c r="X117" s="38"/>
      <c r="Y117" s="1">
        <f t="shared" ca="1" si="8"/>
        <v>46162</v>
      </c>
      <c r="Z117" s="1" cm="1">
        <f t="array" ref="Z117">IF(D117&gt;DATE(2015,5,16),0,
K117*
(
INT((MIN(Y117,DATE(2015,5,16))-D117)/365)
+
CEILING(MOD((MIN(Y117,DATE(2015,5,16))-D117)/365,1),0.25)
)
*
_xlfn.SWITCH(J117,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17" s="1" cm="1">
        <f t="array" aca="1" ref="AA117" ca="1">IF(Y117&lt;DATE(2015,5,17),0,
K117*
(
INT((MIN(Y117,DATE(2018,9,23))-MAX(D117,DATE(2015,5,17)))/365)
+
CEILING(MOD((MIN(Y117,DATE(2018,9,23))-MAX(D117,DATE(2015,5,17)))/365,1),0.25)
)
*
_xlfn.SWITCH(J117,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3300</v>
      </c>
      <c r="AB117" s="1" cm="1">
        <f t="array" aca="1" ref="AB117" ca="1">IF(Y117&lt;DATE(2018,9,24),0,
IF(J117="زراعة",
K117*
(
INT((MIN(Y117,DATE(2023,4,30))-MAX(D117,DATE(2018,9,24)))/365)
+
CEILING(MOD((MIN(Y117,DATE(2023,4,30))-MAX(D117,DATE(2018,9,24)))/365,1),0.25)
)
*1,
K117*
(
DATEDIF(MAX(D117,DATE(2018,9,24)),MIN(Y117,DATE(2023,4,30)),"m")+1
)
*
_xlfn.SWITCH(J117,
"موقف/تندة",IF(D117&lt;DATE(2019,11,30),6,30),
"تشوينات",IF(D117&lt;DATE(2019,11,30),4,20),
"مشاتل",IF(D117&lt;DATE(2019,11,30),2,10),
"كافيتيريا",IF(D117&lt;DATE(2019,11,30),30,150),
"نوادي",IF(D117&lt;DATE(2019,11,30),6,30),
"رسو مراكب",IF(D117&lt;DATE(2019,11,30),2,10),
"مباني",IF(D117&lt;DATE(2018,9,24),2,10),
"عشش",IF(D117&lt;DATE(2019,11,30),2,10),
"كشك (تجاري/صناعي)",IF(D117&lt;DATE(2019,11,30),10,50),
"ردم",20,
0)))</f>
        <v>67200</v>
      </c>
      <c r="AC117" s="1" cm="1">
        <f t="array" aca="1" ref="AC117" ca="1">IF(Y117&lt;DATE(2023,5,1),0,
IF(J117="زراعة",
K117*
(
INT((Y117-MAX(DATE(2023,5,1),D117))/365)
+
CEILING(MOD((Y117-MAX(DATE(2023,5,1),D117))/365,1),0.25)
)
*3,
IF(J117="ردم",
K117*20,
K117*
(
DATEDIF(MAX(DATE(2023,5,1),D117),Y117,"m")+1
)
*
_xlfn.SWITCH(J117,
"موقف/تندة",6,
"تشوينات",4,
"مشاتل",2,
"رسو مراكب",6,
"مباني",3,
"عشش",1,
"كشك (تجاري/صناعي)",20,
"مواسير صرف صحي (&lt;1م)",16,
"مواسير صرف صحي (&gt;1م)",18,
0))))</f>
        <v>1200</v>
      </c>
      <c r="AD117" s="1">
        <f t="shared" ca="1" si="9"/>
        <v>55</v>
      </c>
    </row>
    <row r="118" spans="1:30" s="80" customFormat="1" ht="19.5" thickBot="1" x14ac:dyDescent="0.3">
      <c r="A118" s="52">
        <v>112</v>
      </c>
      <c r="B118" s="6">
        <v>1</v>
      </c>
      <c r="C118" s="3">
        <v>2016</v>
      </c>
      <c r="D118" s="41">
        <v>42372</v>
      </c>
      <c r="E118" s="12" t="s">
        <v>212</v>
      </c>
      <c r="F118" s="6"/>
      <c r="G118" s="6" t="s">
        <v>198</v>
      </c>
      <c r="H118" s="6"/>
      <c r="I118" s="6" t="s">
        <v>210</v>
      </c>
      <c r="J118" s="3" t="s">
        <v>146</v>
      </c>
      <c r="K118" s="6">
        <v>60</v>
      </c>
      <c r="L118" s="5" t="s">
        <v>88</v>
      </c>
      <c r="M118" s="7"/>
      <c r="N118" s="6"/>
      <c r="O118" s="9">
        <f>0.47*Table2[[#This Row],[قيمة المحضر]]</f>
        <v>0</v>
      </c>
      <c r="P118" s="9">
        <f>0.17*Table2[[#This Row],[قيمة المحضر]]</f>
        <v>0</v>
      </c>
      <c r="Q118" s="9">
        <f t="shared" ca="1" si="13"/>
        <v>919.5</v>
      </c>
      <c r="R118" s="3"/>
      <c r="S118" s="3"/>
      <c r="T118" s="9" t="str">
        <f t="shared" si="14"/>
        <v>-</v>
      </c>
      <c r="U118" s="3" t="s">
        <v>25</v>
      </c>
      <c r="V118" s="9" t="str">
        <f t="shared" si="15"/>
        <v>-</v>
      </c>
      <c r="W118" s="4"/>
      <c r="X118" s="38"/>
      <c r="Y118" s="1">
        <f t="shared" ca="1" si="8"/>
        <v>46162</v>
      </c>
      <c r="Z118" s="1" cm="1">
        <f t="array" ref="Z118">IF(D118&gt;DATE(2015,5,16),0,
K118*
(
INT((MIN(Y118,DATE(2015,5,16))-D118)/365)
+
CEILING(MOD((MIN(Y118,DATE(2015,5,16))-D118)/365,1),0.25)
)
*
_xlfn.SWITCH(J118,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18" s="1" cm="1">
        <f t="array" aca="1" ref="AA118" ca="1">IF(Y118&lt;DATE(2015,5,17),0,
K118*
(
INT((MIN(Y118,DATE(2018,9,23))-MAX(D118,DATE(2015,5,17)))/365)
+
CEILING(MOD((MIN(Y118,DATE(2018,9,23))-MAX(D118,DATE(2015,5,17)))/365,1),0.25)
)
*
_xlfn.SWITCH(J118,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49.5</v>
      </c>
      <c r="AB118" s="1" cm="1">
        <f t="array" aca="1" ref="AB118" ca="1">IF(Y118&lt;DATE(2018,9,24),0,
IF(J118="زراعة",
K118*
(
INT((MIN(Y118,DATE(2023,4,30))-MAX(D118,DATE(2018,9,24)))/365)
+
CEILING(MOD((MIN(Y118,DATE(2023,4,30))-MAX(D118,DATE(2018,9,24)))/365,1),0.25)
)
*1,
K118*
(
DATEDIF(MAX(D118,DATE(2018,9,24)),MIN(Y118,DATE(2023,4,30)),"m")+1
)
*
_xlfn.SWITCH(J118,
"موقف/تندة",IF(D118&lt;DATE(2019,11,30),6,30),
"تشوينات",IF(D118&lt;DATE(2019,11,30),4,20),
"مشاتل",IF(D118&lt;DATE(2019,11,30),2,10),
"كافيتيريا",IF(D118&lt;DATE(2019,11,30),30,150),
"نوادي",IF(D118&lt;DATE(2019,11,30),6,30),
"رسو مراكب",IF(D118&lt;DATE(2019,11,30),2,10),
"مباني",IF(D118&lt;DATE(2018,9,24),2,10),
"عشش",IF(D118&lt;DATE(2019,11,30),2,10),
"كشك (تجاري/صناعي)",IF(D118&lt;DATE(2019,11,30),10,50),
"ردم",20,
0)))</f>
        <v>285</v>
      </c>
      <c r="AC118" s="1" cm="1">
        <f t="array" aca="1" ref="AC118" ca="1">IF(Y118&lt;DATE(2023,5,1),0,
IF(J118="زراعة",
K118*
(
INT((Y118-MAX(DATE(2023,5,1),D118))/365)
+
CEILING(MOD((Y118-MAX(DATE(2023,5,1),D118))/365,1),0.25)
)
*3,
IF(J118="ردم",
K118*20,
K118*
(
DATEDIF(MAX(DATE(2023,5,1),D118),Y118,"m")+1
)
*
_xlfn.SWITCH(J118,
"موقف/تندة",6,
"تشوينات",4,
"مشاتل",2,
"رسو مراكب",6,
"مباني",3,
"عشش",1,
"كشك (تجاري/صناعي)",20,
"مواسير صرف صحي (&lt;1م)",16,
"مواسير صرف صحي (&gt;1م)",18,
0))))</f>
        <v>585</v>
      </c>
      <c r="AD118" s="1">
        <f t="shared" ca="1" si="9"/>
        <v>55</v>
      </c>
    </row>
    <row r="119" spans="1:30" s="80" customFormat="1" ht="19.5" thickBot="1" x14ac:dyDescent="0.3">
      <c r="A119" s="52">
        <v>113</v>
      </c>
      <c r="B119" s="6">
        <v>2</v>
      </c>
      <c r="C119" s="3">
        <v>2016</v>
      </c>
      <c r="D119" s="41">
        <v>42372</v>
      </c>
      <c r="E119" s="12" t="s">
        <v>213</v>
      </c>
      <c r="F119" s="6"/>
      <c r="G119" s="6" t="s">
        <v>199</v>
      </c>
      <c r="H119" s="6"/>
      <c r="I119" s="6" t="s">
        <v>210</v>
      </c>
      <c r="J119" s="5" t="s">
        <v>77</v>
      </c>
      <c r="K119" s="6">
        <v>60</v>
      </c>
      <c r="L119" s="5" t="s">
        <v>88</v>
      </c>
      <c r="M119" s="7"/>
      <c r="N119" s="6"/>
      <c r="O119" s="9">
        <f>0.47*Table2[[#This Row],[قيمة المحضر]]</f>
        <v>0</v>
      </c>
      <c r="P119" s="9">
        <f>0.17*Table2[[#This Row],[قيمة المحضر]]</f>
        <v>0</v>
      </c>
      <c r="Q119" s="9">
        <f t="shared" ca="1" si="13"/>
        <v>71700</v>
      </c>
      <c r="R119" s="3"/>
      <c r="S119" s="3"/>
      <c r="T119" s="9" t="str">
        <f t="shared" si="14"/>
        <v>-</v>
      </c>
      <c r="U119" s="3" t="s">
        <v>25</v>
      </c>
      <c r="V119" s="9" t="str">
        <f t="shared" si="15"/>
        <v>-</v>
      </c>
      <c r="W119" s="4"/>
      <c r="X119" s="38"/>
      <c r="Y119" s="1">
        <f t="shared" ca="1" si="8"/>
        <v>46162</v>
      </c>
      <c r="Z119" s="1" cm="1">
        <f t="array" ref="Z119">IF(D119&gt;DATE(2015,5,16),0,
K119*
(
INT((MIN(Y119,DATE(2015,5,16))-D119)/365)
+
CEILING(MOD((MIN(Y119,DATE(2015,5,16))-D119)/365,1),0.25)
)
*
_xlfn.SWITCH(J119,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19" s="1" cm="1">
        <f t="array" aca="1" ref="AA119" ca="1">IF(Y119&lt;DATE(2015,5,17),0,
K119*
(
INT((MIN(Y119,DATE(2018,9,23))-MAX(D119,DATE(2015,5,17)))/365)
+
CEILING(MOD((MIN(Y119,DATE(2018,9,23))-MAX(D119,DATE(2015,5,17)))/365,1),0.25)
)
*
_xlfn.SWITCH(J119,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3300</v>
      </c>
      <c r="AB119" s="1" cm="1">
        <f t="array" aca="1" ref="AB119" ca="1">IF(Y119&lt;DATE(2018,9,24),0,
IF(J119="زراعة",
K119*
(
INT((MIN(Y119,DATE(2023,4,30))-MAX(D119,DATE(2018,9,24)))/365)
+
CEILING(MOD((MIN(Y119,DATE(2023,4,30))-MAX(D119,DATE(2018,9,24)))/365,1),0.25)
)
*1,
K119*
(
DATEDIF(MAX(D119,DATE(2018,9,24)),MIN(Y119,DATE(2023,4,30)),"m")+1
)
*
_xlfn.SWITCH(J119,
"موقف/تندة",IF(D119&lt;DATE(2019,11,30),6,30),
"تشوينات",IF(D119&lt;DATE(2019,11,30),4,20),
"مشاتل",IF(D119&lt;DATE(2019,11,30),2,10),
"كافيتيريا",IF(D119&lt;DATE(2019,11,30),30,150),
"نوادي",IF(D119&lt;DATE(2019,11,30),6,30),
"رسو مراكب",IF(D119&lt;DATE(2019,11,30),2,10),
"مباني",IF(D119&lt;DATE(2018,9,24),2,10),
"عشش",IF(D119&lt;DATE(2019,11,30),2,10),
"كشك (تجاري/صناعي)",IF(D119&lt;DATE(2019,11,30),10,50),
"ردم",20,
0)))</f>
        <v>67200</v>
      </c>
      <c r="AC119" s="1" cm="1">
        <f t="array" aca="1" ref="AC119" ca="1">IF(Y119&lt;DATE(2023,5,1),0,
IF(J119="زراعة",
K119*
(
INT((Y119-MAX(DATE(2023,5,1),D119))/365)
+
CEILING(MOD((Y119-MAX(DATE(2023,5,1),D119))/365,1),0.25)
)
*3,
IF(J119="ردم",
K119*20,
K119*
(
DATEDIF(MAX(DATE(2023,5,1),D119),Y119,"m")+1
)
*
_xlfn.SWITCH(J119,
"موقف/تندة",6,
"تشوينات",4,
"مشاتل",2,
"رسو مراكب",6,
"مباني",3,
"عشش",1,
"كشك (تجاري/صناعي)",20,
"مواسير صرف صحي (&lt;1م)",16,
"مواسير صرف صحي (&gt;1م)",18,
0))))</f>
        <v>1200</v>
      </c>
      <c r="AD119" s="1">
        <f t="shared" ca="1" si="9"/>
        <v>55</v>
      </c>
    </row>
    <row r="120" spans="1:30" s="80" customFormat="1" ht="19.5" thickBot="1" x14ac:dyDescent="0.3">
      <c r="A120" s="52">
        <v>113</v>
      </c>
      <c r="B120" s="6">
        <v>2</v>
      </c>
      <c r="C120" s="3">
        <v>2016</v>
      </c>
      <c r="D120" s="41">
        <v>42372</v>
      </c>
      <c r="E120" s="12" t="s">
        <v>213</v>
      </c>
      <c r="F120" s="6"/>
      <c r="G120" s="6" t="s">
        <v>199</v>
      </c>
      <c r="H120" s="6"/>
      <c r="I120" s="6" t="s">
        <v>210</v>
      </c>
      <c r="J120" s="3" t="s">
        <v>146</v>
      </c>
      <c r="K120" s="6">
        <v>60</v>
      </c>
      <c r="L120" s="5" t="s">
        <v>88</v>
      </c>
      <c r="M120" s="7"/>
      <c r="N120" s="6"/>
      <c r="O120" s="9">
        <f>0.47*Table2[[#This Row],[قيمة المحضر]]</f>
        <v>0</v>
      </c>
      <c r="P120" s="9">
        <f>0.17*Table2[[#This Row],[قيمة المحضر]]</f>
        <v>0</v>
      </c>
      <c r="Q120" s="9">
        <f t="shared" ca="1" si="13"/>
        <v>919.5</v>
      </c>
      <c r="R120" s="3"/>
      <c r="S120" s="3"/>
      <c r="T120" s="9" t="str">
        <f t="shared" si="14"/>
        <v>-</v>
      </c>
      <c r="U120" s="3" t="s">
        <v>25</v>
      </c>
      <c r="V120" s="9" t="str">
        <f t="shared" si="15"/>
        <v>-</v>
      </c>
      <c r="W120" s="4"/>
      <c r="X120" s="38"/>
      <c r="Y120" s="1">
        <f t="shared" ca="1" si="8"/>
        <v>46162</v>
      </c>
      <c r="Z120" s="1" cm="1">
        <f t="array" ref="Z120">IF(D120&gt;DATE(2015,5,16),0,
K120*
(
INT((MIN(Y120,DATE(2015,5,16))-D120)/365)
+
CEILING(MOD((MIN(Y120,DATE(2015,5,16))-D120)/365,1),0.25)
)
*
_xlfn.SWITCH(J120,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20" s="1" cm="1">
        <f t="array" aca="1" ref="AA120" ca="1">IF(Y120&lt;DATE(2015,5,17),0,
K120*
(
INT((MIN(Y120,DATE(2018,9,23))-MAX(D120,DATE(2015,5,17)))/365)
+
CEILING(MOD((MIN(Y120,DATE(2018,9,23))-MAX(D120,DATE(2015,5,17)))/365,1),0.25)
)
*
_xlfn.SWITCH(J120,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49.5</v>
      </c>
      <c r="AB120" s="1" cm="1">
        <f t="array" aca="1" ref="AB120" ca="1">IF(Y120&lt;DATE(2018,9,24),0,
IF(J120="زراعة",
K120*
(
INT((MIN(Y120,DATE(2023,4,30))-MAX(D120,DATE(2018,9,24)))/365)
+
CEILING(MOD((MIN(Y120,DATE(2023,4,30))-MAX(D120,DATE(2018,9,24)))/365,1),0.25)
)
*1,
K120*
(
DATEDIF(MAX(D120,DATE(2018,9,24)),MIN(Y120,DATE(2023,4,30)),"m")+1
)
*
_xlfn.SWITCH(J120,
"موقف/تندة",IF(D120&lt;DATE(2019,11,30),6,30),
"تشوينات",IF(D120&lt;DATE(2019,11,30),4,20),
"مشاتل",IF(D120&lt;DATE(2019,11,30),2,10),
"كافيتيريا",IF(D120&lt;DATE(2019,11,30),30,150),
"نوادي",IF(D120&lt;DATE(2019,11,30),6,30),
"رسو مراكب",IF(D120&lt;DATE(2019,11,30),2,10),
"مباني",IF(D120&lt;DATE(2018,9,24),2,10),
"عشش",IF(D120&lt;DATE(2019,11,30),2,10),
"كشك (تجاري/صناعي)",IF(D120&lt;DATE(2019,11,30),10,50),
"ردم",20,
0)))</f>
        <v>285</v>
      </c>
      <c r="AC120" s="1" cm="1">
        <f t="array" aca="1" ref="AC120" ca="1">IF(Y120&lt;DATE(2023,5,1),0,
IF(J120="زراعة",
K120*
(
INT((Y120-MAX(DATE(2023,5,1),D120))/365)
+
CEILING(MOD((Y120-MAX(DATE(2023,5,1),D120))/365,1),0.25)
)
*3,
IF(J120="ردم",
K120*20,
K120*
(
DATEDIF(MAX(DATE(2023,5,1),D120),Y120,"m")+1
)
*
_xlfn.SWITCH(J120,
"موقف/تندة",6,
"تشوينات",4,
"مشاتل",2,
"رسو مراكب",6,
"مباني",3,
"عشش",1,
"كشك (تجاري/صناعي)",20,
"مواسير صرف صحي (&lt;1م)",16,
"مواسير صرف صحي (&gt;1م)",18,
0))))</f>
        <v>585</v>
      </c>
      <c r="AD120" s="1">
        <f t="shared" ca="1" si="9"/>
        <v>55</v>
      </c>
    </row>
    <row r="121" spans="1:30" s="80" customFormat="1" ht="19.5" thickBot="1" x14ac:dyDescent="0.3">
      <c r="A121" s="52">
        <v>114</v>
      </c>
      <c r="B121" s="6">
        <v>3</v>
      </c>
      <c r="C121" s="3">
        <v>2016</v>
      </c>
      <c r="D121" s="41">
        <v>42372</v>
      </c>
      <c r="E121" s="12"/>
      <c r="F121" s="6"/>
      <c r="G121" s="6" t="s">
        <v>200</v>
      </c>
      <c r="H121" s="6"/>
      <c r="I121" s="6" t="s">
        <v>211</v>
      </c>
      <c r="J121" s="5" t="s">
        <v>77</v>
      </c>
      <c r="K121" s="6">
        <v>14</v>
      </c>
      <c r="L121" s="3" t="s">
        <v>90</v>
      </c>
      <c r="M121" s="7"/>
      <c r="N121" s="6"/>
      <c r="O121" s="9">
        <f>0.47*Table2[[#This Row],[قيمة المحضر]]</f>
        <v>0</v>
      </c>
      <c r="P121" s="9">
        <f>0.17*Table2[[#This Row],[قيمة المحضر]]</f>
        <v>0</v>
      </c>
      <c r="Q121" s="9">
        <f t="shared" ca="1" si="13"/>
        <v>16730</v>
      </c>
      <c r="R121" s="3"/>
      <c r="S121" s="3"/>
      <c r="T121" s="9" t="str">
        <f t="shared" si="14"/>
        <v>-</v>
      </c>
      <c r="U121" s="3" t="s">
        <v>25</v>
      </c>
      <c r="V121" s="9" t="str">
        <f t="shared" si="15"/>
        <v>-</v>
      </c>
      <c r="W121" s="4"/>
      <c r="X121" s="38"/>
      <c r="Y121" s="1">
        <f t="shared" ca="1" si="8"/>
        <v>46162</v>
      </c>
      <c r="Z121" s="1" cm="1">
        <f t="array" ref="Z121">IF(D121&gt;DATE(2015,5,16),0,
K121*
(
INT((MIN(Y121,DATE(2015,5,16))-D121)/365)
+
CEILING(MOD((MIN(Y121,DATE(2015,5,16))-D121)/365,1),0.25)
)
*
_xlfn.SWITCH(J121,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21" s="1" cm="1">
        <f t="array" aca="1" ref="AA121" ca="1">IF(Y121&lt;DATE(2015,5,17),0,
K121*
(
INT((MIN(Y121,DATE(2018,9,23))-MAX(D121,DATE(2015,5,17)))/365)
+
CEILING(MOD((MIN(Y121,DATE(2018,9,23))-MAX(D121,DATE(2015,5,17)))/365,1),0.25)
)
*
_xlfn.SWITCH(J121,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770</v>
      </c>
      <c r="AB121" s="1" cm="1">
        <f t="array" aca="1" ref="AB121" ca="1">IF(Y121&lt;DATE(2018,9,24),0,
IF(J121="زراعة",
K121*
(
INT((MIN(Y121,DATE(2023,4,30))-MAX(D121,DATE(2018,9,24)))/365)
+
CEILING(MOD((MIN(Y121,DATE(2023,4,30))-MAX(D121,DATE(2018,9,24)))/365,1),0.25)
)
*1,
K121*
(
DATEDIF(MAX(D121,DATE(2018,9,24)),MIN(Y121,DATE(2023,4,30)),"m")+1
)
*
_xlfn.SWITCH(J121,
"موقف/تندة",IF(D121&lt;DATE(2019,11,30),6,30),
"تشوينات",IF(D121&lt;DATE(2019,11,30),4,20),
"مشاتل",IF(D121&lt;DATE(2019,11,30),2,10),
"كافيتيريا",IF(D121&lt;DATE(2019,11,30),30,150),
"نوادي",IF(D121&lt;DATE(2019,11,30),6,30),
"رسو مراكب",IF(D121&lt;DATE(2019,11,30),2,10),
"مباني",IF(D121&lt;DATE(2018,9,24),2,10),
"عشش",IF(D121&lt;DATE(2019,11,30),2,10),
"كشك (تجاري/صناعي)",IF(D121&lt;DATE(2019,11,30),10,50),
"ردم",20,
0)))</f>
        <v>15680</v>
      </c>
      <c r="AC121" s="1" cm="1">
        <f t="array" aca="1" ref="AC121" ca="1">IF(Y121&lt;DATE(2023,5,1),0,
IF(J121="زراعة",
K121*
(
INT((Y121-MAX(DATE(2023,5,1),D121))/365)
+
CEILING(MOD((Y121-MAX(DATE(2023,5,1),D121))/365,1),0.25)
)
*3,
IF(J121="ردم",
K121*20,
K121*
(
DATEDIF(MAX(DATE(2023,5,1),D121),Y121,"m")+1
)
*
_xlfn.SWITCH(J121,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121" s="1">
        <f t="shared" ca="1" si="9"/>
        <v>55</v>
      </c>
    </row>
    <row r="122" spans="1:30" s="80" customFormat="1" ht="19.5" thickBot="1" x14ac:dyDescent="0.3">
      <c r="A122" s="52">
        <v>114</v>
      </c>
      <c r="B122" s="6">
        <v>3</v>
      </c>
      <c r="C122" s="3">
        <v>2016</v>
      </c>
      <c r="D122" s="41">
        <v>42372</v>
      </c>
      <c r="E122" s="12"/>
      <c r="F122" s="6"/>
      <c r="G122" s="6" t="s">
        <v>200</v>
      </c>
      <c r="H122" s="6"/>
      <c r="I122" s="6" t="s">
        <v>211</v>
      </c>
      <c r="J122" s="3" t="s">
        <v>146</v>
      </c>
      <c r="K122" s="6">
        <v>14</v>
      </c>
      <c r="L122" s="3" t="s">
        <v>90</v>
      </c>
      <c r="M122" s="7"/>
      <c r="N122" s="6"/>
      <c r="O122" s="9">
        <f>0.47*Table2[[#This Row],[قيمة المحضر]]</f>
        <v>0</v>
      </c>
      <c r="P122" s="9">
        <f>0.17*Table2[[#This Row],[قيمة المحضر]]</f>
        <v>0</v>
      </c>
      <c r="Q122" s="9">
        <f t="shared" ca="1" si="13"/>
        <v>214.55</v>
      </c>
      <c r="R122" s="3"/>
      <c r="S122" s="3"/>
      <c r="T122" s="9" t="str">
        <f t="shared" si="14"/>
        <v>-</v>
      </c>
      <c r="U122" s="3" t="s">
        <v>25</v>
      </c>
      <c r="V122" s="9" t="str">
        <f t="shared" si="15"/>
        <v>-</v>
      </c>
      <c r="W122" s="4"/>
      <c r="X122" s="38"/>
      <c r="Y122" s="1">
        <f t="shared" ca="1" si="8"/>
        <v>46162</v>
      </c>
      <c r="Z122" s="1" cm="1">
        <f t="array" ref="Z122">IF(D122&gt;DATE(2015,5,16),0,
K122*
(
INT((MIN(Y122,DATE(2015,5,16))-D122)/365)
+
CEILING(MOD((MIN(Y122,DATE(2015,5,16))-D122)/365,1),0.25)
)
*
_xlfn.SWITCH(J122,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22" s="1" cm="1">
        <f t="array" aca="1" ref="AA122" ca="1">IF(Y122&lt;DATE(2015,5,17),0,
K122*
(
INT((MIN(Y122,DATE(2018,9,23))-MAX(D122,DATE(2015,5,17)))/365)
+
CEILING(MOD((MIN(Y122,DATE(2018,9,23))-MAX(D122,DATE(2015,5,17)))/365,1),0.25)
)
*
_xlfn.SWITCH(J122,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11.549999999999999</v>
      </c>
      <c r="AB122" s="1" cm="1">
        <f t="array" aca="1" ref="AB122" ca="1">IF(Y122&lt;DATE(2018,9,24),0,
IF(J122="زراعة",
K122*
(
INT((MIN(Y122,DATE(2023,4,30))-MAX(D122,DATE(2018,9,24)))/365)
+
CEILING(MOD((MIN(Y122,DATE(2023,4,30))-MAX(D122,DATE(2018,9,24)))/365,1),0.25)
)
*1,
K122*
(
DATEDIF(MAX(D122,DATE(2018,9,24)),MIN(Y122,DATE(2023,4,30)),"m")+1
)
*
_xlfn.SWITCH(J122,
"موقف/تندة",IF(D122&lt;DATE(2019,11,30),6,30),
"تشوينات",IF(D122&lt;DATE(2019,11,30),4,20),
"مشاتل",IF(D122&lt;DATE(2019,11,30),2,10),
"كافيتيريا",IF(D122&lt;DATE(2019,11,30),30,150),
"نوادي",IF(D122&lt;DATE(2019,11,30),6,30),
"رسو مراكب",IF(D122&lt;DATE(2019,11,30),2,10),
"مباني",IF(D122&lt;DATE(2018,9,24),2,10),
"عشش",IF(D122&lt;DATE(2019,11,30),2,10),
"كشك (تجاري/صناعي)",IF(D122&lt;DATE(2019,11,30),10,50),
"ردم",20,
0)))</f>
        <v>66.5</v>
      </c>
      <c r="AC122" s="1" cm="1">
        <f t="array" aca="1" ref="AC122" ca="1">IF(Y122&lt;DATE(2023,5,1),0,
IF(J122="زراعة",
K122*
(
INT((Y122-MAX(DATE(2023,5,1),D122))/365)
+
CEILING(MOD((Y122-MAX(DATE(2023,5,1),D122))/365,1),0.25)
)
*3,
IF(J122="ردم",
K122*20,
K122*
(
DATEDIF(MAX(DATE(2023,5,1),D122),Y122,"m")+1
)
*
_xlfn.SWITCH(J122,
"موقف/تندة",6,
"تشوينات",4,
"مشاتل",2,
"رسو مراكب",6,
"مباني",3,
"عشش",1,
"كشك (تجاري/صناعي)",20,
"مواسير صرف صحي (&lt;1م)",16,
"مواسير صرف صحي (&gt;1م)",18,
0))))</f>
        <v>136.5</v>
      </c>
      <c r="AD122" s="1">
        <f t="shared" ca="1" si="9"/>
        <v>55</v>
      </c>
    </row>
    <row r="123" spans="1:30" s="80" customFormat="1" ht="19.5" thickBot="1" x14ac:dyDescent="0.3">
      <c r="A123" s="52">
        <v>115</v>
      </c>
      <c r="B123" s="6">
        <v>4</v>
      </c>
      <c r="C123" s="3">
        <v>2016</v>
      </c>
      <c r="D123" s="41">
        <v>42372</v>
      </c>
      <c r="E123" s="12"/>
      <c r="F123" s="6"/>
      <c r="G123" s="3" t="s">
        <v>201</v>
      </c>
      <c r="H123" s="6"/>
      <c r="I123" s="6" t="s">
        <v>211</v>
      </c>
      <c r="J123" s="5" t="s">
        <v>77</v>
      </c>
      <c r="K123" s="6">
        <v>14</v>
      </c>
      <c r="L123" s="3" t="s">
        <v>90</v>
      </c>
      <c r="M123" s="7"/>
      <c r="N123" s="6"/>
      <c r="O123" s="9">
        <f>0.47*Table2[[#This Row],[قيمة المحضر]]</f>
        <v>0</v>
      </c>
      <c r="P123" s="9">
        <f>0.17*Table2[[#This Row],[قيمة المحضر]]</f>
        <v>0</v>
      </c>
      <c r="Q123" s="9">
        <f t="shared" ca="1" si="13"/>
        <v>16730</v>
      </c>
      <c r="R123" s="3"/>
      <c r="S123" s="3"/>
      <c r="T123" s="9" t="str">
        <f t="shared" si="14"/>
        <v>-</v>
      </c>
      <c r="U123" s="3" t="s">
        <v>25</v>
      </c>
      <c r="V123" s="9" t="str">
        <f t="shared" si="15"/>
        <v>-</v>
      </c>
      <c r="W123" s="4"/>
      <c r="X123" s="38"/>
      <c r="Y123" s="1">
        <f t="shared" ca="1" si="8"/>
        <v>46162</v>
      </c>
      <c r="Z123" s="1" cm="1">
        <f t="array" ref="Z123">IF(D123&gt;DATE(2015,5,16),0,
K123*
(
INT((MIN(Y123,DATE(2015,5,16))-D123)/365)
+
CEILING(MOD((MIN(Y123,DATE(2015,5,16))-D123)/365,1),0.25)
)
*
_xlfn.SWITCH(J123,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23" s="1" cm="1">
        <f t="array" aca="1" ref="AA123" ca="1">IF(Y123&lt;DATE(2015,5,17),0,
K123*
(
INT((MIN(Y123,DATE(2018,9,23))-MAX(D123,DATE(2015,5,17)))/365)
+
CEILING(MOD((MIN(Y123,DATE(2018,9,23))-MAX(D123,DATE(2015,5,17)))/365,1),0.25)
)
*
_xlfn.SWITCH(J123,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770</v>
      </c>
      <c r="AB123" s="1" cm="1">
        <f t="array" aca="1" ref="AB123" ca="1">IF(Y123&lt;DATE(2018,9,24),0,
IF(J123="زراعة",
K123*
(
INT((MIN(Y123,DATE(2023,4,30))-MAX(D123,DATE(2018,9,24)))/365)
+
CEILING(MOD((MIN(Y123,DATE(2023,4,30))-MAX(D123,DATE(2018,9,24)))/365,1),0.25)
)
*1,
K123*
(
DATEDIF(MAX(D123,DATE(2018,9,24)),MIN(Y123,DATE(2023,4,30)),"m")+1
)
*
_xlfn.SWITCH(J123,
"موقف/تندة",IF(D123&lt;DATE(2019,11,30),6,30),
"تشوينات",IF(D123&lt;DATE(2019,11,30),4,20),
"مشاتل",IF(D123&lt;DATE(2019,11,30),2,10),
"كافيتيريا",IF(D123&lt;DATE(2019,11,30),30,150),
"نوادي",IF(D123&lt;DATE(2019,11,30),6,30),
"رسو مراكب",IF(D123&lt;DATE(2019,11,30),2,10),
"مباني",IF(D123&lt;DATE(2018,9,24),2,10),
"عشش",IF(D123&lt;DATE(2019,11,30),2,10),
"كشك (تجاري/صناعي)",IF(D123&lt;DATE(2019,11,30),10,50),
"ردم",20,
0)))</f>
        <v>15680</v>
      </c>
      <c r="AC123" s="1" cm="1">
        <f t="array" aca="1" ref="AC123" ca="1">IF(Y123&lt;DATE(2023,5,1),0,
IF(J123="زراعة",
K123*
(
INT((Y123-MAX(DATE(2023,5,1),D123))/365)
+
CEILING(MOD((Y123-MAX(DATE(2023,5,1),D123))/365,1),0.25)
)
*3,
IF(J123="ردم",
K123*20,
K123*
(
DATEDIF(MAX(DATE(2023,5,1),D123),Y123,"m")+1
)
*
_xlfn.SWITCH(J123,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123" s="1">
        <f t="shared" ca="1" si="9"/>
        <v>55</v>
      </c>
    </row>
    <row r="124" spans="1:30" s="80" customFormat="1" ht="19.5" thickBot="1" x14ac:dyDescent="0.3">
      <c r="A124" s="52">
        <v>115</v>
      </c>
      <c r="B124" s="6">
        <v>4</v>
      </c>
      <c r="C124" s="3">
        <v>2016</v>
      </c>
      <c r="D124" s="41">
        <v>42372</v>
      </c>
      <c r="E124" s="12"/>
      <c r="F124" s="6"/>
      <c r="G124" s="3" t="s">
        <v>201</v>
      </c>
      <c r="H124" s="6"/>
      <c r="I124" s="6" t="s">
        <v>211</v>
      </c>
      <c r="J124" s="3" t="s">
        <v>146</v>
      </c>
      <c r="K124" s="6">
        <v>14</v>
      </c>
      <c r="L124" s="3" t="s">
        <v>90</v>
      </c>
      <c r="M124" s="7"/>
      <c r="N124" s="6"/>
      <c r="O124" s="9">
        <f>0.47*Table2[[#This Row],[قيمة المحضر]]</f>
        <v>0</v>
      </c>
      <c r="P124" s="9">
        <f>0.17*Table2[[#This Row],[قيمة المحضر]]</f>
        <v>0</v>
      </c>
      <c r="Q124" s="9">
        <f t="shared" ca="1" si="13"/>
        <v>214.55</v>
      </c>
      <c r="R124" s="3"/>
      <c r="S124" s="3"/>
      <c r="T124" s="9" t="str">
        <f t="shared" si="14"/>
        <v>-</v>
      </c>
      <c r="U124" s="3" t="s">
        <v>25</v>
      </c>
      <c r="V124" s="9" t="str">
        <f t="shared" si="15"/>
        <v>-</v>
      </c>
      <c r="W124" s="4"/>
      <c r="X124" s="38"/>
      <c r="Y124" s="1">
        <f t="shared" ca="1" si="8"/>
        <v>46162</v>
      </c>
      <c r="Z124" s="1" cm="1">
        <f t="array" ref="Z124">IF(D124&gt;DATE(2015,5,16),0,
K124*
(
INT((MIN(Y124,DATE(2015,5,16))-D124)/365)
+
CEILING(MOD((MIN(Y124,DATE(2015,5,16))-D124)/365,1),0.25)
)
*
_xlfn.SWITCH(J124,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24" s="1" cm="1">
        <f t="array" aca="1" ref="AA124" ca="1">IF(Y124&lt;DATE(2015,5,17),0,
K124*
(
INT((MIN(Y124,DATE(2018,9,23))-MAX(D124,DATE(2015,5,17)))/365)
+
CEILING(MOD((MIN(Y124,DATE(2018,9,23))-MAX(D124,DATE(2015,5,17)))/365,1),0.25)
)
*
_xlfn.SWITCH(J124,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11.549999999999999</v>
      </c>
      <c r="AB124" s="1" cm="1">
        <f t="array" aca="1" ref="AB124" ca="1">IF(Y124&lt;DATE(2018,9,24),0,
IF(J124="زراعة",
K124*
(
INT((MIN(Y124,DATE(2023,4,30))-MAX(D124,DATE(2018,9,24)))/365)
+
CEILING(MOD((MIN(Y124,DATE(2023,4,30))-MAX(D124,DATE(2018,9,24)))/365,1),0.25)
)
*1,
K124*
(
DATEDIF(MAX(D124,DATE(2018,9,24)),MIN(Y124,DATE(2023,4,30)),"m")+1
)
*
_xlfn.SWITCH(J124,
"موقف/تندة",IF(D124&lt;DATE(2019,11,30),6,30),
"تشوينات",IF(D124&lt;DATE(2019,11,30),4,20),
"مشاتل",IF(D124&lt;DATE(2019,11,30),2,10),
"كافيتيريا",IF(D124&lt;DATE(2019,11,30),30,150),
"نوادي",IF(D124&lt;DATE(2019,11,30),6,30),
"رسو مراكب",IF(D124&lt;DATE(2019,11,30),2,10),
"مباني",IF(D124&lt;DATE(2018,9,24),2,10),
"عشش",IF(D124&lt;DATE(2019,11,30),2,10),
"كشك (تجاري/صناعي)",IF(D124&lt;DATE(2019,11,30),10,50),
"ردم",20,
0)))</f>
        <v>66.5</v>
      </c>
      <c r="AC124" s="1" cm="1">
        <f t="array" aca="1" ref="AC124" ca="1">IF(Y124&lt;DATE(2023,5,1),0,
IF(J124="زراعة",
K124*
(
INT((Y124-MAX(DATE(2023,5,1),D124))/365)
+
CEILING(MOD((Y124-MAX(DATE(2023,5,1),D124))/365,1),0.25)
)
*3,
IF(J124="ردم",
K124*20,
K124*
(
DATEDIF(MAX(DATE(2023,5,1),D124),Y124,"m")+1
)
*
_xlfn.SWITCH(J124,
"موقف/تندة",6,
"تشوينات",4,
"مشاتل",2,
"رسو مراكب",6,
"مباني",3,
"عشش",1,
"كشك (تجاري/صناعي)",20,
"مواسير صرف صحي (&lt;1م)",16,
"مواسير صرف صحي (&gt;1م)",18,
0))))</f>
        <v>136.5</v>
      </c>
      <c r="AD124" s="1">
        <f t="shared" ca="1" si="9"/>
        <v>55</v>
      </c>
    </row>
    <row r="125" spans="1:30" s="80" customFormat="1" ht="19.5" thickBot="1" x14ac:dyDescent="0.3">
      <c r="A125" s="52">
        <v>116</v>
      </c>
      <c r="B125" s="6">
        <v>5</v>
      </c>
      <c r="C125" s="3">
        <v>2016</v>
      </c>
      <c r="D125" s="41">
        <v>42372</v>
      </c>
      <c r="E125" s="12"/>
      <c r="F125" s="6"/>
      <c r="G125" s="6" t="s">
        <v>202</v>
      </c>
      <c r="H125" s="6"/>
      <c r="I125" s="6" t="s">
        <v>210</v>
      </c>
      <c r="J125" s="3" t="s">
        <v>145</v>
      </c>
      <c r="K125" s="6"/>
      <c r="L125" s="3" t="s">
        <v>90</v>
      </c>
      <c r="M125" s="7"/>
      <c r="N125" s="6"/>
      <c r="O125" s="9">
        <f>0.47*Table2[[#This Row],[قيمة المحضر]]</f>
        <v>0</v>
      </c>
      <c r="P125" s="9">
        <f>0.17*Table2[[#This Row],[قيمة المحضر]]</f>
        <v>0</v>
      </c>
      <c r="Q125" s="9">
        <f t="shared" ca="1" si="13"/>
        <v>0</v>
      </c>
      <c r="R125" s="3"/>
      <c r="S125" s="3"/>
      <c r="T125" s="9" t="str">
        <f t="shared" si="14"/>
        <v>-</v>
      </c>
      <c r="U125" s="3" t="s">
        <v>25</v>
      </c>
      <c r="V125" s="9" t="str">
        <f t="shared" si="15"/>
        <v>-</v>
      </c>
      <c r="W125" s="4"/>
      <c r="X125" s="38"/>
      <c r="Y125" s="1">
        <f t="shared" ca="1" si="8"/>
        <v>46162</v>
      </c>
      <c r="Z125" s="1" cm="1">
        <f t="array" ref="Z125">IF(D125&gt;DATE(2015,5,16),0,
K125*
(
INT((MIN(Y125,DATE(2015,5,16))-D125)/365)
+
CEILING(MOD((MIN(Y125,DATE(2015,5,16))-D125)/365,1),0.25)
)
*
_xlfn.SWITCH(J125,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25" s="1" cm="1">
        <f t="array" aca="1" ref="AA125" ca="1">IF(Y125&lt;DATE(2015,5,17),0,
K125*
(
INT((MIN(Y125,DATE(2018,9,23))-MAX(D125,DATE(2015,5,17)))/365)
+
CEILING(MOD((MIN(Y125,DATE(2018,9,23))-MAX(D125,DATE(2015,5,17)))/365,1),0.25)
)
*
_xlfn.SWITCH(J125,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125" s="1" cm="1">
        <f t="array" aca="1" ref="AB125" ca="1">IF(Y125&lt;DATE(2018,9,24),0,
IF(J125="زراعة",
K125*
(
INT((MIN(Y125,DATE(2023,4,30))-MAX(D125,DATE(2018,9,24)))/365)
+
CEILING(MOD((MIN(Y125,DATE(2023,4,30))-MAX(D125,DATE(2018,9,24)))/365,1),0.25)
)
*1,
K125*
(
DATEDIF(MAX(D125,DATE(2018,9,24)),MIN(Y125,DATE(2023,4,30)),"m")+1
)
*
_xlfn.SWITCH(J125,
"موقف/تندة",IF(D125&lt;DATE(2019,11,30),6,30),
"تشوينات",IF(D125&lt;DATE(2019,11,30),4,20),
"مشاتل",IF(D125&lt;DATE(2019,11,30),2,10),
"كافيتيريا",IF(D125&lt;DATE(2019,11,30),30,150),
"نوادي",IF(D125&lt;DATE(2019,11,30),6,30),
"رسو مراكب",IF(D125&lt;DATE(2019,11,30),2,10),
"مباني",IF(D125&lt;DATE(2018,9,24),2,10),
"عشش",IF(D125&lt;DATE(2019,11,30),2,10),
"كشك (تجاري/صناعي)",IF(D125&lt;DATE(2019,11,30),10,50),
"ردم",20,
0)))</f>
        <v>0</v>
      </c>
      <c r="AC125" s="1" cm="1">
        <f t="array" aca="1" ref="AC125" ca="1">IF(Y125&lt;DATE(2023,5,1),0,
IF(J125="زراعة",
K125*
(
INT((Y125-MAX(DATE(2023,5,1),D125))/365)
+
CEILING(MOD((Y125-MAX(DATE(2023,5,1),D125))/365,1),0.25)
)
*3,
IF(J125="ردم",
K125*20,
K125*
(
DATEDIF(MAX(DATE(2023,5,1),D125),Y125,"m")+1
)
*
_xlfn.SWITCH(J125,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125" s="1">
        <f t="shared" ca="1" si="9"/>
        <v>55</v>
      </c>
    </row>
    <row r="126" spans="1:30" s="80" customFormat="1" ht="19.5" thickBot="1" x14ac:dyDescent="0.3">
      <c r="A126" s="53">
        <v>117</v>
      </c>
      <c r="B126" s="17">
        <v>6</v>
      </c>
      <c r="C126" s="14">
        <v>2016</v>
      </c>
      <c r="D126" s="50">
        <v>42372</v>
      </c>
      <c r="E126" s="16" t="s">
        <v>214</v>
      </c>
      <c r="F126" s="17"/>
      <c r="G126" s="17" t="s">
        <v>203</v>
      </c>
      <c r="H126" s="17"/>
      <c r="I126" s="17" t="s">
        <v>192</v>
      </c>
      <c r="J126" s="14" t="s">
        <v>27</v>
      </c>
      <c r="K126" s="17">
        <f>25*70</f>
        <v>1750</v>
      </c>
      <c r="L126" s="3" t="s">
        <v>90</v>
      </c>
      <c r="M126" s="18"/>
      <c r="N126" s="17"/>
      <c r="O126" s="9">
        <f>0.47*Table2[[#This Row],[قيمة المحضر]]</f>
        <v>0</v>
      </c>
      <c r="P126" s="9">
        <f>0.17*Table2[[#This Row],[قيمة المحضر]]</f>
        <v>0</v>
      </c>
      <c r="Q126" s="9">
        <f t="shared" ca="1" si="13"/>
        <v>428750</v>
      </c>
      <c r="R126" s="3"/>
      <c r="S126" s="3"/>
      <c r="T126" s="9" t="str">
        <f t="shared" si="14"/>
        <v>-</v>
      </c>
      <c r="U126" s="3" t="s">
        <v>25</v>
      </c>
      <c r="V126" s="9" t="str">
        <f t="shared" si="15"/>
        <v>-</v>
      </c>
      <c r="W126" s="4"/>
      <c r="X126" s="38"/>
      <c r="Y126" s="1">
        <f t="shared" ca="1" si="8"/>
        <v>46162</v>
      </c>
      <c r="Z126" s="1" cm="1">
        <f t="array" ref="Z126">IF(D126&gt;DATE(2015,5,16),0,
K126*
(
INT((MIN(Y126,DATE(2015,5,16))-D126)/365)
+
CEILING(MOD((MIN(Y126,DATE(2015,5,16))-D126)/365,1),0.25)
)
*
_xlfn.SWITCH(J126,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26" s="1" cm="1">
        <f t="array" aca="1" ref="AA126" ca="1">IF(Y126&lt;DATE(2015,5,17),0,
K126*
(
INT((MIN(Y126,DATE(2018,9,23))-MAX(D126,DATE(2015,5,17)))/365)
+
CEILING(MOD((MIN(Y126,DATE(2018,9,23))-MAX(D126,DATE(2015,5,17)))/365,1),0.25)
)
*
_xlfn.SWITCH(J126,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38500</v>
      </c>
      <c r="AB126" s="1" cm="1">
        <f t="array" aca="1" ref="AB126" ca="1">IF(Y126&lt;DATE(2018,9,24),0,
IF(J126="زراعة",
K126*
(
INT((MIN(Y126,DATE(2023,4,30))-MAX(D126,DATE(2018,9,24)))/365)
+
CEILING(MOD((MIN(Y126,DATE(2023,4,30))-MAX(D126,DATE(2018,9,24)))/365,1),0.25)
)
*1,
K126*
(
DATEDIF(MAX(D126,DATE(2018,9,24)),MIN(Y126,DATE(2023,4,30)),"m")+1
)
*
_xlfn.SWITCH(J126,
"موقف/تندة",IF(D126&lt;DATE(2019,11,30),6,30),
"تشوينات",IF(D126&lt;DATE(2019,11,30),4,20),
"مشاتل",IF(D126&lt;DATE(2019,11,30),2,10),
"كافيتيريا",IF(D126&lt;DATE(2019,11,30),30,150),
"نوادي",IF(D126&lt;DATE(2019,11,30),6,30),
"رسو مراكب",IF(D126&lt;DATE(2019,11,30),2,10),
"مباني",IF(D126&lt;DATE(2018,9,24),2,10),
"عشش",IF(D126&lt;DATE(2019,11,30),2,10),
"كشك (تجاري/صناعي)",IF(D126&lt;DATE(2019,11,30),10,50),
"ردم",20,
0)))</f>
        <v>196000</v>
      </c>
      <c r="AC126" s="1" cm="1">
        <f t="array" aca="1" ref="AC126" ca="1">IF(Y126&lt;DATE(2023,5,1),0,
IF(J126="زراعة",
K126*
(
INT((Y126-MAX(DATE(2023,5,1),D126))/365)
+
CEILING(MOD((Y126-MAX(DATE(2023,5,1),D126))/365,1),0.25)
)
*3,
IF(J126="ردم",
K126*20,
K126*
(
DATEDIF(MAX(DATE(2023,5,1),D126),Y126,"m")+1
)
*
_xlfn.SWITCH(J126,
"موقف/تندة",6,
"تشوينات",4,
"مشاتل",2,
"رسو مراكب",6,
"مباني",3,
"عشش",1,
"كشك (تجاري/صناعي)",20,
"مواسير صرف صحي (&lt;1م)",16,
"مواسير صرف صحي (&gt;1م)",18,
0))))</f>
        <v>194250</v>
      </c>
      <c r="AD126" s="1">
        <f t="shared" ca="1" si="9"/>
        <v>55</v>
      </c>
    </row>
    <row r="127" spans="1:30" s="80" customFormat="1" ht="19.5" thickBot="1" x14ac:dyDescent="0.3">
      <c r="A127" s="52">
        <v>118</v>
      </c>
      <c r="B127" s="6">
        <v>7</v>
      </c>
      <c r="C127" s="3">
        <v>2016</v>
      </c>
      <c r="D127" s="41">
        <v>42372</v>
      </c>
      <c r="E127" s="12"/>
      <c r="F127" s="6"/>
      <c r="G127" s="6" t="s">
        <v>204</v>
      </c>
      <c r="H127" s="6"/>
      <c r="I127" s="6" t="s">
        <v>211</v>
      </c>
      <c r="J127" s="5" t="s">
        <v>77</v>
      </c>
      <c r="K127" s="6">
        <v>20</v>
      </c>
      <c r="L127" s="3" t="s">
        <v>90</v>
      </c>
      <c r="M127" s="7"/>
      <c r="N127" s="6"/>
      <c r="O127" s="9">
        <f>0.47*Table2[[#This Row],[قيمة المحضر]]</f>
        <v>0</v>
      </c>
      <c r="P127" s="9">
        <f>0.17*Table2[[#This Row],[قيمة المحضر]]</f>
        <v>0</v>
      </c>
      <c r="Q127" s="9">
        <f t="shared" ca="1" si="13"/>
        <v>23900</v>
      </c>
      <c r="R127" s="3"/>
      <c r="S127" s="3"/>
      <c r="T127" s="9" t="str">
        <f t="shared" si="14"/>
        <v>-</v>
      </c>
      <c r="U127" s="3" t="s">
        <v>25</v>
      </c>
      <c r="V127" s="9" t="str">
        <f t="shared" si="15"/>
        <v>-</v>
      </c>
      <c r="W127" s="4"/>
      <c r="X127" s="38"/>
      <c r="Y127" s="1">
        <f t="shared" ca="1" si="8"/>
        <v>46162</v>
      </c>
      <c r="Z127" s="1" cm="1">
        <f t="array" ref="Z127">IF(D127&gt;DATE(2015,5,16),0,
K127*
(
INT((MIN(Y127,DATE(2015,5,16))-D127)/365)
+
CEILING(MOD((MIN(Y127,DATE(2015,5,16))-D127)/365,1),0.25)
)
*
_xlfn.SWITCH(J127,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27" s="1" cm="1">
        <f t="array" aca="1" ref="AA127" ca="1">IF(Y127&lt;DATE(2015,5,17),0,
K127*
(
INT((MIN(Y127,DATE(2018,9,23))-MAX(D127,DATE(2015,5,17)))/365)
+
CEILING(MOD((MIN(Y127,DATE(2018,9,23))-MAX(D127,DATE(2015,5,17)))/365,1),0.25)
)
*
_xlfn.SWITCH(J127,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1100</v>
      </c>
      <c r="AB127" s="1" cm="1">
        <f t="array" aca="1" ref="AB127" ca="1">IF(Y127&lt;DATE(2018,9,24),0,
IF(J127="زراعة",
K127*
(
INT((MIN(Y127,DATE(2023,4,30))-MAX(D127,DATE(2018,9,24)))/365)
+
CEILING(MOD((MIN(Y127,DATE(2023,4,30))-MAX(D127,DATE(2018,9,24)))/365,1),0.25)
)
*1,
K127*
(
DATEDIF(MAX(D127,DATE(2018,9,24)),MIN(Y127,DATE(2023,4,30)),"m")+1
)
*
_xlfn.SWITCH(J127,
"موقف/تندة",IF(D127&lt;DATE(2019,11,30),6,30),
"تشوينات",IF(D127&lt;DATE(2019,11,30),4,20),
"مشاتل",IF(D127&lt;DATE(2019,11,30),2,10),
"كافيتيريا",IF(D127&lt;DATE(2019,11,30),30,150),
"نوادي",IF(D127&lt;DATE(2019,11,30),6,30),
"رسو مراكب",IF(D127&lt;DATE(2019,11,30),2,10),
"مباني",IF(D127&lt;DATE(2018,9,24),2,10),
"عشش",IF(D127&lt;DATE(2019,11,30),2,10),
"كشك (تجاري/صناعي)",IF(D127&lt;DATE(2019,11,30),10,50),
"ردم",20,
0)))</f>
        <v>22400</v>
      </c>
      <c r="AC127" s="1" cm="1">
        <f t="array" aca="1" ref="AC127" ca="1">IF(Y127&lt;DATE(2023,5,1),0,
IF(J127="زراعة",
K127*
(
INT((Y127-MAX(DATE(2023,5,1),D127))/365)
+
CEILING(MOD((Y127-MAX(DATE(2023,5,1),D127))/365,1),0.25)
)
*3,
IF(J127="ردم",
K127*20,
K127*
(
DATEDIF(MAX(DATE(2023,5,1),D127),Y127,"m")+1
)
*
_xlfn.SWITCH(J127,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127" s="1">
        <f t="shared" ca="1" si="9"/>
        <v>55</v>
      </c>
    </row>
    <row r="128" spans="1:30" s="80" customFormat="1" ht="19.5" thickBot="1" x14ac:dyDescent="0.3">
      <c r="A128" s="52">
        <v>118</v>
      </c>
      <c r="B128" s="6">
        <v>7</v>
      </c>
      <c r="C128" s="3">
        <v>2016</v>
      </c>
      <c r="D128" s="41">
        <v>42372</v>
      </c>
      <c r="E128" s="12"/>
      <c r="F128" s="6"/>
      <c r="G128" s="6" t="s">
        <v>204</v>
      </c>
      <c r="H128" s="6"/>
      <c r="I128" s="6" t="s">
        <v>211</v>
      </c>
      <c r="J128" s="3" t="s">
        <v>146</v>
      </c>
      <c r="K128" s="6">
        <v>20</v>
      </c>
      <c r="L128" s="3" t="s">
        <v>90</v>
      </c>
      <c r="M128" s="7"/>
      <c r="N128" s="6"/>
      <c r="O128" s="9">
        <f>0.47*Table2[[#This Row],[قيمة المحضر]]</f>
        <v>0</v>
      </c>
      <c r="P128" s="9">
        <f>0.17*Table2[[#This Row],[قيمة المحضر]]</f>
        <v>0</v>
      </c>
      <c r="Q128" s="9">
        <f t="shared" ca="1" si="13"/>
        <v>306.5</v>
      </c>
      <c r="R128" s="3"/>
      <c r="S128" s="3"/>
      <c r="T128" s="9" t="str">
        <f t="shared" si="14"/>
        <v>-</v>
      </c>
      <c r="U128" s="3" t="s">
        <v>25</v>
      </c>
      <c r="V128" s="9" t="str">
        <f t="shared" si="15"/>
        <v>-</v>
      </c>
      <c r="W128" s="4"/>
      <c r="X128" s="38"/>
      <c r="Y128" s="1">
        <f t="shared" ca="1" si="8"/>
        <v>46162</v>
      </c>
      <c r="Z128" s="1" cm="1">
        <f t="array" ref="Z128">IF(D128&gt;DATE(2015,5,16),0,
K128*
(
INT((MIN(Y128,DATE(2015,5,16))-D128)/365)
+
CEILING(MOD((MIN(Y128,DATE(2015,5,16))-D128)/365,1),0.25)
)
*
_xlfn.SWITCH(J128,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28" s="1" cm="1">
        <f t="array" aca="1" ref="AA128" ca="1">IF(Y128&lt;DATE(2015,5,17),0,
K128*
(
INT((MIN(Y128,DATE(2018,9,23))-MAX(D128,DATE(2015,5,17)))/365)
+
CEILING(MOD((MIN(Y128,DATE(2018,9,23))-MAX(D128,DATE(2015,5,17)))/365,1),0.25)
)
*
_xlfn.SWITCH(J128,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16.5</v>
      </c>
      <c r="AB128" s="1" cm="1">
        <f t="array" aca="1" ref="AB128" ca="1">IF(Y128&lt;DATE(2018,9,24),0,
IF(J128="زراعة",
K128*
(
INT((MIN(Y128,DATE(2023,4,30))-MAX(D128,DATE(2018,9,24)))/365)
+
CEILING(MOD((MIN(Y128,DATE(2023,4,30))-MAX(D128,DATE(2018,9,24)))/365,1),0.25)
)
*1,
K128*
(
DATEDIF(MAX(D128,DATE(2018,9,24)),MIN(Y128,DATE(2023,4,30)),"m")+1
)
*
_xlfn.SWITCH(J128,
"موقف/تندة",IF(D128&lt;DATE(2019,11,30),6,30),
"تشوينات",IF(D128&lt;DATE(2019,11,30),4,20),
"مشاتل",IF(D128&lt;DATE(2019,11,30),2,10),
"كافيتيريا",IF(D128&lt;DATE(2019,11,30),30,150),
"نوادي",IF(D128&lt;DATE(2019,11,30),6,30),
"رسو مراكب",IF(D128&lt;DATE(2019,11,30),2,10),
"مباني",IF(D128&lt;DATE(2018,9,24),2,10),
"عشش",IF(D128&lt;DATE(2019,11,30),2,10),
"كشك (تجاري/صناعي)",IF(D128&lt;DATE(2019,11,30),10,50),
"ردم",20,
0)))</f>
        <v>95</v>
      </c>
      <c r="AC128" s="1" cm="1">
        <f t="array" aca="1" ref="AC128" ca="1">IF(Y128&lt;DATE(2023,5,1),0,
IF(J128="زراعة",
K128*
(
INT((Y128-MAX(DATE(2023,5,1),D128))/365)
+
CEILING(MOD((Y128-MAX(DATE(2023,5,1),D128))/365,1),0.25)
)
*3,
IF(J128="ردم",
K128*20,
K128*
(
DATEDIF(MAX(DATE(2023,5,1),D128),Y128,"m")+1
)
*
_xlfn.SWITCH(J128,
"موقف/تندة",6,
"تشوينات",4,
"مشاتل",2,
"رسو مراكب",6,
"مباني",3,
"عشش",1,
"كشك (تجاري/صناعي)",20,
"مواسير صرف صحي (&lt;1م)",16,
"مواسير صرف صحي (&gt;1م)",18,
0))))</f>
        <v>195</v>
      </c>
      <c r="AD128" s="1">
        <f t="shared" ca="1" si="9"/>
        <v>55</v>
      </c>
    </row>
    <row r="129" spans="1:30" s="80" customFormat="1" ht="19.5" thickBot="1" x14ac:dyDescent="0.3">
      <c r="A129" s="52">
        <v>119</v>
      </c>
      <c r="B129" s="6">
        <v>8</v>
      </c>
      <c r="C129" s="3">
        <v>2016</v>
      </c>
      <c r="D129" s="41">
        <v>42372</v>
      </c>
      <c r="E129" s="12"/>
      <c r="F129" s="6"/>
      <c r="G129" s="6" t="s">
        <v>205</v>
      </c>
      <c r="H129" s="6"/>
      <c r="I129" s="6" t="s">
        <v>211</v>
      </c>
      <c r="J129" s="5" t="s">
        <v>77</v>
      </c>
      <c r="K129" s="6">
        <v>20</v>
      </c>
      <c r="L129" s="3" t="s">
        <v>90</v>
      </c>
      <c r="M129" s="7"/>
      <c r="N129" s="6"/>
      <c r="O129" s="9">
        <f>0.47*Table2[[#This Row],[قيمة المحضر]]</f>
        <v>0</v>
      </c>
      <c r="P129" s="9">
        <f>0.17*Table2[[#This Row],[قيمة المحضر]]</f>
        <v>0</v>
      </c>
      <c r="Q129" s="9">
        <f t="shared" ca="1" si="13"/>
        <v>23900</v>
      </c>
      <c r="R129" s="3"/>
      <c r="S129" s="3"/>
      <c r="T129" s="9" t="str">
        <f t="shared" si="14"/>
        <v>-</v>
      </c>
      <c r="U129" s="3" t="s">
        <v>25</v>
      </c>
      <c r="V129" s="9" t="str">
        <f t="shared" si="15"/>
        <v>-</v>
      </c>
      <c r="W129" s="4"/>
      <c r="X129" s="38"/>
      <c r="Y129" s="1">
        <f t="shared" ca="1" si="8"/>
        <v>46162</v>
      </c>
      <c r="Z129" s="1" cm="1">
        <f t="array" ref="Z129">IF(D129&gt;DATE(2015,5,16),0,
K129*
(
INT((MIN(Y129,DATE(2015,5,16))-D129)/365)
+
CEILING(MOD((MIN(Y129,DATE(2015,5,16))-D129)/365,1),0.25)
)
*
_xlfn.SWITCH(J129,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29" s="1" cm="1">
        <f t="array" aca="1" ref="AA129" ca="1">IF(Y129&lt;DATE(2015,5,17),0,
K129*
(
INT((MIN(Y129,DATE(2018,9,23))-MAX(D129,DATE(2015,5,17)))/365)
+
CEILING(MOD((MIN(Y129,DATE(2018,9,23))-MAX(D129,DATE(2015,5,17)))/365,1),0.25)
)
*
_xlfn.SWITCH(J129,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1100</v>
      </c>
      <c r="AB129" s="1" cm="1">
        <f t="array" aca="1" ref="AB129" ca="1">IF(Y129&lt;DATE(2018,9,24),0,
IF(J129="زراعة",
K129*
(
INT((MIN(Y129,DATE(2023,4,30))-MAX(D129,DATE(2018,9,24)))/365)
+
CEILING(MOD((MIN(Y129,DATE(2023,4,30))-MAX(D129,DATE(2018,9,24)))/365,1),0.25)
)
*1,
K129*
(
DATEDIF(MAX(D129,DATE(2018,9,24)),MIN(Y129,DATE(2023,4,30)),"m")+1
)
*
_xlfn.SWITCH(J129,
"موقف/تندة",IF(D129&lt;DATE(2019,11,30),6,30),
"تشوينات",IF(D129&lt;DATE(2019,11,30),4,20),
"مشاتل",IF(D129&lt;DATE(2019,11,30),2,10),
"كافيتيريا",IF(D129&lt;DATE(2019,11,30),30,150),
"نوادي",IF(D129&lt;DATE(2019,11,30),6,30),
"رسو مراكب",IF(D129&lt;DATE(2019,11,30),2,10),
"مباني",IF(D129&lt;DATE(2018,9,24),2,10),
"عشش",IF(D129&lt;DATE(2019,11,30),2,10),
"كشك (تجاري/صناعي)",IF(D129&lt;DATE(2019,11,30),10,50),
"ردم",20,
0)))</f>
        <v>22400</v>
      </c>
      <c r="AC129" s="1" cm="1">
        <f t="array" aca="1" ref="AC129" ca="1">IF(Y129&lt;DATE(2023,5,1),0,
IF(J129="زراعة",
K129*
(
INT((Y129-MAX(DATE(2023,5,1),D129))/365)
+
CEILING(MOD((Y129-MAX(DATE(2023,5,1),D129))/365,1),0.25)
)
*3,
IF(J129="ردم",
K129*20,
K129*
(
DATEDIF(MAX(DATE(2023,5,1),D129),Y129,"m")+1
)
*
_xlfn.SWITCH(J129,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129" s="1">
        <f t="shared" ca="1" si="9"/>
        <v>55</v>
      </c>
    </row>
    <row r="130" spans="1:30" s="80" customFormat="1" ht="19.5" thickBot="1" x14ac:dyDescent="0.3">
      <c r="A130" s="52">
        <v>119</v>
      </c>
      <c r="B130" s="6">
        <v>8</v>
      </c>
      <c r="C130" s="3">
        <v>2016</v>
      </c>
      <c r="D130" s="41">
        <v>42372</v>
      </c>
      <c r="E130" s="12"/>
      <c r="F130" s="6"/>
      <c r="G130" s="6" t="s">
        <v>205</v>
      </c>
      <c r="H130" s="6"/>
      <c r="I130" s="6" t="s">
        <v>211</v>
      </c>
      <c r="J130" s="3" t="s">
        <v>146</v>
      </c>
      <c r="K130" s="6">
        <v>20</v>
      </c>
      <c r="L130" s="3" t="s">
        <v>90</v>
      </c>
      <c r="M130" s="7"/>
      <c r="N130" s="6"/>
      <c r="O130" s="9">
        <f>0.47*Table2[[#This Row],[قيمة المحضر]]</f>
        <v>0</v>
      </c>
      <c r="P130" s="9">
        <f>0.17*Table2[[#This Row],[قيمة المحضر]]</f>
        <v>0</v>
      </c>
      <c r="Q130" s="9">
        <f t="shared" ca="1" si="13"/>
        <v>306.5</v>
      </c>
      <c r="R130" s="3"/>
      <c r="S130" s="3"/>
      <c r="T130" s="9" t="str">
        <f t="shared" si="14"/>
        <v>-</v>
      </c>
      <c r="U130" s="3" t="s">
        <v>25</v>
      </c>
      <c r="V130" s="9" t="str">
        <f t="shared" si="15"/>
        <v>-</v>
      </c>
      <c r="W130" s="4"/>
      <c r="X130" s="38"/>
      <c r="Y130" s="1">
        <f t="shared" ca="1" si="8"/>
        <v>46162</v>
      </c>
      <c r="Z130" s="1" cm="1">
        <f t="array" ref="Z130">IF(D130&gt;DATE(2015,5,16),0,
K130*
(
INT((MIN(Y130,DATE(2015,5,16))-D130)/365)
+
CEILING(MOD((MIN(Y130,DATE(2015,5,16))-D130)/365,1),0.25)
)
*
_xlfn.SWITCH(J130,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30" s="1" cm="1">
        <f t="array" aca="1" ref="AA130" ca="1">IF(Y130&lt;DATE(2015,5,17),0,
K130*
(
INT((MIN(Y130,DATE(2018,9,23))-MAX(D130,DATE(2015,5,17)))/365)
+
CEILING(MOD((MIN(Y130,DATE(2018,9,23))-MAX(D130,DATE(2015,5,17)))/365,1),0.25)
)
*
_xlfn.SWITCH(J130,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16.5</v>
      </c>
      <c r="AB130" s="1" cm="1">
        <f t="array" aca="1" ref="AB130" ca="1">IF(Y130&lt;DATE(2018,9,24),0,
IF(J130="زراعة",
K130*
(
INT((MIN(Y130,DATE(2023,4,30))-MAX(D130,DATE(2018,9,24)))/365)
+
CEILING(MOD((MIN(Y130,DATE(2023,4,30))-MAX(D130,DATE(2018,9,24)))/365,1),0.25)
)
*1,
K130*
(
DATEDIF(MAX(D130,DATE(2018,9,24)),MIN(Y130,DATE(2023,4,30)),"m")+1
)
*
_xlfn.SWITCH(J130,
"موقف/تندة",IF(D130&lt;DATE(2019,11,30),6,30),
"تشوينات",IF(D130&lt;DATE(2019,11,30),4,20),
"مشاتل",IF(D130&lt;DATE(2019,11,30),2,10),
"كافيتيريا",IF(D130&lt;DATE(2019,11,30),30,150),
"نوادي",IF(D130&lt;DATE(2019,11,30),6,30),
"رسو مراكب",IF(D130&lt;DATE(2019,11,30),2,10),
"مباني",IF(D130&lt;DATE(2018,9,24),2,10),
"عشش",IF(D130&lt;DATE(2019,11,30),2,10),
"كشك (تجاري/صناعي)",IF(D130&lt;DATE(2019,11,30),10,50),
"ردم",20,
0)))</f>
        <v>95</v>
      </c>
      <c r="AC130" s="1" cm="1">
        <f t="array" aca="1" ref="AC130" ca="1">IF(Y130&lt;DATE(2023,5,1),0,
IF(J130="زراعة",
K130*
(
INT((Y130-MAX(DATE(2023,5,1),D130))/365)
+
CEILING(MOD((Y130-MAX(DATE(2023,5,1),D130))/365,1),0.25)
)
*3,
IF(J130="ردم",
K130*20,
K130*
(
DATEDIF(MAX(DATE(2023,5,1),D130),Y130,"m")+1
)
*
_xlfn.SWITCH(J130,
"موقف/تندة",6,
"تشوينات",4,
"مشاتل",2,
"رسو مراكب",6,
"مباني",3,
"عشش",1,
"كشك (تجاري/صناعي)",20,
"مواسير صرف صحي (&lt;1م)",16,
"مواسير صرف صحي (&gt;1م)",18,
0))))</f>
        <v>195</v>
      </c>
      <c r="AD130" s="1">
        <f t="shared" ca="1" si="9"/>
        <v>55</v>
      </c>
    </row>
    <row r="131" spans="1:30" s="80" customFormat="1" ht="19.5" thickBot="1" x14ac:dyDescent="0.3">
      <c r="A131" s="52">
        <v>120</v>
      </c>
      <c r="B131" s="6">
        <v>9</v>
      </c>
      <c r="C131" s="3">
        <v>2016</v>
      </c>
      <c r="D131" s="41">
        <v>42372</v>
      </c>
      <c r="E131" s="12"/>
      <c r="F131" s="6"/>
      <c r="G131" s="6" t="s">
        <v>206</v>
      </c>
      <c r="H131" s="6"/>
      <c r="I131" s="6" t="s">
        <v>211</v>
      </c>
      <c r="J131" s="5" t="s">
        <v>77</v>
      </c>
      <c r="K131" s="6">
        <v>20</v>
      </c>
      <c r="L131" s="3" t="s">
        <v>90</v>
      </c>
      <c r="M131" s="7"/>
      <c r="N131" s="6"/>
      <c r="O131" s="9">
        <f>0.47*Table2[[#This Row],[قيمة المحضر]]</f>
        <v>0</v>
      </c>
      <c r="P131" s="9">
        <f>0.17*Table2[[#This Row],[قيمة المحضر]]</f>
        <v>0</v>
      </c>
      <c r="Q131" s="9">
        <f t="shared" ca="1" si="13"/>
        <v>23900</v>
      </c>
      <c r="R131" s="3"/>
      <c r="S131" s="3"/>
      <c r="T131" s="9" t="str">
        <f t="shared" si="14"/>
        <v>-</v>
      </c>
      <c r="U131" s="3" t="s">
        <v>25</v>
      </c>
      <c r="V131" s="9" t="str">
        <f t="shared" si="15"/>
        <v>-</v>
      </c>
      <c r="W131" s="4"/>
      <c r="X131" s="38"/>
      <c r="Y131" s="1">
        <f t="shared" ref="Y131:Y194" ca="1" si="16">IF(M131="",TODAY(),M131)</f>
        <v>46162</v>
      </c>
      <c r="Z131" s="1" cm="1">
        <f t="array" ref="Z131">IF(D131&gt;DATE(2015,5,16),0,
K131*
(
INT((MIN(Y131,DATE(2015,5,16))-D131)/365)
+
CEILING(MOD((MIN(Y131,DATE(2015,5,16))-D131)/365,1),0.25)
)
*
_xlfn.SWITCH(J131,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31" s="1" cm="1">
        <f t="array" aca="1" ref="AA131" ca="1">IF(Y131&lt;DATE(2015,5,17),0,
K131*
(
INT((MIN(Y131,DATE(2018,9,23))-MAX(D131,DATE(2015,5,17)))/365)
+
CEILING(MOD((MIN(Y131,DATE(2018,9,23))-MAX(D131,DATE(2015,5,17)))/365,1),0.25)
)
*
_xlfn.SWITCH(J131,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1100</v>
      </c>
      <c r="AB131" s="1" cm="1">
        <f t="array" aca="1" ref="AB131" ca="1">IF(Y131&lt;DATE(2018,9,24),0,
IF(J131="زراعة",
K131*
(
INT((MIN(Y131,DATE(2023,4,30))-MAX(D131,DATE(2018,9,24)))/365)
+
CEILING(MOD((MIN(Y131,DATE(2023,4,30))-MAX(D131,DATE(2018,9,24)))/365,1),0.25)
)
*1,
K131*
(
DATEDIF(MAX(D131,DATE(2018,9,24)),MIN(Y131,DATE(2023,4,30)),"m")+1
)
*
_xlfn.SWITCH(J131,
"موقف/تندة",IF(D131&lt;DATE(2019,11,30),6,30),
"تشوينات",IF(D131&lt;DATE(2019,11,30),4,20),
"مشاتل",IF(D131&lt;DATE(2019,11,30),2,10),
"كافيتيريا",IF(D131&lt;DATE(2019,11,30),30,150),
"نوادي",IF(D131&lt;DATE(2019,11,30),6,30),
"رسو مراكب",IF(D131&lt;DATE(2019,11,30),2,10),
"مباني",IF(D131&lt;DATE(2018,9,24),2,10),
"عشش",IF(D131&lt;DATE(2019,11,30),2,10),
"كشك (تجاري/صناعي)",IF(D131&lt;DATE(2019,11,30),10,50),
"ردم",20,
0)))</f>
        <v>22400</v>
      </c>
      <c r="AC131" s="1" cm="1">
        <f t="array" aca="1" ref="AC131" ca="1">IF(Y131&lt;DATE(2023,5,1),0,
IF(J131="زراعة",
K131*
(
INT((Y131-MAX(DATE(2023,5,1),D131))/365)
+
CEILING(MOD((Y131-MAX(DATE(2023,5,1),D131))/365,1),0.25)
)
*3,
IF(J131="ردم",
K131*20,
K131*
(
DATEDIF(MAX(DATE(2023,5,1),D131),Y131,"m")+1
)
*
_xlfn.SWITCH(J131,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131" s="1">
        <f t="shared" ref="AD131:AD194" ca="1" si="17">DATEDIF(MAX(D131,DATE(2018,9,24)),MIN(Y131,DATE(2023,4,30)),"m")</f>
        <v>55</v>
      </c>
    </row>
    <row r="132" spans="1:30" s="80" customFormat="1" ht="19.5" thickBot="1" x14ac:dyDescent="0.3">
      <c r="A132" s="52">
        <v>120</v>
      </c>
      <c r="B132" s="6">
        <v>9</v>
      </c>
      <c r="C132" s="3">
        <v>2016</v>
      </c>
      <c r="D132" s="41">
        <v>42372</v>
      </c>
      <c r="E132" s="12"/>
      <c r="F132" s="6"/>
      <c r="G132" s="6" t="s">
        <v>206</v>
      </c>
      <c r="H132" s="6"/>
      <c r="I132" s="6" t="s">
        <v>211</v>
      </c>
      <c r="J132" s="3" t="s">
        <v>146</v>
      </c>
      <c r="K132" s="6">
        <v>20</v>
      </c>
      <c r="L132" s="3" t="s">
        <v>90</v>
      </c>
      <c r="M132" s="7"/>
      <c r="N132" s="6"/>
      <c r="O132" s="9">
        <f>0.47*Table2[[#This Row],[قيمة المحضر]]</f>
        <v>0</v>
      </c>
      <c r="P132" s="9">
        <f>0.17*Table2[[#This Row],[قيمة المحضر]]</f>
        <v>0</v>
      </c>
      <c r="Q132" s="9">
        <f t="shared" ca="1" si="13"/>
        <v>306.5</v>
      </c>
      <c r="R132" s="3"/>
      <c r="S132" s="3"/>
      <c r="T132" s="9" t="str">
        <f t="shared" si="14"/>
        <v>-</v>
      </c>
      <c r="U132" s="3" t="s">
        <v>25</v>
      </c>
      <c r="V132" s="9" t="str">
        <f t="shared" si="15"/>
        <v>-</v>
      </c>
      <c r="W132" s="4"/>
      <c r="X132" s="38"/>
      <c r="Y132" s="1">
        <f t="shared" ca="1" si="16"/>
        <v>46162</v>
      </c>
      <c r="Z132" s="1" cm="1">
        <f t="array" ref="Z132">IF(D132&gt;DATE(2015,5,16),0,
K132*
(
INT((MIN(Y132,DATE(2015,5,16))-D132)/365)
+
CEILING(MOD((MIN(Y132,DATE(2015,5,16))-D132)/365,1),0.25)
)
*
_xlfn.SWITCH(J132,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32" s="1" cm="1">
        <f t="array" aca="1" ref="AA132" ca="1">IF(Y132&lt;DATE(2015,5,17),0,
K132*
(
INT((MIN(Y132,DATE(2018,9,23))-MAX(D132,DATE(2015,5,17)))/365)
+
CEILING(MOD((MIN(Y132,DATE(2018,9,23))-MAX(D132,DATE(2015,5,17)))/365,1),0.25)
)
*
_xlfn.SWITCH(J132,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16.5</v>
      </c>
      <c r="AB132" s="1" cm="1">
        <f t="array" aca="1" ref="AB132" ca="1">IF(Y132&lt;DATE(2018,9,24),0,
IF(J132="زراعة",
K132*
(
INT((MIN(Y132,DATE(2023,4,30))-MAX(D132,DATE(2018,9,24)))/365)
+
CEILING(MOD((MIN(Y132,DATE(2023,4,30))-MAX(D132,DATE(2018,9,24)))/365,1),0.25)
)
*1,
K132*
(
DATEDIF(MAX(D132,DATE(2018,9,24)),MIN(Y132,DATE(2023,4,30)),"m")+1
)
*
_xlfn.SWITCH(J132,
"موقف/تندة",IF(D132&lt;DATE(2019,11,30),6,30),
"تشوينات",IF(D132&lt;DATE(2019,11,30),4,20),
"مشاتل",IF(D132&lt;DATE(2019,11,30),2,10),
"كافيتيريا",IF(D132&lt;DATE(2019,11,30),30,150),
"نوادي",IF(D132&lt;DATE(2019,11,30),6,30),
"رسو مراكب",IF(D132&lt;DATE(2019,11,30),2,10),
"مباني",IF(D132&lt;DATE(2018,9,24),2,10),
"عشش",IF(D132&lt;DATE(2019,11,30),2,10),
"كشك (تجاري/صناعي)",IF(D132&lt;DATE(2019,11,30),10,50),
"ردم",20,
0)))</f>
        <v>95</v>
      </c>
      <c r="AC132" s="1" cm="1">
        <f t="array" aca="1" ref="AC132" ca="1">IF(Y132&lt;DATE(2023,5,1),0,
IF(J132="زراعة",
K132*
(
INT((Y132-MAX(DATE(2023,5,1),D132))/365)
+
CEILING(MOD((Y132-MAX(DATE(2023,5,1),D132))/365,1),0.25)
)
*3,
IF(J132="ردم",
K132*20,
K132*
(
DATEDIF(MAX(DATE(2023,5,1),D132),Y132,"m")+1
)
*
_xlfn.SWITCH(J132,
"موقف/تندة",6,
"تشوينات",4,
"مشاتل",2,
"رسو مراكب",6,
"مباني",3,
"عشش",1,
"كشك (تجاري/صناعي)",20,
"مواسير صرف صحي (&lt;1م)",16,
"مواسير صرف صحي (&gt;1م)",18,
0))))</f>
        <v>195</v>
      </c>
      <c r="AD132" s="1">
        <f t="shared" ca="1" si="17"/>
        <v>55</v>
      </c>
    </row>
    <row r="133" spans="1:30" s="80" customFormat="1" ht="19.5" thickBot="1" x14ac:dyDescent="0.3">
      <c r="A133" s="52">
        <v>121</v>
      </c>
      <c r="B133" s="6">
        <v>10</v>
      </c>
      <c r="C133" s="3">
        <v>2016</v>
      </c>
      <c r="D133" s="41">
        <v>42372</v>
      </c>
      <c r="E133" s="12"/>
      <c r="F133" s="6"/>
      <c r="G133" s="3" t="s">
        <v>207</v>
      </c>
      <c r="H133" s="6"/>
      <c r="I133" s="6" t="s">
        <v>211</v>
      </c>
      <c r="J133" s="5" t="s">
        <v>77</v>
      </c>
      <c r="K133" s="6">
        <v>14</v>
      </c>
      <c r="L133" s="3" t="s">
        <v>90</v>
      </c>
      <c r="M133" s="7"/>
      <c r="N133" s="6"/>
      <c r="O133" s="9">
        <f>0.47*Table2[[#This Row],[قيمة المحضر]]</f>
        <v>0</v>
      </c>
      <c r="P133" s="9">
        <f>0.17*Table2[[#This Row],[قيمة المحضر]]</f>
        <v>0</v>
      </c>
      <c r="Q133" s="9">
        <f t="shared" ca="1" si="13"/>
        <v>16730</v>
      </c>
      <c r="R133" s="3"/>
      <c r="S133" s="3"/>
      <c r="T133" s="9" t="str">
        <f t="shared" si="14"/>
        <v>-</v>
      </c>
      <c r="U133" s="3" t="s">
        <v>25</v>
      </c>
      <c r="V133" s="9" t="str">
        <f t="shared" si="15"/>
        <v>-</v>
      </c>
      <c r="W133" s="4"/>
      <c r="X133" s="38"/>
      <c r="Y133" s="1">
        <f t="shared" ca="1" si="16"/>
        <v>46162</v>
      </c>
      <c r="Z133" s="1" cm="1">
        <f t="array" ref="Z133">IF(D133&gt;DATE(2015,5,16),0,
K133*
(
INT((MIN(Y133,DATE(2015,5,16))-D133)/365)
+
CEILING(MOD((MIN(Y133,DATE(2015,5,16))-D133)/365,1),0.25)
)
*
_xlfn.SWITCH(J133,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33" s="1" cm="1">
        <f t="array" aca="1" ref="AA133" ca="1">IF(Y133&lt;DATE(2015,5,17),0,
K133*
(
INT((MIN(Y133,DATE(2018,9,23))-MAX(D133,DATE(2015,5,17)))/365)
+
CEILING(MOD((MIN(Y133,DATE(2018,9,23))-MAX(D133,DATE(2015,5,17)))/365,1),0.25)
)
*
_xlfn.SWITCH(J133,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770</v>
      </c>
      <c r="AB133" s="1" cm="1">
        <f t="array" aca="1" ref="AB133" ca="1">IF(Y133&lt;DATE(2018,9,24),0,
IF(J133="زراعة",
K133*
(
INT((MIN(Y133,DATE(2023,4,30))-MAX(D133,DATE(2018,9,24)))/365)
+
CEILING(MOD((MIN(Y133,DATE(2023,4,30))-MAX(D133,DATE(2018,9,24)))/365,1),0.25)
)
*1,
K133*
(
DATEDIF(MAX(D133,DATE(2018,9,24)),MIN(Y133,DATE(2023,4,30)),"m")+1
)
*
_xlfn.SWITCH(J133,
"موقف/تندة",IF(D133&lt;DATE(2019,11,30),6,30),
"تشوينات",IF(D133&lt;DATE(2019,11,30),4,20),
"مشاتل",IF(D133&lt;DATE(2019,11,30),2,10),
"كافيتيريا",IF(D133&lt;DATE(2019,11,30),30,150),
"نوادي",IF(D133&lt;DATE(2019,11,30),6,30),
"رسو مراكب",IF(D133&lt;DATE(2019,11,30),2,10),
"مباني",IF(D133&lt;DATE(2018,9,24),2,10),
"عشش",IF(D133&lt;DATE(2019,11,30),2,10),
"كشك (تجاري/صناعي)",IF(D133&lt;DATE(2019,11,30),10,50),
"ردم",20,
0)))</f>
        <v>15680</v>
      </c>
      <c r="AC133" s="1" cm="1">
        <f t="array" aca="1" ref="AC133" ca="1">IF(Y133&lt;DATE(2023,5,1),0,
IF(J133="زراعة",
K133*
(
INT((Y133-MAX(DATE(2023,5,1),D133))/365)
+
CEILING(MOD((Y133-MAX(DATE(2023,5,1),D133))/365,1),0.25)
)
*3,
IF(J133="ردم",
K133*20,
K133*
(
DATEDIF(MAX(DATE(2023,5,1),D133),Y133,"m")+1
)
*
_xlfn.SWITCH(J133,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133" s="1">
        <f t="shared" ca="1" si="17"/>
        <v>55</v>
      </c>
    </row>
    <row r="134" spans="1:30" s="80" customFormat="1" ht="19.5" thickBot="1" x14ac:dyDescent="0.3">
      <c r="A134" s="52">
        <v>121</v>
      </c>
      <c r="B134" s="6">
        <v>10</v>
      </c>
      <c r="C134" s="3">
        <v>2016</v>
      </c>
      <c r="D134" s="41">
        <v>42372</v>
      </c>
      <c r="E134" s="12"/>
      <c r="F134" s="6"/>
      <c r="G134" s="3" t="s">
        <v>207</v>
      </c>
      <c r="H134" s="6"/>
      <c r="I134" s="6" t="s">
        <v>211</v>
      </c>
      <c r="J134" s="3" t="s">
        <v>146</v>
      </c>
      <c r="K134" s="6">
        <v>14</v>
      </c>
      <c r="L134" s="3" t="s">
        <v>90</v>
      </c>
      <c r="M134" s="7"/>
      <c r="N134" s="6"/>
      <c r="O134" s="9">
        <f>0.47*Table2[[#This Row],[قيمة المحضر]]</f>
        <v>0</v>
      </c>
      <c r="P134" s="9">
        <f>0.17*Table2[[#This Row],[قيمة المحضر]]</f>
        <v>0</v>
      </c>
      <c r="Q134" s="9">
        <f t="shared" ca="1" si="13"/>
        <v>214.55</v>
      </c>
      <c r="R134" s="3"/>
      <c r="S134" s="3"/>
      <c r="T134" s="9" t="str">
        <f t="shared" si="14"/>
        <v>-</v>
      </c>
      <c r="U134" s="3" t="s">
        <v>25</v>
      </c>
      <c r="V134" s="9" t="str">
        <f t="shared" si="15"/>
        <v>-</v>
      </c>
      <c r="W134" s="4"/>
      <c r="X134" s="38"/>
      <c r="Y134" s="1">
        <f t="shared" ca="1" si="16"/>
        <v>46162</v>
      </c>
      <c r="Z134" s="1" cm="1">
        <f t="array" ref="Z134">IF(D134&gt;DATE(2015,5,16),0,
K134*
(
INT((MIN(Y134,DATE(2015,5,16))-D134)/365)
+
CEILING(MOD((MIN(Y134,DATE(2015,5,16))-D134)/365,1),0.25)
)
*
_xlfn.SWITCH(J134,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34" s="1" cm="1">
        <f t="array" aca="1" ref="AA134" ca="1">IF(Y134&lt;DATE(2015,5,17),0,
K134*
(
INT((MIN(Y134,DATE(2018,9,23))-MAX(D134,DATE(2015,5,17)))/365)
+
CEILING(MOD((MIN(Y134,DATE(2018,9,23))-MAX(D134,DATE(2015,5,17)))/365,1),0.25)
)
*
_xlfn.SWITCH(J134,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11.549999999999999</v>
      </c>
      <c r="AB134" s="1" cm="1">
        <f t="array" aca="1" ref="AB134" ca="1">IF(Y134&lt;DATE(2018,9,24),0,
IF(J134="زراعة",
K134*
(
INT((MIN(Y134,DATE(2023,4,30))-MAX(D134,DATE(2018,9,24)))/365)
+
CEILING(MOD((MIN(Y134,DATE(2023,4,30))-MAX(D134,DATE(2018,9,24)))/365,1),0.25)
)
*1,
K134*
(
DATEDIF(MAX(D134,DATE(2018,9,24)),MIN(Y134,DATE(2023,4,30)),"m")+1
)
*
_xlfn.SWITCH(J134,
"موقف/تندة",IF(D134&lt;DATE(2019,11,30),6,30),
"تشوينات",IF(D134&lt;DATE(2019,11,30),4,20),
"مشاتل",IF(D134&lt;DATE(2019,11,30),2,10),
"كافيتيريا",IF(D134&lt;DATE(2019,11,30),30,150),
"نوادي",IF(D134&lt;DATE(2019,11,30),6,30),
"رسو مراكب",IF(D134&lt;DATE(2019,11,30),2,10),
"مباني",IF(D134&lt;DATE(2018,9,24),2,10),
"عشش",IF(D134&lt;DATE(2019,11,30),2,10),
"كشك (تجاري/صناعي)",IF(D134&lt;DATE(2019,11,30),10,50),
"ردم",20,
0)))</f>
        <v>66.5</v>
      </c>
      <c r="AC134" s="1" cm="1">
        <f t="array" aca="1" ref="AC134" ca="1">IF(Y134&lt;DATE(2023,5,1),0,
IF(J134="زراعة",
K134*
(
INT((Y134-MAX(DATE(2023,5,1),D134))/365)
+
CEILING(MOD((Y134-MAX(DATE(2023,5,1),D134))/365,1),0.25)
)
*3,
IF(J134="ردم",
K134*20,
K134*
(
DATEDIF(MAX(DATE(2023,5,1),D134),Y134,"m")+1
)
*
_xlfn.SWITCH(J134,
"موقف/تندة",6,
"تشوينات",4,
"مشاتل",2,
"رسو مراكب",6,
"مباني",3,
"عشش",1,
"كشك (تجاري/صناعي)",20,
"مواسير صرف صحي (&lt;1م)",16,
"مواسير صرف صحي (&gt;1م)",18,
0))))</f>
        <v>136.5</v>
      </c>
      <c r="AD134" s="1">
        <f t="shared" ca="1" si="17"/>
        <v>55</v>
      </c>
    </row>
    <row r="135" spans="1:30" s="80" customFormat="1" ht="19.5" thickBot="1" x14ac:dyDescent="0.3">
      <c r="A135" s="52">
        <v>122</v>
      </c>
      <c r="B135" s="6">
        <v>11</v>
      </c>
      <c r="C135" s="3">
        <v>2016</v>
      </c>
      <c r="D135" s="41">
        <v>42372</v>
      </c>
      <c r="E135" s="12"/>
      <c r="F135" s="6"/>
      <c r="G135" s="3" t="s">
        <v>208</v>
      </c>
      <c r="H135" s="6"/>
      <c r="I135" s="6" t="s">
        <v>211</v>
      </c>
      <c r="J135" s="5" t="s">
        <v>77</v>
      </c>
      <c r="K135" s="6">
        <v>20</v>
      </c>
      <c r="L135" s="3" t="s">
        <v>90</v>
      </c>
      <c r="M135" s="7"/>
      <c r="N135" s="6"/>
      <c r="O135" s="9">
        <f>0.47*Table2[[#This Row],[قيمة المحضر]]</f>
        <v>0</v>
      </c>
      <c r="P135" s="9">
        <f>0.17*Table2[[#This Row],[قيمة المحضر]]</f>
        <v>0</v>
      </c>
      <c r="Q135" s="9">
        <f t="shared" ca="1" si="13"/>
        <v>23900</v>
      </c>
      <c r="R135" s="3"/>
      <c r="S135" s="3"/>
      <c r="T135" s="9" t="str">
        <f t="shared" si="14"/>
        <v>-</v>
      </c>
      <c r="U135" s="3" t="s">
        <v>25</v>
      </c>
      <c r="V135" s="9" t="str">
        <f t="shared" si="15"/>
        <v>-</v>
      </c>
      <c r="W135" s="4"/>
      <c r="X135" s="38"/>
      <c r="Y135" s="1">
        <f t="shared" ca="1" si="16"/>
        <v>46162</v>
      </c>
      <c r="Z135" s="1" cm="1">
        <f t="array" ref="Z135">IF(D135&gt;DATE(2015,5,16),0,
K135*
(
INT((MIN(Y135,DATE(2015,5,16))-D135)/365)
+
CEILING(MOD((MIN(Y135,DATE(2015,5,16))-D135)/365,1),0.25)
)
*
_xlfn.SWITCH(J135,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35" s="1" cm="1">
        <f t="array" aca="1" ref="AA135" ca="1">IF(Y135&lt;DATE(2015,5,17),0,
K135*
(
INT((MIN(Y135,DATE(2018,9,23))-MAX(D135,DATE(2015,5,17)))/365)
+
CEILING(MOD((MIN(Y135,DATE(2018,9,23))-MAX(D135,DATE(2015,5,17)))/365,1),0.25)
)
*
_xlfn.SWITCH(J135,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1100</v>
      </c>
      <c r="AB135" s="1" cm="1">
        <f t="array" aca="1" ref="AB135" ca="1">IF(Y135&lt;DATE(2018,9,24),0,
IF(J135="زراعة",
K135*
(
INT((MIN(Y135,DATE(2023,4,30))-MAX(D135,DATE(2018,9,24)))/365)
+
CEILING(MOD((MIN(Y135,DATE(2023,4,30))-MAX(D135,DATE(2018,9,24)))/365,1),0.25)
)
*1,
K135*
(
DATEDIF(MAX(D135,DATE(2018,9,24)),MIN(Y135,DATE(2023,4,30)),"m")+1
)
*
_xlfn.SWITCH(J135,
"موقف/تندة",IF(D135&lt;DATE(2019,11,30),6,30),
"تشوينات",IF(D135&lt;DATE(2019,11,30),4,20),
"مشاتل",IF(D135&lt;DATE(2019,11,30),2,10),
"كافيتيريا",IF(D135&lt;DATE(2019,11,30),30,150),
"نوادي",IF(D135&lt;DATE(2019,11,30),6,30),
"رسو مراكب",IF(D135&lt;DATE(2019,11,30),2,10),
"مباني",IF(D135&lt;DATE(2018,9,24),2,10),
"عشش",IF(D135&lt;DATE(2019,11,30),2,10),
"كشك (تجاري/صناعي)",IF(D135&lt;DATE(2019,11,30),10,50),
"ردم",20,
0)))</f>
        <v>22400</v>
      </c>
      <c r="AC135" s="1" cm="1">
        <f t="array" aca="1" ref="AC135" ca="1">IF(Y135&lt;DATE(2023,5,1),0,
IF(J135="زراعة",
K135*
(
INT((Y135-MAX(DATE(2023,5,1),D135))/365)
+
CEILING(MOD((Y135-MAX(DATE(2023,5,1),D135))/365,1),0.25)
)
*3,
IF(J135="ردم",
K135*20,
K135*
(
DATEDIF(MAX(DATE(2023,5,1),D135),Y135,"m")+1
)
*
_xlfn.SWITCH(J135,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135" s="1">
        <f t="shared" ca="1" si="17"/>
        <v>55</v>
      </c>
    </row>
    <row r="136" spans="1:30" s="80" customFormat="1" ht="19.5" thickBot="1" x14ac:dyDescent="0.3">
      <c r="A136" s="52">
        <v>122</v>
      </c>
      <c r="B136" s="6">
        <v>11</v>
      </c>
      <c r="C136" s="3">
        <v>2016</v>
      </c>
      <c r="D136" s="41">
        <v>42372</v>
      </c>
      <c r="E136" s="12"/>
      <c r="F136" s="6"/>
      <c r="G136" s="3" t="s">
        <v>208</v>
      </c>
      <c r="H136" s="6"/>
      <c r="I136" s="6" t="s">
        <v>211</v>
      </c>
      <c r="J136" s="3" t="s">
        <v>146</v>
      </c>
      <c r="K136" s="6">
        <v>20</v>
      </c>
      <c r="L136" s="3" t="s">
        <v>90</v>
      </c>
      <c r="M136" s="7"/>
      <c r="N136" s="6"/>
      <c r="O136" s="9">
        <f>0.47*Table2[[#This Row],[قيمة المحضر]]</f>
        <v>0</v>
      </c>
      <c r="P136" s="9">
        <f>0.17*Table2[[#This Row],[قيمة المحضر]]</f>
        <v>0</v>
      </c>
      <c r="Q136" s="9">
        <f t="shared" ca="1" si="13"/>
        <v>306.5</v>
      </c>
      <c r="R136" s="3"/>
      <c r="S136" s="3"/>
      <c r="T136" s="9" t="str">
        <f t="shared" si="14"/>
        <v>-</v>
      </c>
      <c r="U136" s="3" t="s">
        <v>25</v>
      </c>
      <c r="V136" s="9" t="str">
        <f t="shared" si="15"/>
        <v>-</v>
      </c>
      <c r="W136" s="4"/>
      <c r="X136" s="38"/>
      <c r="Y136" s="1">
        <f t="shared" ca="1" si="16"/>
        <v>46162</v>
      </c>
      <c r="Z136" s="1" cm="1">
        <f t="array" ref="Z136">IF(D136&gt;DATE(2015,5,16),0,
K136*
(
INT((MIN(Y136,DATE(2015,5,16))-D136)/365)
+
CEILING(MOD((MIN(Y136,DATE(2015,5,16))-D136)/365,1),0.25)
)
*
_xlfn.SWITCH(J136,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36" s="1" cm="1">
        <f t="array" aca="1" ref="AA136" ca="1">IF(Y136&lt;DATE(2015,5,17),0,
K136*
(
INT((MIN(Y136,DATE(2018,9,23))-MAX(D136,DATE(2015,5,17)))/365)
+
CEILING(MOD((MIN(Y136,DATE(2018,9,23))-MAX(D136,DATE(2015,5,17)))/365,1),0.25)
)
*
_xlfn.SWITCH(J136,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16.5</v>
      </c>
      <c r="AB136" s="1" cm="1">
        <f t="array" aca="1" ref="AB136" ca="1">IF(Y136&lt;DATE(2018,9,24),0,
IF(J136="زراعة",
K136*
(
INT((MIN(Y136,DATE(2023,4,30))-MAX(D136,DATE(2018,9,24)))/365)
+
CEILING(MOD((MIN(Y136,DATE(2023,4,30))-MAX(D136,DATE(2018,9,24)))/365,1),0.25)
)
*1,
K136*
(
DATEDIF(MAX(D136,DATE(2018,9,24)),MIN(Y136,DATE(2023,4,30)),"m")+1
)
*
_xlfn.SWITCH(J136,
"موقف/تندة",IF(D136&lt;DATE(2019,11,30),6,30),
"تشوينات",IF(D136&lt;DATE(2019,11,30),4,20),
"مشاتل",IF(D136&lt;DATE(2019,11,30),2,10),
"كافيتيريا",IF(D136&lt;DATE(2019,11,30),30,150),
"نوادي",IF(D136&lt;DATE(2019,11,30),6,30),
"رسو مراكب",IF(D136&lt;DATE(2019,11,30),2,10),
"مباني",IF(D136&lt;DATE(2018,9,24),2,10),
"عشش",IF(D136&lt;DATE(2019,11,30),2,10),
"كشك (تجاري/صناعي)",IF(D136&lt;DATE(2019,11,30),10,50),
"ردم",20,
0)))</f>
        <v>95</v>
      </c>
      <c r="AC136" s="1" cm="1">
        <f t="array" aca="1" ref="AC136" ca="1">IF(Y136&lt;DATE(2023,5,1),0,
IF(J136="زراعة",
K136*
(
INT((Y136-MAX(DATE(2023,5,1),D136))/365)
+
CEILING(MOD((Y136-MAX(DATE(2023,5,1),D136))/365,1),0.25)
)
*3,
IF(J136="ردم",
K136*20,
K136*
(
DATEDIF(MAX(DATE(2023,5,1),D136),Y136,"m")+1
)
*
_xlfn.SWITCH(J136,
"موقف/تندة",6,
"تشوينات",4,
"مشاتل",2,
"رسو مراكب",6,
"مباني",3,
"عشش",1,
"كشك (تجاري/صناعي)",20,
"مواسير صرف صحي (&lt;1م)",16,
"مواسير صرف صحي (&gt;1م)",18,
0))))</f>
        <v>195</v>
      </c>
      <c r="AD136" s="1">
        <f t="shared" ca="1" si="17"/>
        <v>55</v>
      </c>
    </row>
    <row r="137" spans="1:30" s="80" customFormat="1" ht="19.5" thickBot="1" x14ac:dyDescent="0.3">
      <c r="A137" s="52">
        <v>123</v>
      </c>
      <c r="B137" s="6">
        <v>12</v>
      </c>
      <c r="C137" s="3">
        <v>2016</v>
      </c>
      <c r="D137" s="41">
        <v>42372</v>
      </c>
      <c r="E137" s="12"/>
      <c r="F137" s="6"/>
      <c r="G137" s="6" t="s">
        <v>209</v>
      </c>
      <c r="H137" s="6"/>
      <c r="I137" s="6" t="s">
        <v>211</v>
      </c>
      <c r="J137" s="5" t="s">
        <v>77</v>
      </c>
      <c r="K137" s="6">
        <v>20</v>
      </c>
      <c r="L137" s="3" t="s">
        <v>90</v>
      </c>
      <c r="M137" s="7"/>
      <c r="N137" s="6"/>
      <c r="O137" s="9">
        <f>0.47*Table2[[#This Row],[قيمة المحضر]]</f>
        <v>0</v>
      </c>
      <c r="P137" s="9">
        <f>0.17*Table2[[#This Row],[قيمة المحضر]]</f>
        <v>0</v>
      </c>
      <c r="Q137" s="9">
        <f t="shared" ca="1" si="13"/>
        <v>23900</v>
      </c>
      <c r="R137" s="3"/>
      <c r="S137" s="3"/>
      <c r="T137" s="9" t="str">
        <f t="shared" si="14"/>
        <v>-</v>
      </c>
      <c r="U137" s="3" t="s">
        <v>25</v>
      </c>
      <c r="V137" s="9" t="str">
        <f t="shared" si="15"/>
        <v>-</v>
      </c>
      <c r="W137" s="4"/>
      <c r="X137" s="38"/>
      <c r="Y137" s="1">
        <f t="shared" ca="1" si="16"/>
        <v>46162</v>
      </c>
      <c r="Z137" s="1" cm="1">
        <f t="array" ref="Z137">IF(D137&gt;DATE(2015,5,16),0,
K137*
(
INT((MIN(Y137,DATE(2015,5,16))-D137)/365)
+
CEILING(MOD((MIN(Y137,DATE(2015,5,16))-D137)/365,1),0.25)
)
*
_xlfn.SWITCH(J137,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37" s="1" cm="1">
        <f t="array" aca="1" ref="AA137" ca="1">IF(Y137&lt;DATE(2015,5,17),0,
K137*
(
INT((MIN(Y137,DATE(2018,9,23))-MAX(D137,DATE(2015,5,17)))/365)
+
CEILING(MOD((MIN(Y137,DATE(2018,9,23))-MAX(D137,DATE(2015,5,17)))/365,1),0.25)
)
*
_xlfn.SWITCH(J137,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1100</v>
      </c>
      <c r="AB137" s="1" cm="1">
        <f t="array" aca="1" ref="AB137" ca="1">IF(Y137&lt;DATE(2018,9,24),0,
IF(J137="زراعة",
K137*
(
INT((MIN(Y137,DATE(2023,4,30))-MAX(D137,DATE(2018,9,24)))/365)
+
CEILING(MOD((MIN(Y137,DATE(2023,4,30))-MAX(D137,DATE(2018,9,24)))/365,1),0.25)
)
*1,
K137*
(
DATEDIF(MAX(D137,DATE(2018,9,24)),MIN(Y137,DATE(2023,4,30)),"m")+1
)
*
_xlfn.SWITCH(J137,
"موقف/تندة",IF(D137&lt;DATE(2019,11,30),6,30),
"تشوينات",IF(D137&lt;DATE(2019,11,30),4,20),
"مشاتل",IF(D137&lt;DATE(2019,11,30),2,10),
"كافيتيريا",IF(D137&lt;DATE(2019,11,30),30,150),
"نوادي",IF(D137&lt;DATE(2019,11,30),6,30),
"رسو مراكب",IF(D137&lt;DATE(2019,11,30),2,10),
"مباني",IF(D137&lt;DATE(2018,9,24),2,10),
"عشش",IF(D137&lt;DATE(2019,11,30),2,10),
"كشك (تجاري/صناعي)",IF(D137&lt;DATE(2019,11,30),10,50),
"ردم",20,
0)))</f>
        <v>22400</v>
      </c>
      <c r="AC137" s="1" cm="1">
        <f t="array" aca="1" ref="AC137" ca="1">IF(Y137&lt;DATE(2023,5,1),0,
IF(J137="زراعة",
K137*
(
INT((Y137-MAX(DATE(2023,5,1),D137))/365)
+
CEILING(MOD((Y137-MAX(DATE(2023,5,1),D137))/365,1),0.25)
)
*3,
IF(J137="ردم",
K137*20,
K137*
(
DATEDIF(MAX(DATE(2023,5,1),D137),Y137,"m")+1
)
*
_xlfn.SWITCH(J137,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137" s="1">
        <f t="shared" ca="1" si="17"/>
        <v>55</v>
      </c>
    </row>
    <row r="138" spans="1:30" s="80" customFormat="1" ht="19.5" thickBot="1" x14ac:dyDescent="0.3">
      <c r="A138" s="52">
        <v>123</v>
      </c>
      <c r="B138" s="6">
        <v>12</v>
      </c>
      <c r="C138" s="3">
        <v>2016</v>
      </c>
      <c r="D138" s="41">
        <v>42372</v>
      </c>
      <c r="E138" s="12"/>
      <c r="F138" s="6"/>
      <c r="G138" s="6" t="s">
        <v>209</v>
      </c>
      <c r="H138" s="6"/>
      <c r="I138" s="6" t="s">
        <v>211</v>
      </c>
      <c r="J138" s="3" t="s">
        <v>146</v>
      </c>
      <c r="K138" s="6">
        <v>20</v>
      </c>
      <c r="L138" s="3" t="s">
        <v>90</v>
      </c>
      <c r="M138" s="7"/>
      <c r="N138" s="6"/>
      <c r="O138" s="9">
        <f>0.47*Table2[[#This Row],[قيمة المحضر]]</f>
        <v>0</v>
      </c>
      <c r="P138" s="9">
        <f>0.17*Table2[[#This Row],[قيمة المحضر]]</f>
        <v>0</v>
      </c>
      <c r="Q138" s="9">
        <f t="shared" ca="1" si="13"/>
        <v>306.5</v>
      </c>
      <c r="R138" s="3"/>
      <c r="S138" s="3"/>
      <c r="T138" s="9" t="str">
        <f t="shared" si="14"/>
        <v>-</v>
      </c>
      <c r="U138" s="3" t="s">
        <v>25</v>
      </c>
      <c r="V138" s="9" t="str">
        <f t="shared" si="15"/>
        <v>-</v>
      </c>
      <c r="W138" s="4"/>
      <c r="X138" s="38"/>
      <c r="Y138" s="1">
        <f t="shared" ca="1" si="16"/>
        <v>46162</v>
      </c>
      <c r="Z138" s="1" cm="1">
        <f t="array" ref="Z138">IF(D138&gt;DATE(2015,5,16),0,
K138*
(
INT((MIN(Y138,DATE(2015,5,16))-D138)/365)
+
CEILING(MOD((MIN(Y138,DATE(2015,5,16))-D138)/365,1),0.25)
)
*
_xlfn.SWITCH(J138,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38" s="1" cm="1">
        <f t="array" aca="1" ref="AA138" ca="1">IF(Y138&lt;DATE(2015,5,17),0,
K138*
(
INT((MIN(Y138,DATE(2018,9,23))-MAX(D138,DATE(2015,5,17)))/365)
+
CEILING(MOD((MIN(Y138,DATE(2018,9,23))-MAX(D138,DATE(2015,5,17)))/365,1),0.25)
)
*
_xlfn.SWITCH(J138,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16.5</v>
      </c>
      <c r="AB138" s="1" cm="1">
        <f t="array" aca="1" ref="AB138" ca="1">IF(Y138&lt;DATE(2018,9,24),0,
IF(J138="زراعة",
K138*
(
INT((MIN(Y138,DATE(2023,4,30))-MAX(D138,DATE(2018,9,24)))/365)
+
CEILING(MOD((MIN(Y138,DATE(2023,4,30))-MAX(D138,DATE(2018,9,24)))/365,1),0.25)
)
*1,
K138*
(
DATEDIF(MAX(D138,DATE(2018,9,24)),MIN(Y138,DATE(2023,4,30)),"m")+1
)
*
_xlfn.SWITCH(J138,
"موقف/تندة",IF(D138&lt;DATE(2019,11,30),6,30),
"تشوينات",IF(D138&lt;DATE(2019,11,30),4,20),
"مشاتل",IF(D138&lt;DATE(2019,11,30),2,10),
"كافيتيريا",IF(D138&lt;DATE(2019,11,30),30,150),
"نوادي",IF(D138&lt;DATE(2019,11,30),6,30),
"رسو مراكب",IF(D138&lt;DATE(2019,11,30),2,10),
"مباني",IF(D138&lt;DATE(2018,9,24),2,10),
"عشش",IF(D138&lt;DATE(2019,11,30),2,10),
"كشك (تجاري/صناعي)",IF(D138&lt;DATE(2019,11,30),10,50),
"ردم",20,
0)))</f>
        <v>95</v>
      </c>
      <c r="AC138" s="1" cm="1">
        <f t="array" aca="1" ref="AC138" ca="1">IF(Y138&lt;DATE(2023,5,1),0,
IF(J138="زراعة",
K138*
(
INT((Y138-MAX(DATE(2023,5,1),D138))/365)
+
CEILING(MOD((Y138-MAX(DATE(2023,5,1),D138))/365,1),0.25)
)
*3,
IF(J138="ردم",
K138*20,
K138*
(
DATEDIF(MAX(DATE(2023,5,1),D138),Y138,"m")+1
)
*
_xlfn.SWITCH(J138,
"موقف/تندة",6,
"تشوينات",4,
"مشاتل",2,
"رسو مراكب",6,
"مباني",3,
"عشش",1,
"كشك (تجاري/صناعي)",20,
"مواسير صرف صحي (&lt;1م)",16,
"مواسير صرف صحي (&gt;1م)",18,
0))))</f>
        <v>195</v>
      </c>
      <c r="AD138" s="1">
        <f t="shared" ca="1" si="17"/>
        <v>55</v>
      </c>
    </row>
    <row r="139" spans="1:30" s="80" customFormat="1" ht="19.5" thickBot="1" x14ac:dyDescent="0.3">
      <c r="A139" s="52">
        <v>124</v>
      </c>
      <c r="B139" s="6">
        <v>13</v>
      </c>
      <c r="C139" s="3">
        <v>2016</v>
      </c>
      <c r="D139" s="41">
        <v>42372</v>
      </c>
      <c r="E139" s="12"/>
      <c r="F139" s="6"/>
      <c r="G139" s="6" t="s">
        <v>215</v>
      </c>
      <c r="H139" s="6"/>
      <c r="I139" s="6" t="s">
        <v>211</v>
      </c>
      <c r="J139" s="5" t="s">
        <v>77</v>
      </c>
      <c r="K139" s="6">
        <v>20</v>
      </c>
      <c r="L139" s="3" t="s">
        <v>90</v>
      </c>
      <c r="M139" s="7"/>
      <c r="N139" s="6"/>
      <c r="O139" s="9">
        <f>0.47*Table2[[#This Row],[قيمة المحضر]]</f>
        <v>0</v>
      </c>
      <c r="P139" s="9">
        <f>0.17*Table2[[#This Row],[قيمة المحضر]]</f>
        <v>0</v>
      </c>
      <c r="Q139" s="9">
        <f t="shared" ca="1" si="13"/>
        <v>23900</v>
      </c>
      <c r="R139" s="3"/>
      <c r="S139" s="3"/>
      <c r="T139" s="9" t="str">
        <f t="shared" si="14"/>
        <v>-</v>
      </c>
      <c r="U139" s="3" t="s">
        <v>25</v>
      </c>
      <c r="V139" s="9" t="str">
        <f t="shared" si="15"/>
        <v>-</v>
      </c>
      <c r="W139" s="4"/>
      <c r="X139" s="38"/>
      <c r="Y139" s="1">
        <f t="shared" ca="1" si="16"/>
        <v>46162</v>
      </c>
      <c r="Z139" s="1" cm="1">
        <f t="array" ref="Z139">IF(D139&gt;DATE(2015,5,16),0,
K139*
(
INT((MIN(Y139,DATE(2015,5,16))-D139)/365)
+
CEILING(MOD((MIN(Y139,DATE(2015,5,16))-D139)/365,1),0.25)
)
*
_xlfn.SWITCH(J139,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39" s="1" cm="1">
        <f t="array" aca="1" ref="AA139" ca="1">IF(Y139&lt;DATE(2015,5,17),0,
K139*
(
INT((MIN(Y139,DATE(2018,9,23))-MAX(D139,DATE(2015,5,17)))/365)
+
CEILING(MOD((MIN(Y139,DATE(2018,9,23))-MAX(D139,DATE(2015,5,17)))/365,1),0.25)
)
*
_xlfn.SWITCH(J139,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1100</v>
      </c>
      <c r="AB139" s="1" cm="1">
        <f t="array" aca="1" ref="AB139" ca="1">IF(Y139&lt;DATE(2018,9,24),0,
IF(J139="زراعة",
K139*
(
INT((MIN(Y139,DATE(2023,4,30))-MAX(D139,DATE(2018,9,24)))/365)
+
CEILING(MOD((MIN(Y139,DATE(2023,4,30))-MAX(D139,DATE(2018,9,24)))/365,1),0.25)
)
*1,
K139*
(
DATEDIF(MAX(D139,DATE(2018,9,24)),MIN(Y139,DATE(2023,4,30)),"m")+1
)
*
_xlfn.SWITCH(J139,
"موقف/تندة",IF(D139&lt;DATE(2019,11,30),6,30),
"تشوينات",IF(D139&lt;DATE(2019,11,30),4,20),
"مشاتل",IF(D139&lt;DATE(2019,11,30),2,10),
"كافيتيريا",IF(D139&lt;DATE(2019,11,30),30,150),
"نوادي",IF(D139&lt;DATE(2019,11,30),6,30),
"رسو مراكب",IF(D139&lt;DATE(2019,11,30),2,10),
"مباني",IF(D139&lt;DATE(2018,9,24),2,10),
"عشش",IF(D139&lt;DATE(2019,11,30),2,10),
"كشك (تجاري/صناعي)",IF(D139&lt;DATE(2019,11,30),10,50),
"ردم",20,
0)))</f>
        <v>22400</v>
      </c>
      <c r="AC139" s="1" cm="1">
        <f t="array" aca="1" ref="AC139" ca="1">IF(Y139&lt;DATE(2023,5,1),0,
IF(J139="زراعة",
K139*
(
INT((Y139-MAX(DATE(2023,5,1),D139))/365)
+
CEILING(MOD((Y139-MAX(DATE(2023,5,1),D139))/365,1),0.25)
)
*3,
IF(J139="ردم",
K139*20,
K139*
(
DATEDIF(MAX(DATE(2023,5,1),D139),Y139,"m")+1
)
*
_xlfn.SWITCH(J139,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139" s="1">
        <f t="shared" ca="1" si="17"/>
        <v>55</v>
      </c>
    </row>
    <row r="140" spans="1:30" s="80" customFormat="1" ht="19.5" thickBot="1" x14ac:dyDescent="0.3">
      <c r="A140" s="52">
        <v>124</v>
      </c>
      <c r="B140" s="6">
        <v>13</v>
      </c>
      <c r="C140" s="3">
        <v>2016</v>
      </c>
      <c r="D140" s="41">
        <v>42372</v>
      </c>
      <c r="E140" s="12"/>
      <c r="F140" s="6"/>
      <c r="G140" s="6" t="s">
        <v>215</v>
      </c>
      <c r="H140" s="6"/>
      <c r="I140" s="6" t="s">
        <v>211</v>
      </c>
      <c r="J140" s="3" t="s">
        <v>146</v>
      </c>
      <c r="K140" s="6">
        <v>20</v>
      </c>
      <c r="L140" s="3" t="s">
        <v>90</v>
      </c>
      <c r="M140" s="7"/>
      <c r="N140" s="6"/>
      <c r="O140" s="9">
        <f>0.47*Table2[[#This Row],[قيمة المحضر]]</f>
        <v>0</v>
      </c>
      <c r="P140" s="9">
        <f>0.17*Table2[[#This Row],[قيمة المحضر]]</f>
        <v>0</v>
      </c>
      <c r="Q140" s="9">
        <f t="shared" ca="1" si="13"/>
        <v>306.5</v>
      </c>
      <c r="R140" s="3"/>
      <c r="S140" s="3"/>
      <c r="T140" s="9" t="str">
        <f t="shared" si="14"/>
        <v>-</v>
      </c>
      <c r="U140" s="3" t="s">
        <v>25</v>
      </c>
      <c r="V140" s="9" t="str">
        <f t="shared" si="15"/>
        <v>-</v>
      </c>
      <c r="W140" s="4"/>
      <c r="X140" s="38"/>
      <c r="Y140" s="1">
        <f t="shared" ca="1" si="16"/>
        <v>46162</v>
      </c>
      <c r="Z140" s="1" cm="1">
        <f t="array" ref="Z140">IF(D140&gt;DATE(2015,5,16),0,
K140*
(
INT((MIN(Y140,DATE(2015,5,16))-D140)/365)
+
CEILING(MOD((MIN(Y140,DATE(2015,5,16))-D140)/365,1),0.25)
)
*
_xlfn.SWITCH(J140,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40" s="1" cm="1">
        <f t="array" aca="1" ref="AA140" ca="1">IF(Y140&lt;DATE(2015,5,17),0,
K140*
(
INT((MIN(Y140,DATE(2018,9,23))-MAX(D140,DATE(2015,5,17)))/365)
+
CEILING(MOD((MIN(Y140,DATE(2018,9,23))-MAX(D140,DATE(2015,5,17)))/365,1),0.25)
)
*
_xlfn.SWITCH(J140,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16.5</v>
      </c>
      <c r="AB140" s="1" cm="1">
        <f t="array" aca="1" ref="AB140" ca="1">IF(Y140&lt;DATE(2018,9,24),0,
IF(J140="زراعة",
K140*
(
INT((MIN(Y140,DATE(2023,4,30))-MAX(D140,DATE(2018,9,24)))/365)
+
CEILING(MOD((MIN(Y140,DATE(2023,4,30))-MAX(D140,DATE(2018,9,24)))/365,1),0.25)
)
*1,
K140*
(
DATEDIF(MAX(D140,DATE(2018,9,24)),MIN(Y140,DATE(2023,4,30)),"m")+1
)
*
_xlfn.SWITCH(J140,
"موقف/تندة",IF(D140&lt;DATE(2019,11,30),6,30),
"تشوينات",IF(D140&lt;DATE(2019,11,30),4,20),
"مشاتل",IF(D140&lt;DATE(2019,11,30),2,10),
"كافيتيريا",IF(D140&lt;DATE(2019,11,30),30,150),
"نوادي",IF(D140&lt;DATE(2019,11,30),6,30),
"رسو مراكب",IF(D140&lt;DATE(2019,11,30),2,10),
"مباني",IF(D140&lt;DATE(2018,9,24),2,10),
"عشش",IF(D140&lt;DATE(2019,11,30),2,10),
"كشك (تجاري/صناعي)",IF(D140&lt;DATE(2019,11,30),10,50),
"ردم",20,
0)))</f>
        <v>95</v>
      </c>
      <c r="AC140" s="1" cm="1">
        <f t="array" aca="1" ref="AC140" ca="1">IF(Y140&lt;DATE(2023,5,1),0,
IF(J140="زراعة",
K140*
(
INT((Y140-MAX(DATE(2023,5,1),D140))/365)
+
CEILING(MOD((Y140-MAX(DATE(2023,5,1),D140))/365,1),0.25)
)
*3,
IF(J140="ردم",
K140*20,
K140*
(
DATEDIF(MAX(DATE(2023,5,1),D140),Y140,"m")+1
)
*
_xlfn.SWITCH(J140,
"موقف/تندة",6,
"تشوينات",4,
"مشاتل",2,
"رسو مراكب",6,
"مباني",3,
"عشش",1,
"كشك (تجاري/صناعي)",20,
"مواسير صرف صحي (&lt;1م)",16,
"مواسير صرف صحي (&gt;1م)",18,
0))))</f>
        <v>195</v>
      </c>
      <c r="AD140" s="1">
        <f t="shared" ca="1" si="17"/>
        <v>55</v>
      </c>
    </row>
    <row r="141" spans="1:30" s="80" customFormat="1" ht="19.5" thickBot="1" x14ac:dyDescent="0.3">
      <c r="A141" s="52">
        <v>125</v>
      </c>
      <c r="B141" s="6">
        <v>14</v>
      </c>
      <c r="C141" s="3">
        <v>2016</v>
      </c>
      <c r="D141" s="41">
        <v>42372</v>
      </c>
      <c r="E141" s="12"/>
      <c r="F141" s="6"/>
      <c r="G141" s="6" t="s">
        <v>216</v>
      </c>
      <c r="H141" s="6"/>
      <c r="I141" s="6" t="s">
        <v>211</v>
      </c>
      <c r="J141" s="5" t="s">
        <v>77</v>
      </c>
      <c r="K141" s="6">
        <v>20</v>
      </c>
      <c r="L141" s="3" t="s">
        <v>90</v>
      </c>
      <c r="M141" s="7"/>
      <c r="N141" s="6"/>
      <c r="O141" s="9">
        <f>0.47*Table2[[#This Row],[قيمة المحضر]]</f>
        <v>0</v>
      </c>
      <c r="P141" s="9">
        <f>0.17*Table2[[#This Row],[قيمة المحضر]]</f>
        <v>0</v>
      </c>
      <c r="Q141" s="9">
        <f t="shared" ca="1" si="13"/>
        <v>23900</v>
      </c>
      <c r="R141" s="3"/>
      <c r="S141" s="3"/>
      <c r="T141" s="9" t="str">
        <f t="shared" si="14"/>
        <v>-</v>
      </c>
      <c r="U141" s="3" t="s">
        <v>25</v>
      </c>
      <c r="V141" s="9" t="str">
        <f t="shared" si="15"/>
        <v>-</v>
      </c>
      <c r="W141" s="4"/>
      <c r="X141" s="38"/>
      <c r="Y141" s="1">
        <f t="shared" ca="1" si="16"/>
        <v>46162</v>
      </c>
      <c r="Z141" s="1" cm="1">
        <f t="array" ref="Z141">IF(D141&gt;DATE(2015,5,16),0,
K141*
(
INT((MIN(Y141,DATE(2015,5,16))-D141)/365)
+
CEILING(MOD((MIN(Y141,DATE(2015,5,16))-D141)/365,1),0.25)
)
*
_xlfn.SWITCH(J141,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41" s="1" cm="1">
        <f t="array" aca="1" ref="AA141" ca="1">IF(Y141&lt;DATE(2015,5,17),0,
K141*
(
INT((MIN(Y141,DATE(2018,9,23))-MAX(D141,DATE(2015,5,17)))/365)
+
CEILING(MOD((MIN(Y141,DATE(2018,9,23))-MAX(D141,DATE(2015,5,17)))/365,1),0.25)
)
*
_xlfn.SWITCH(J141,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1100</v>
      </c>
      <c r="AB141" s="1" cm="1">
        <f t="array" aca="1" ref="AB141" ca="1">IF(Y141&lt;DATE(2018,9,24),0,
IF(J141="زراعة",
K141*
(
INT((MIN(Y141,DATE(2023,4,30))-MAX(D141,DATE(2018,9,24)))/365)
+
CEILING(MOD((MIN(Y141,DATE(2023,4,30))-MAX(D141,DATE(2018,9,24)))/365,1),0.25)
)
*1,
K141*
(
DATEDIF(MAX(D141,DATE(2018,9,24)),MIN(Y141,DATE(2023,4,30)),"m")+1
)
*
_xlfn.SWITCH(J141,
"موقف/تندة",IF(D141&lt;DATE(2019,11,30),6,30),
"تشوينات",IF(D141&lt;DATE(2019,11,30),4,20),
"مشاتل",IF(D141&lt;DATE(2019,11,30),2,10),
"كافيتيريا",IF(D141&lt;DATE(2019,11,30),30,150),
"نوادي",IF(D141&lt;DATE(2019,11,30),6,30),
"رسو مراكب",IF(D141&lt;DATE(2019,11,30),2,10),
"مباني",IF(D141&lt;DATE(2018,9,24),2,10),
"عشش",IF(D141&lt;DATE(2019,11,30),2,10),
"كشك (تجاري/صناعي)",IF(D141&lt;DATE(2019,11,30),10,50),
"ردم",20,
0)))</f>
        <v>22400</v>
      </c>
      <c r="AC141" s="1" cm="1">
        <f t="array" aca="1" ref="AC141" ca="1">IF(Y141&lt;DATE(2023,5,1),0,
IF(J141="زراعة",
K141*
(
INT((Y141-MAX(DATE(2023,5,1),D141))/365)
+
CEILING(MOD((Y141-MAX(DATE(2023,5,1),D141))/365,1),0.25)
)
*3,
IF(J141="ردم",
K141*20,
K141*
(
DATEDIF(MAX(DATE(2023,5,1),D141),Y141,"m")+1
)
*
_xlfn.SWITCH(J141,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141" s="1">
        <f t="shared" ca="1" si="17"/>
        <v>55</v>
      </c>
    </row>
    <row r="142" spans="1:30" s="80" customFormat="1" ht="19.5" thickBot="1" x14ac:dyDescent="0.3">
      <c r="A142" s="52">
        <v>125</v>
      </c>
      <c r="B142" s="6">
        <v>14</v>
      </c>
      <c r="C142" s="3">
        <v>2016</v>
      </c>
      <c r="D142" s="41">
        <v>42372</v>
      </c>
      <c r="E142" s="12"/>
      <c r="F142" s="6"/>
      <c r="G142" s="6" t="s">
        <v>216</v>
      </c>
      <c r="H142" s="6"/>
      <c r="I142" s="6" t="s">
        <v>211</v>
      </c>
      <c r="J142" s="3" t="s">
        <v>146</v>
      </c>
      <c r="K142" s="6">
        <v>20</v>
      </c>
      <c r="L142" s="3" t="s">
        <v>90</v>
      </c>
      <c r="M142" s="7"/>
      <c r="N142" s="6"/>
      <c r="O142" s="9">
        <f>0.47*Table2[[#This Row],[قيمة المحضر]]</f>
        <v>0</v>
      </c>
      <c r="P142" s="9">
        <f>0.17*Table2[[#This Row],[قيمة المحضر]]</f>
        <v>0</v>
      </c>
      <c r="Q142" s="9">
        <f t="shared" ca="1" si="13"/>
        <v>306.5</v>
      </c>
      <c r="R142" s="3"/>
      <c r="S142" s="3"/>
      <c r="T142" s="9" t="str">
        <f t="shared" si="14"/>
        <v>-</v>
      </c>
      <c r="U142" s="3" t="s">
        <v>25</v>
      </c>
      <c r="V142" s="9" t="str">
        <f t="shared" si="15"/>
        <v>-</v>
      </c>
      <c r="W142" s="4"/>
      <c r="X142" s="38"/>
      <c r="Y142" s="1">
        <f t="shared" ca="1" si="16"/>
        <v>46162</v>
      </c>
      <c r="Z142" s="1" cm="1">
        <f t="array" ref="Z142">IF(D142&gt;DATE(2015,5,16),0,
K142*
(
INT((MIN(Y142,DATE(2015,5,16))-D142)/365)
+
CEILING(MOD((MIN(Y142,DATE(2015,5,16))-D142)/365,1),0.25)
)
*
_xlfn.SWITCH(J142,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42" s="1" cm="1">
        <f t="array" aca="1" ref="AA142" ca="1">IF(Y142&lt;DATE(2015,5,17),0,
K142*
(
INT((MIN(Y142,DATE(2018,9,23))-MAX(D142,DATE(2015,5,17)))/365)
+
CEILING(MOD((MIN(Y142,DATE(2018,9,23))-MAX(D142,DATE(2015,5,17)))/365,1),0.25)
)
*
_xlfn.SWITCH(J142,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16.5</v>
      </c>
      <c r="AB142" s="1" cm="1">
        <f t="array" aca="1" ref="AB142" ca="1">IF(Y142&lt;DATE(2018,9,24),0,
IF(J142="زراعة",
K142*
(
INT((MIN(Y142,DATE(2023,4,30))-MAX(D142,DATE(2018,9,24)))/365)
+
CEILING(MOD((MIN(Y142,DATE(2023,4,30))-MAX(D142,DATE(2018,9,24)))/365,1),0.25)
)
*1,
K142*
(
DATEDIF(MAX(D142,DATE(2018,9,24)),MIN(Y142,DATE(2023,4,30)),"m")+1
)
*
_xlfn.SWITCH(J142,
"موقف/تندة",IF(D142&lt;DATE(2019,11,30),6,30),
"تشوينات",IF(D142&lt;DATE(2019,11,30),4,20),
"مشاتل",IF(D142&lt;DATE(2019,11,30),2,10),
"كافيتيريا",IF(D142&lt;DATE(2019,11,30),30,150),
"نوادي",IF(D142&lt;DATE(2019,11,30),6,30),
"رسو مراكب",IF(D142&lt;DATE(2019,11,30),2,10),
"مباني",IF(D142&lt;DATE(2018,9,24),2,10),
"عشش",IF(D142&lt;DATE(2019,11,30),2,10),
"كشك (تجاري/صناعي)",IF(D142&lt;DATE(2019,11,30),10,50),
"ردم",20,
0)))</f>
        <v>95</v>
      </c>
      <c r="AC142" s="1" cm="1">
        <f t="array" aca="1" ref="AC142" ca="1">IF(Y142&lt;DATE(2023,5,1),0,
IF(J142="زراعة",
K142*
(
INT((Y142-MAX(DATE(2023,5,1),D142))/365)
+
CEILING(MOD((Y142-MAX(DATE(2023,5,1),D142))/365,1),0.25)
)
*3,
IF(J142="ردم",
K142*20,
K142*
(
DATEDIF(MAX(DATE(2023,5,1),D142),Y142,"m")+1
)
*
_xlfn.SWITCH(J142,
"موقف/تندة",6,
"تشوينات",4,
"مشاتل",2,
"رسو مراكب",6,
"مباني",3,
"عشش",1,
"كشك (تجاري/صناعي)",20,
"مواسير صرف صحي (&lt;1م)",16,
"مواسير صرف صحي (&gt;1م)",18,
0))))</f>
        <v>195</v>
      </c>
      <c r="AD142" s="1">
        <f t="shared" ca="1" si="17"/>
        <v>55</v>
      </c>
    </row>
    <row r="143" spans="1:30" s="80" customFormat="1" ht="19.5" thickBot="1" x14ac:dyDescent="0.3">
      <c r="A143" s="52">
        <v>126</v>
      </c>
      <c r="B143" s="6">
        <v>15</v>
      </c>
      <c r="C143" s="3">
        <v>2016</v>
      </c>
      <c r="D143" s="41">
        <v>42372</v>
      </c>
      <c r="E143" s="12"/>
      <c r="F143" s="6"/>
      <c r="G143" s="6" t="s">
        <v>217</v>
      </c>
      <c r="H143" s="6"/>
      <c r="I143" s="6" t="s">
        <v>211</v>
      </c>
      <c r="J143" s="5" t="s">
        <v>77</v>
      </c>
      <c r="K143" s="6">
        <v>20</v>
      </c>
      <c r="L143" s="3" t="s">
        <v>90</v>
      </c>
      <c r="M143" s="7"/>
      <c r="N143" s="6"/>
      <c r="O143" s="9">
        <f>0.47*Table2[[#This Row],[قيمة المحضر]]</f>
        <v>0</v>
      </c>
      <c r="P143" s="9">
        <f>0.17*Table2[[#This Row],[قيمة المحضر]]</f>
        <v>0</v>
      </c>
      <c r="Q143" s="9">
        <f t="shared" ca="1" si="13"/>
        <v>23900</v>
      </c>
      <c r="R143" s="3"/>
      <c r="S143" s="3"/>
      <c r="T143" s="9" t="str">
        <f t="shared" si="14"/>
        <v>-</v>
      </c>
      <c r="U143" s="3" t="s">
        <v>25</v>
      </c>
      <c r="V143" s="9" t="str">
        <f t="shared" si="15"/>
        <v>-</v>
      </c>
      <c r="W143" s="4"/>
      <c r="X143" s="38"/>
      <c r="Y143" s="1">
        <f t="shared" ca="1" si="16"/>
        <v>46162</v>
      </c>
      <c r="Z143" s="1" cm="1">
        <f t="array" ref="Z143">IF(D143&gt;DATE(2015,5,16),0,
K143*
(
INT((MIN(Y143,DATE(2015,5,16))-D143)/365)
+
CEILING(MOD((MIN(Y143,DATE(2015,5,16))-D143)/365,1),0.25)
)
*
_xlfn.SWITCH(J143,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43" s="1" cm="1">
        <f t="array" aca="1" ref="AA143" ca="1">IF(Y143&lt;DATE(2015,5,17),0,
K143*
(
INT((MIN(Y143,DATE(2018,9,23))-MAX(D143,DATE(2015,5,17)))/365)
+
CEILING(MOD((MIN(Y143,DATE(2018,9,23))-MAX(D143,DATE(2015,5,17)))/365,1),0.25)
)
*
_xlfn.SWITCH(J143,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1100</v>
      </c>
      <c r="AB143" s="1" cm="1">
        <f t="array" aca="1" ref="AB143" ca="1">IF(Y143&lt;DATE(2018,9,24),0,
IF(J143="زراعة",
K143*
(
INT((MIN(Y143,DATE(2023,4,30))-MAX(D143,DATE(2018,9,24)))/365)
+
CEILING(MOD((MIN(Y143,DATE(2023,4,30))-MAX(D143,DATE(2018,9,24)))/365,1),0.25)
)
*1,
K143*
(
DATEDIF(MAX(D143,DATE(2018,9,24)),MIN(Y143,DATE(2023,4,30)),"m")+1
)
*
_xlfn.SWITCH(J143,
"موقف/تندة",IF(D143&lt;DATE(2019,11,30),6,30),
"تشوينات",IF(D143&lt;DATE(2019,11,30),4,20),
"مشاتل",IF(D143&lt;DATE(2019,11,30),2,10),
"كافيتيريا",IF(D143&lt;DATE(2019,11,30),30,150),
"نوادي",IF(D143&lt;DATE(2019,11,30),6,30),
"رسو مراكب",IF(D143&lt;DATE(2019,11,30),2,10),
"مباني",IF(D143&lt;DATE(2018,9,24),2,10),
"عشش",IF(D143&lt;DATE(2019,11,30),2,10),
"كشك (تجاري/صناعي)",IF(D143&lt;DATE(2019,11,30),10,50),
"ردم",20,
0)))</f>
        <v>22400</v>
      </c>
      <c r="AC143" s="1" cm="1">
        <f t="array" aca="1" ref="AC143" ca="1">IF(Y143&lt;DATE(2023,5,1),0,
IF(J143="زراعة",
K143*
(
INT((Y143-MAX(DATE(2023,5,1),D143))/365)
+
CEILING(MOD((Y143-MAX(DATE(2023,5,1),D143))/365,1),0.25)
)
*3,
IF(J143="ردم",
K143*20,
K143*
(
DATEDIF(MAX(DATE(2023,5,1),D143),Y143,"m")+1
)
*
_xlfn.SWITCH(J143,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143" s="1">
        <f t="shared" ca="1" si="17"/>
        <v>55</v>
      </c>
    </row>
    <row r="144" spans="1:30" s="80" customFormat="1" ht="19.5" thickBot="1" x14ac:dyDescent="0.3">
      <c r="A144" s="52">
        <v>126</v>
      </c>
      <c r="B144" s="6">
        <v>15</v>
      </c>
      <c r="C144" s="3">
        <v>2016</v>
      </c>
      <c r="D144" s="41">
        <v>42372</v>
      </c>
      <c r="E144" s="12"/>
      <c r="F144" s="6"/>
      <c r="G144" s="6" t="s">
        <v>217</v>
      </c>
      <c r="H144" s="6"/>
      <c r="I144" s="6" t="s">
        <v>211</v>
      </c>
      <c r="J144" s="3" t="s">
        <v>146</v>
      </c>
      <c r="K144" s="6">
        <v>20</v>
      </c>
      <c r="L144" s="3" t="s">
        <v>90</v>
      </c>
      <c r="M144" s="7"/>
      <c r="N144" s="6"/>
      <c r="O144" s="9">
        <f>0.47*Table2[[#This Row],[قيمة المحضر]]</f>
        <v>0</v>
      </c>
      <c r="P144" s="9">
        <f>0.17*Table2[[#This Row],[قيمة المحضر]]</f>
        <v>0</v>
      </c>
      <c r="Q144" s="9">
        <f t="shared" ca="1" si="13"/>
        <v>306.5</v>
      </c>
      <c r="R144" s="3"/>
      <c r="S144" s="3"/>
      <c r="T144" s="9" t="str">
        <f t="shared" si="14"/>
        <v>-</v>
      </c>
      <c r="U144" s="3" t="s">
        <v>25</v>
      </c>
      <c r="V144" s="9" t="str">
        <f t="shared" si="15"/>
        <v>-</v>
      </c>
      <c r="W144" s="4"/>
      <c r="X144" s="38"/>
      <c r="Y144" s="1">
        <f t="shared" ca="1" si="16"/>
        <v>46162</v>
      </c>
      <c r="Z144" s="1" cm="1">
        <f t="array" ref="Z144">IF(D144&gt;DATE(2015,5,16),0,
K144*
(
INT((MIN(Y144,DATE(2015,5,16))-D144)/365)
+
CEILING(MOD((MIN(Y144,DATE(2015,5,16))-D144)/365,1),0.25)
)
*
_xlfn.SWITCH(J144,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44" s="1" cm="1">
        <f t="array" aca="1" ref="AA144" ca="1">IF(Y144&lt;DATE(2015,5,17),0,
K144*
(
INT((MIN(Y144,DATE(2018,9,23))-MAX(D144,DATE(2015,5,17)))/365)
+
CEILING(MOD((MIN(Y144,DATE(2018,9,23))-MAX(D144,DATE(2015,5,17)))/365,1),0.25)
)
*
_xlfn.SWITCH(J144,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16.5</v>
      </c>
      <c r="AB144" s="1" cm="1">
        <f t="array" aca="1" ref="AB144" ca="1">IF(Y144&lt;DATE(2018,9,24),0,
IF(J144="زراعة",
K144*
(
INT((MIN(Y144,DATE(2023,4,30))-MAX(D144,DATE(2018,9,24)))/365)
+
CEILING(MOD((MIN(Y144,DATE(2023,4,30))-MAX(D144,DATE(2018,9,24)))/365,1),0.25)
)
*1,
K144*
(
DATEDIF(MAX(D144,DATE(2018,9,24)),MIN(Y144,DATE(2023,4,30)),"m")+1
)
*
_xlfn.SWITCH(J144,
"موقف/تندة",IF(D144&lt;DATE(2019,11,30),6,30),
"تشوينات",IF(D144&lt;DATE(2019,11,30),4,20),
"مشاتل",IF(D144&lt;DATE(2019,11,30),2,10),
"كافيتيريا",IF(D144&lt;DATE(2019,11,30),30,150),
"نوادي",IF(D144&lt;DATE(2019,11,30),6,30),
"رسو مراكب",IF(D144&lt;DATE(2019,11,30),2,10),
"مباني",IF(D144&lt;DATE(2018,9,24),2,10),
"عشش",IF(D144&lt;DATE(2019,11,30),2,10),
"كشك (تجاري/صناعي)",IF(D144&lt;DATE(2019,11,30),10,50),
"ردم",20,
0)))</f>
        <v>95</v>
      </c>
      <c r="AC144" s="1" cm="1">
        <f t="array" aca="1" ref="AC144" ca="1">IF(Y144&lt;DATE(2023,5,1),0,
IF(J144="زراعة",
K144*
(
INT((Y144-MAX(DATE(2023,5,1),D144))/365)
+
CEILING(MOD((Y144-MAX(DATE(2023,5,1),D144))/365,1),0.25)
)
*3,
IF(J144="ردم",
K144*20,
K144*
(
DATEDIF(MAX(DATE(2023,5,1),D144),Y144,"m")+1
)
*
_xlfn.SWITCH(J144,
"موقف/تندة",6,
"تشوينات",4,
"مشاتل",2,
"رسو مراكب",6,
"مباني",3,
"عشش",1,
"كشك (تجاري/صناعي)",20,
"مواسير صرف صحي (&lt;1م)",16,
"مواسير صرف صحي (&gt;1م)",18,
0))))</f>
        <v>195</v>
      </c>
      <c r="AD144" s="1">
        <f t="shared" ca="1" si="17"/>
        <v>55</v>
      </c>
    </row>
    <row r="145" spans="1:30" s="80" customFormat="1" ht="19.5" thickBot="1" x14ac:dyDescent="0.3">
      <c r="A145" s="52">
        <v>127</v>
      </c>
      <c r="B145" s="6">
        <v>16</v>
      </c>
      <c r="C145" s="3">
        <v>2016</v>
      </c>
      <c r="D145" s="41">
        <v>42372</v>
      </c>
      <c r="E145" s="12" t="s">
        <v>243</v>
      </c>
      <c r="F145" s="6"/>
      <c r="G145" s="6" t="s">
        <v>218</v>
      </c>
      <c r="H145" s="6"/>
      <c r="I145" s="6" t="s">
        <v>33</v>
      </c>
      <c r="J145" s="5" t="s">
        <v>77</v>
      </c>
      <c r="K145" s="6">
        <v>100</v>
      </c>
      <c r="L145" s="3" t="s">
        <v>90</v>
      </c>
      <c r="M145" s="7"/>
      <c r="N145" s="6"/>
      <c r="O145" s="9">
        <f>0.47*Table2[[#This Row],[قيمة المحضر]]</f>
        <v>0</v>
      </c>
      <c r="P145" s="9">
        <f>0.17*Table2[[#This Row],[قيمة المحضر]]</f>
        <v>0</v>
      </c>
      <c r="Q145" s="9">
        <f t="shared" ca="1" si="13"/>
        <v>119500</v>
      </c>
      <c r="R145" s="3"/>
      <c r="S145" s="3"/>
      <c r="T145" s="9" t="str">
        <f t="shared" si="14"/>
        <v>-</v>
      </c>
      <c r="U145" s="3" t="s">
        <v>25</v>
      </c>
      <c r="V145" s="9" t="str">
        <f t="shared" si="15"/>
        <v>-</v>
      </c>
      <c r="W145" s="4"/>
      <c r="X145" s="38"/>
      <c r="Y145" s="1">
        <f t="shared" ca="1" si="16"/>
        <v>46162</v>
      </c>
      <c r="Z145" s="1" cm="1">
        <f t="array" ref="Z145">IF(D145&gt;DATE(2015,5,16),0,
K145*
(
INT((MIN(Y145,DATE(2015,5,16))-D145)/365)
+
CEILING(MOD((MIN(Y145,DATE(2015,5,16))-D145)/365,1),0.25)
)
*
_xlfn.SWITCH(J145,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45" s="1" cm="1">
        <f t="array" aca="1" ref="AA145" ca="1">IF(Y145&lt;DATE(2015,5,17),0,
K145*
(
INT((MIN(Y145,DATE(2018,9,23))-MAX(D145,DATE(2015,5,17)))/365)
+
CEILING(MOD((MIN(Y145,DATE(2018,9,23))-MAX(D145,DATE(2015,5,17)))/365,1),0.25)
)
*
_xlfn.SWITCH(J145,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5500</v>
      </c>
      <c r="AB145" s="1" cm="1">
        <f t="array" aca="1" ref="AB145" ca="1">IF(Y145&lt;DATE(2018,9,24),0,
IF(J145="زراعة",
K145*
(
INT((MIN(Y145,DATE(2023,4,30))-MAX(D145,DATE(2018,9,24)))/365)
+
CEILING(MOD((MIN(Y145,DATE(2023,4,30))-MAX(D145,DATE(2018,9,24)))/365,1),0.25)
)
*1,
K145*
(
DATEDIF(MAX(D145,DATE(2018,9,24)),MIN(Y145,DATE(2023,4,30)),"m")+1
)
*
_xlfn.SWITCH(J145,
"موقف/تندة",IF(D145&lt;DATE(2019,11,30),6,30),
"تشوينات",IF(D145&lt;DATE(2019,11,30),4,20),
"مشاتل",IF(D145&lt;DATE(2019,11,30),2,10),
"كافيتيريا",IF(D145&lt;DATE(2019,11,30),30,150),
"نوادي",IF(D145&lt;DATE(2019,11,30),6,30),
"رسو مراكب",IF(D145&lt;DATE(2019,11,30),2,10),
"مباني",IF(D145&lt;DATE(2018,9,24),2,10),
"عشش",IF(D145&lt;DATE(2019,11,30),2,10),
"كشك (تجاري/صناعي)",IF(D145&lt;DATE(2019,11,30),10,50),
"ردم",20,
0)))</f>
        <v>112000</v>
      </c>
      <c r="AC145" s="1" cm="1">
        <f t="array" aca="1" ref="AC145" ca="1">IF(Y145&lt;DATE(2023,5,1),0,
IF(J145="زراعة",
K145*
(
INT((Y145-MAX(DATE(2023,5,1),D145))/365)
+
CEILING(MOD((Y145-MAX(DATE(2023,5,1),D145))/365,1),0.25)
)
*3,
IF(J145="ردم",
K145*20,
K145*
(
DATEDIF(MAX(DATE(2023,5,1),D145),Y145,"m")+1
)
*
_xlfn.SWITCH(J145,
"موقف/تندة",6,
"تشوينات",4,
"مشاتل",2,
"رسو مراكب",6,
"مباني",3,
"عشش",1,
"كشك (تجاري/صناعي)",20,
"مواسير صرف صحي (&lt;1م)",16,
"مواسير صرف صحي (&gt;1م)",18,
0))))</f>
        <v>2000</v>
      </c>
      <c r="AD145" s="1">
        <f t="shared" ca="1" si="17"/>
        <v>55</v>
      </c>
    </row>
    <row r="146" spans="1:30" s="80" customFormat="1" ht="19.5" thickBot="1" x14ac:dyDescent="0.3">
      <c r="A146" s="52">
        <v>127</v>
      </c>
      <c r="B146" s="6">
        <v>16</v>
      </c>
      <c r="C146" s="3">
        <v>2016</v>
      </c>
      <c r="D146" s="41">
        <v>42372</v>
      </c>
      <c r="E146" s="12" t="s">
        <v>243</v>
      </c>
      <c r="F146" s="6"/>
      <c r="G146" s="6" t="s">
        <v>218</v>
      </c>
      <c r="H146" s="6"/>
      <c r="I146" s="6" t="s">
        <v>33</v>
      </c>
      <c r="J146" s="3" t="s">
        <v>146</v>
      </c>
      <c r="K146" s="6">
        <v>100</v>
      </c>
      <c r="L146" s="3" t="s">
        <v>90</v>
      </c>
      <c r="M146" s="7"/>
      <c r="N146" s="6"/>
      <c r="O146" s="9">
        <f>0.47*Table2[[#This Row],[قيمة المحضر]]</f>
        <v>0</v>
      </c>
      <c r="P146" s="9">
        <f>0.17*Table2[[#This Row],[قيمة المحضر]]</f>
        <v>0</v>
      </c>
      <c r="Q146" s="9">
        <f t="shared" ca="1" si="13"/>
        <v>1532.5</v>
      </c>
      <c r="R146" s="3"/>
      <c r="S146" s="3"/>
      <c r="T146" s="9" t="str">
        <f t="shared" si="14"/>
        <v>-</v>
      </c>
      <c r="U146" s="3" t="s">
        <v>25</v>
      </c>
      <c r="V146" s="9" t="str">
        <f t="shared" si="15"/>
        <v>-</v>
      </c>
      <c r="W146" s="4"/>
      <c r="X146" s="38"/>
      <c r="Y146" s="1">
        <f t="shared" ca="1" si="16"/>
        <v>46162</v>
      </c>
      <c r="Z146" s="1" cm="1">
        <f t="array" ref="Z146">IF(D146&gt;DATE(2015,5,16),0,
K146*
(
INT((MIN(Y146,DATE(2015,5,16))-D146)/365)
+
CEILING(MOD((MIN(Y146,DATE(2015,5,16))-D146)/365,1),0.25)
)
*
_xlfn.SWITCH(J146,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46" s="1" cm="1">
        <f t="array" aca="1" ref="AA146" ca="1">IF(Y146&lt;DATE(2015,5,17),0,
K146*
(
INT((MIN(Y146,DATE(2018,9,23))-MAX(D146,DATE(2015,5,17)))/365)
+
CEILING(MOD((MIN(Y146,DATE(2018,9,23))-MAX(D146,DATE(2015,5,17)))/365,1),0.25)
)
*
_xlfn.SWITCH(J146,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82.5</v>
      </c>
      <c r="AB146" s="1" cm="1">
        <f t="array" aca="1" ref="AB146" ca="1">IF(Y146&lt;DATE(2018,9,24),0,
IF(J146="زراعة",
K146*
(
INT((MIN(Y146,DATE(2023,4,30))-MAX(D146,DATE(2018,9,24)))/365)
+
CEILING(MOD((MIN(Y146,DATE(2023,4,30))-MAX(D146,DATE(2018,9,24)))/365,1),0.25)
)
*1,
K146*
(
DATEDIF(MAX(D146,DATE(2018,9,24)),MIN(Y146,DATE(2023,4,30)),"m")+1
)
*
_xlfn.SWITCH(J146,
"موقف/تندة",IF(D146&lt;DATE(2019,11,30),6,30),
"تشوينات",IF(D146&lt;DATE(2019,11,30),4,20),
"مشاتل",IF(D146&lt;DATE(2019,11,30),2,10),
"كافيتيريا",IF(D146&lt;DATE(2019,11,30),30,150),
"نوادي",IF(D146&lt;DATE(2019,11,30),6,30),
"رسو مراكب",IF(D146&lt;DATE(2019,11,30),2,10),
"مباني",IF(D146&lt;DATE(2018,9,24),2,10),
"عشش",IF(D146&lt;DATE(2019,11,30),2,10),
"كشك (تجاري/صناعي)",IF(D146&lt;DATE(2019,11,30),10,50),
"ردم",20,
0)))</f>
        <v>475</v>
      </c>
      <c r="AC146" s="1" cm="1">
        <f t="array" aca="1" ref="AC146" ca="1">IF(Y146&lt;DATE(2023,5,1),0,
IF(J146="زراعة",
K146*
(
INT((Y146-MAX(DATE(2023,5,1),D146))/365)
+
CEILING(MOD((Y146-MAX(DATE(2023,5,1),D146))/365,1),0.25)
)
*3,
IF(J146="ردم",
K146*20,
K146*
(
DATEDIF(MAX(DATE(2023,5,1),D146),Y146,"m")+1
)
*
_xlfn.SWITCH(J146,
"موقف/تندة",6,
"تشوينات",4,
"مشاتل",2,
"رسو مراكب",6,
"مباني",3,
"عشش",1,
"كشك (تجاري/صناعي)",20,
"مواسير صرف صحي (&lt;1م)",16,
"مواسير صرف صحي (&gt;1م)",18,
0))))</f>
        <v>975</v>
      </c>
      <c r="AD146" s="1">
        <f t="shared" ca="1" si="17"/>
        <v>55</v>
      </c>
    </row>
    <row r="147" spans="1:30" s="80" customFormat="1" ht="18.75" x14ac:dyDescent="0.25">
      <c r="A147" s="52">
        <v>128</v>
      </c>
      <c r="B147" s="6">
        <v>17</v>
      </c>
      <c r="C147" s="3">
        <v>2016</v>
      </c>
      <c r="D147" s="7">
        <v>42421</v>
      </c>
      <c r="E147" s="12" t="s">
        <v>244</v>
      </c>
      <c r="F147" s="6"/>
      <c r="G147" s="6" t="s">
        <v>219</v>
      </c>
      <c r="H147" s="6"/>
      <c r="I147" s="6" t="s">
        <v>242</v>
      </c>
      <c r="J147" s="3" t="s">
        <v>29</v>
      </c>
      <c r="K147" s="6">
        <v>6</v>
      </c>
      <c r="L147" s="3" t="s">
        <v>90</v>
      </c>
      <c r="M147" s="7"/>
      <c r="N147" s="6"/>
      <c r="O147" s="9">
        <f>0.47*Table2[[#This Row],[قيمة المحضر]]</f>
        <v>0</v>
      </c>
      <c r="P147" s="9">
        <f>0.17*Table2[[#This Row],[قيمة المحضر]]</f>
        <v>0</v>
      </c>
      <c r="Q147" s="9">
        <f t="shared" ca="1" si="13"/>
        <v>9780</v>
      </c>
      <c r="R147" s="3"/>
      <c r="S147" s="3"/>
      <c r="T147" s="9" t="str">
        <f t="shared" si="14"/>
        <v>-</v>
      </c>
      <c r="U147" s="3" t="s">
        <v>25</v>
      </c>
      <c r="V147" s="9" t="str">
        <f t="shared" si="15"/>
        <v>-</v>
      </c>
      <c r="W147" s="4"/>
      <c r="X147" s="38"/>
      <c r="Y147" s="1">
        <f t="shared" ca="1" si="16"/>
        <v>46162</v>
      </c>
      <c r="Z147" s="1" cm="1">
        <f t="array" ref="Z147">IF(D147&gt;DATE(2015,5,16),0,
K147*
(
INT((MIN(Y147,DATE(2015,5,16))-D147)/365)
+
CEILING(MOD((MIN(Y147,DATE(2015,5,16))-D147)/365,1),0.25)
)
*
_xlfn.SWITCH(J147,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47" s="1" cm="1">
        <f t="array" aca="1" ref="AA147" ca="1">IF(Y147&lt;DATE(2015,5,17),0,
K147*
(
INT((MIN(Y147,DATE(2018,9,23))-MAX(D147,DATE(2015,5,17)))/365)
+
CEILING(MOD((MIN(Y147,DATE(2018,9,23))-MAX(D147,DATE(2015,5,17)))/365,1),0.25)
)
*
_xlfn.SWITCH(J147,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1980</v>
      </c>
      <c r="AB147" s="1" cm="1">
        <f t="array" aca="1" ref="AB147" ca="1">IF(Y147&lt;DATE(2018,9,24),0,
IF(J147="زراعة",
K147*
(
INT((MIN(Y147,DATE(2023,4,30))-MAX(D147,DATE(2018,9,24)))/365)
+
CEILING(MOD((MIN(Y147,DATE(2023,4,30))-MAX(D147,DATE(2018,9,24)))/365,1),0.25)
)
*1,
K147*
(
DATEDIF(MAX(D147,DATE(2018,9,24)),MIN(Y147,DATE(2023,4,30)),"m")+1
)
*
_xlfn.SWITCH(J147,
"موقف/تندة",IF(D147&lt;DATE(2019,11,30),6,30),
"تشوينات",IF(D147&lt;DATE(2019,11,30),4,20),
"مشاتل",IF(D147&lt;DATE(2019,11,30),2,10),
"كافيتيريا",IF(D147&lt;DATE(2019,11,30),30,150),
"نوادي",IF(D147&lt;DATE(2019,11,30),6,30),
"رسو مراكب",IF(D147&lt;DATE(2019,11,30),2,10),
"مباني",IF(D147&lt;DATE(2018,9,24),2,10),
"عشش",IF(D147&lt;DATE(2019,11,30),2,10),
"كشك (تجاري/صناعي)",IF(D147&lt;DATE(2019,11,30),10,50),
"ردم",20,
0)))</f>
        <v>3360</v>
      </c>
      <c r="AC147" s="1" cm="1">
        <f t="array" aca="1" ref="AC147" ca="1">IF(Y147&lt;DATE(2023,5,1),0,
IF(J147="زراعة",
K147*
(
INT((Y147-MAX(DATE(2023,5,1),D147))/365)
+
CEILING(MOD((Y147-MAX(DATE(2023,5,1),D147))/365,1),0.25)
)
*3,
IF(J147="ردم",
K147*20,
K147*
(
DATEDIF(MAX(DATE(2023,5,1),D147),Y147,"m")+1
)
*
_xlfn.SWITCH(J147,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147" s="1">
        <f t="shared" ca="1" si="17"/>
        <v>55</v>
      </c>
    </row>
    <row r="148" spans="1:30" s="80" customFormat="1" ht="18.75" x14ac:dyDescent="0.25">
      <c r="A148" s="52">
        <v>129</v>
      </c>
      <c r="B148" s="6">
        <v>18</v>
      </c>
      <c r="C148" s="3">
        <v>2016</v>
      </c>
      <c r="D148" s="7">
        <v>42421</v>
      </c>
      <c r="E148" s="12" t="s">
        <v>245</v>
      </c>
      <c r="F148" s="6"/>
      <c r="G148" s="6" t="s">
        <v>220</v>
      </c>
      <c r="H148" s="6"/>
      <c r="I148" s="6" t="s">
        <v>33</v>
      </c>
      <c r="J148" s="3" t="s">
        <v>29</v>
      </c>
      <c r="K148" s="6">
        <v>36</v>
      </c>
      <c r="L148" s="3" t="s">
        <v>90</v>
      </c>
      <c r="M148" s="7"/>
      <c r="N148" s="6"/>
      <c r="O148" s="9">
        <f>0.47*Table2[[#This Row],[قيمة المحضر]]</f>
        <v>0</v>
      </c>
      <c r="P148" s="9">
        <f>0.17*Table2[[#This Row],[قيمة المحضر]]</f>
        <v>0</v>
      </c>
      <c r="Q148" s="9">
        <f t="shared" ca="1" si="13"/>
        <v>58680</v>
      </c>
      <c r="R148" s="3"/>
      <c r="S148" s="3"/>
      <c r="T148" s="9" t="str">
        <f t="shared" si="14"/>
        <v>-</v>
      </c>
      <c r="U148" s="3" t="s">
        <v>25</v>
      </c>
      <c r="V148" s="9" t="str">
        <f t="shared" si="15"/>
        <v>-</v>
      </c>
      <c r="W148" s="4"/>
      <c r="X148" s="38"/>
      <c r="Y148" s="1">
        <f t="shared" ca="1" si="16"/>
        <v>46162</v>
      </c>
      <c r="Z148" s="1" cm="1">
        <f t="array" ref="Z148">IF(D148&gt;DATE(2015,5,16),0,
K148*
(
INT((MIN(Y148,DATE(2015,5,16))-D148)/365)
+
CEILING(MOD((MIN(Y148,DATE(2015,5,16))-D148)/365,1),0.25)
)
*
_xlfn.SWITCH(J148,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48" s="1" cm="1">
        <f t="array" aca="1" ref="AA148" ca="1">IF(Y148&lt;DATE(2015,5,17),0,
K148*
(
INT((MIN(Y148,DATE(2018,9,23))-MAX(D148,DATE(2015,5,17)))/365)
+
CEILING(MOD((MIN(Y148,DATE(2018,9,23))-MAX(D148,DATE(2015,5,17)))/365,1),0.25)
)
*
_xlfn.SWITCH(J148,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11880</v>
      </c>
      <c r="AB148" s="1" cm="1">
        <f t="array" aca="1" ref="AB148" ca="1">IF(Y148&lt;DATE(2018,9,24),0,
IF(J148="زراعة",
K148*
(
INT((MIN(Y148,DATE(2023,4,30))-MAX(D148,DATE(2018,9,24)))/365)
+
CEILING(MOD((MIN(Y148,DATE(2023,4,30))-MAX(D148,DATE(2018,9,24)))/365,1),0.25)
)
*1,
K148*
(
DATEDIF(MAX(D148,DATE(2018,9,24)),MIN(Y148,DATE(2023,4,30)),"m")+1
)
*
_xlfn.SWITCH(J148,
"موقف/تندة",IF(D148&lt;DATE(2019,11,30),6,30),
"تشوينات",IF(D148&lt;DATE(2019,11,30),4,20),
"مشاتل",IF(D148&lt;DATE(2019,11,30),2,10),
"كافيتيريا",IF(D148&lt;DATE(2019,11,30),30,150),
"نوادي",IF(D148&lt;DATE(2019,11,30),6,30),
"رسو مراكب",IF(D148&lt;DATE(2019,11,30),2,10),
"مباني",IF(D148&lt;DATE(2018,9,24),2,10),
"عشش",IF(D148&lt;DATE(2019,11,30),2,10),
"كشك (تجاري/صناعي)",IF(D148&lt;DATE(2019,11,30),10,50),
"ردم",20,
0)))</f>
        <v>20160</v>
      </c>
      <c r="AC148" s="1" cm="1">
        <f t="array" aca="1" ref="AC148" ca="1">IF(Y148&lt;DATE(2023,5,1),0,
IF(J148="زراعة",
K148*
(
INT((Y148-MAX(DATE(2023,5,1),D148))/365)
+
CEILING(MOD((Y148-MAX(DATE(2023,5,1),D148))/365,1),0.25)
)
*3,
IF(J148="ردم",
K148*20,
K148*
(
DATEDIF(MAX(DATE(2023,5,1),D148),Y148,"m")+1
)
*
_xlfn.SWITCH(J148,
"موقف/تندة",6,
"تشوينات",4,
"مشاتل",2,
"رسو مراكب",6,
"مباني",3,
"عشش",1,
"كشك (تجاري/صناعي)",20,
"مواسير صرف صحي (&lt;1م)",16,
"مواسير صرف صحي (&gt;1م)",18,
0))))</f>
        <v>26640</v>
      </c>
      <c r="AD148" s="1">
        <f t="shared" ca="1" si="17"/>
        <v>55</v>
      </c>
    </row>
    <row r="149" spans="1:30" s="80" customFormat="1" ht="18.75" x14ac:dyDescent="0.25">
      <c r="A149" s="52">
        <v>130</v>
      </c>
      <c r="B149" s="6">
        <v>19</v>
      </c>
      <c r="C149" s="3">
        <v>2016</v>
      </c>
      <c r="D149" s="7">
        <v>42421</v>
      </c>
      <c r="E149" s="12" t="s">
        <v>246</v>
      </c>
      <c r="F149" s="6"/>
      <c r="G149" s="6" t="s">
        <v>221</v>
      </c>
      <c r="H149" s="6"/>
      <c r="I149" s="6" t="s">
        <v>33</v>
      </c>
      <c r="J149" s="3" t="s">
        <v>29</v>
      </c>
      <c r="K149" s="6">
        <v>30</v>
      </c>
      <c r="L149" s="3" t="s">
        <v>90</v>
      </c>
      <c r="M149" s="7"/>
      <c r="N149" s="6"/>
      <c r="O149" s="9">
        <f>0.47*Table2[[#This Row],[قيمة المحضر]]</f>
        <v>0</v>
      </c>
      <c r="P149" s="9">
        <f>0.17*Table2[[#This Row],[قيمة المحضر]]</f>
        <v>0</v>
      </c>
      <c r="Q149" s="9">
        <f t="shared" ca="1" si="13"/>
        <v>48900</v>
      </c>
      <c r="R149" s="3"/>
      <c r="S149" s="3"/>
      <c r="T149" s="9" t="str">
        <f t="shared" si="14"/>
        <v>-</v>
      </c>
      <c r="U149" s="3" t="s">
        <v>25</v>
      </c>
      <c r="V149" s="9" t="str">
        <f t="shared" si="15"/>
        <v>-</v>
      </c>
      <c r="W149" s="4"/>
      <c r="X149" s="38"/>
      <c r="Y149" s="1">
        <f t="shared" ca="1" si="16"/>
        <v>46162</v>
      </c>
      <c r="Z149" s="1" cm="1">
        <f t="array" ref="Z149">IF(D149&gt;DATE(2015,5,16),0,
K149*
(
INT((MIN(Y149,DATE(2015,5,16))-D149)/365)
+
CEILING(MOD((MIN(Y149,DATE(2015,5,16))-D149)/365,1),0.25)
)
*
_xlfn.SWITCH(J149,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49" s="1" cm="1">
        <f t="array" aca="1" ref="AA149" ca="1">IF(Y149&lt;DATE(2015,5,17),0,
K149*
(
INT((MIN(Y149,DATE(2018,9,23))-MAX(D149,DATE(2015,5,17)))/365)
+
CEILING(MOD((MIN(Y149,DATE(2018,9,23))-MAX(D149,DATE(2015,5,17)))/365,1),0.25)
)
*
_xlfn.SWITCH(J149,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9900</v>
      </c>
      <c r="AB149" s="1" cm="1">
        <f t="array" aca="1" ref="AB149" ca="1">IF(Y149&lt;DATE(2018,9,24),0,
IF(J149="زراعة",
K149*
(
INT((MIN(Y149,DATE(2023,4,30))-MAX(D149,DATE(2018,9,24)))/365)
+
CEILING(MOD((MIN(Y149,DATE(2023,4,30))-MAX(D149,DATE(2018,9,24)))/365,1),0.25)
)
*1,
K149*
(
DATEDIF(MAX(D149,DATE(2018,9,24)),MIN(Y149,DATE(2023,4,30)),"m")+1
)
*
_xlfn.SWITCH(J149,
"موقف/تندة",IF(D149&lt;DATE(2019,11,30),6,30),
"تشوينات",IF(D149&lt;DATE(2019,11,30),4,20),
"مشاتل",IF(D149&lt;DATE(2019,11,30),2,10),
"كافيتيريا",IF(D149&lt;DATE(2019,11,30),30,150),
"نوادي",IF(D149&lt;DATE(2019,11,30),6,30),
"رسو مراكب",IF(D149&lt;DATE(2019,11,30),2,10),
"مباني",IF(D149&lt;DATE(2018,9,24),2,10),
"عشش",IF(D149&lt;DATE(2019,11,30),2,10),
"كشك (تجاري/صناعي)",IF(D149&lt;DATE(2019,11,30),10,50),
"ردم",20,
0)))</f>
        <v>16800</v>
      </c>
      <c r="AC149" s="1" cm="1">
        <f t="array" aca="1" ref="AC149" ca="1">IF(Y149&lt;DATE(2023,5,1),0,
IF(J149="زراعة",
K149*
(
INT((Y149-MAX(DATE(2023,5,1),D149))/365)
+
CEILING(MOD((Y149-MAX(DATE(2023,5,1),D149))/365,1),0.25)
)
*3,
IF(J149="ردم",
K149*20,
K149*
(
DATEDIF(MAX(DATE(2023,5,1),D149),Y149,"m")+1
)
*
_xlfn.SWITCH(J149,
"موقف/تندة",6,
"تشوينات",4,
"مشاتل",2,
"رسو مراكب",6,
"مباني",3,
"عشش",1,
"كشك (تجاري/صناعي)",20,
"مواسير صرف صحي (&lt;1م)",16,
"مواسير صرف صحي (&gt;1م)",18,
0))))</f>
        <v>22200</v>
      </c>
      <c r="AD149" s="1">
        <f t="shared" ca="1" si="17"/>
        <v>55</v>
      </c>
    </row>
    <row r="150" spans="1:30" s="80" customFormat="1" ht="18.75" x14ac:dyDescent="0.25">
      <c r="A150" s="52">
        <v>131</v>
      </c>
      <c r="B150" s="6">
        <v>20</v>
      </c>
      <c r="C150" s="3">
        <v>2016</v>
      </c>
      <c r="D150" s="7">
        <v>42421</v>
      </c>
      <c r="E150" s="12" t="s">
        <v>247</v>
      </c>
      <c r="F150" s="6"/>
      <c r="G150" s="6" t="s">
        <v>222</v>
      </c>
      <c r="H150" s="6"/>
      <c r="I150" s="6" t="s">
        <v>33</v>
      </c>
      <c r="J150" s="3" t="s">
        <v>29</v>
      </c>
      <c r="K150" s="6">
        <v>9</v>
      </c>
      <c r="L150" s="3" t="s">
        <v>90</v>
      </c>
      <c r="M150" s="7"/>
      <c r="N150" s="6"/>
      <c r="O150" s="9">
        <f>0.47*Table2[[#This Row],[قيمة المحضر]]</f>
        <v>0</v>
      </c>
      <c r="P150" s="9">
        <f>0.17*Table2[[#This Row],[قيمة المحضر]]</f>
        <v>0</v>
      </c>
      <c r="Q150" s="9">
        <f t="shared" ca="1" si="13"/>
        <v>14670</v>
      </c>
      <c r="R150" s="3"/>
      <c r="S150" s="3"/>
      <c r="T150" s="9" t="str">
        <f t="shared" si="14"/>
        <v>-</v>
      </c>
      <c r="U150" s="3" t="s">
        <v>25</v>
      </c>
      <c r="V150" s="9" t="str">
        <f t="shared" si="15"/>
        <v>-</v>
      </c>
      <c r="W150" s="4"/>
      <c r="X150" s="38"/>
      <c r="Y150" s="1">
        <f t="shared" ca="1" si="16"/>
        <v>46162</v>
      </c>
      <c r="Z150" s="1" cm="1">
        <f t="array" ref="Z150">IF(D150&gt;DATE(2015,5,16),0,
K150*
(
INT((MIN(Y150,DATE(2015,5,16))-D150)/365)
+
CEILING(MOD((MIN(Y150,DATE(2015,5,16))-D150)/365,1),0.25)
)
*
_xlfn.SWITCH(J150,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50" s="1" cm="1">
        <f t="array" aca="1" ref="AA150" ca="1">IF(Y150&lt;DATE(2015,5,17),0,
K150*
(
INT((MIN(Y150,DATE(2018,9,23))-MAX(D150,DATE(2015,5,17)))/365)
+
CEILING(MOD((MIN(Y150,DATE(2018,9,23))-MAX(D150,DATE(2015,5,17)))/365,1),0.25)
)
*
_xlfn.SWITCH(J150,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2970</v>
      </c>
      <c r="AB150" s="1" cm="1">
        <f t="array" aca="1" ref="AB150" ca="1">IF(Y150&lt;DATE(2018,9,24),0,
IF(J150="زراعة",
K150*
(
INT((MIN(Y150,DATE(2023,4,30))-MAX(D150,DATE(2018,9,24)))/365)
+
CEILING(MOD((MIN(Y150,DATE(2023,4,30))-MAX(D150,DATE(2018,9,24)))/365,1),0.25)
)
*1,
K150*
(
DATEDIF(MAX(D150,DATE(2018,9,24)),MIN(Y150,DATE(2023,4,30)),"m")+1
)
*
_xlfn.SWITCH(J150,
"موقف/تندة",IF(D150&lt;DATE(2019,11,30),6,30),
"تشوينات",IF(D150&lt;DATE(2019,11,30),4,20),
"مشاتل",IF(D150&lt;DATE(2019,11,30),2,10),
"كافيتيريا",IF(D150&lt;DATE(2019,11,30),30,150),
"نوادي",IF(D150&lt;DATE(2019,11,30),6,30),
"رسو مراكب",IF(D150&lt;DATE(2019,11,30),2,10),
"مباني",IF(D150&lt;DATE(2018,9,24),2,10),
"عشش",IF(D150&lt;DATE(2019,11,30),2,10),
"كشك (تجاري/صناعي)",IF(D150&lt;DATE(2019,11,30),10,50),
"ردم",20,
0)))</f>
        <v>5040</v>
      </c>
      <c r="AC150" s="1" cm="1">
        <f t="array" aca="1" ref="AC150" ca="1">IF(Y150&lt;DATE(2023,5,1),0,
IF(J150="زراعة",
K150*
(
INT((Y150-MAX(DATE(2023,5,1),D150))/365)
+
CEILING(MOD((Y150-MAX(DATE(2023,5,1),D150))/365,1),0.25)
)
*3,
IF(J150="ردم",
K150*20,
K150*
(
DATEDIF(MAX(DATE(2023,5,1),D150),Y150,"m")+1
)
*
_xlfn.SWITCH(J150,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150" s="1">
        <f t="shared" ca="1" si="17"/>
        <v>55</v>
      </c>
    </row>
    <row r="151" spans="1:30" s="80" customFormat="1" ht="18.75" x14ac:dyDescent="0.25">
      <c r="A151" s="52">
        <v>132</v>
      </c>
      <c r="B151" s="6">
        <v>21</v>
      </c>
      <c r="C151" s="3">
        <v>2016</v>
      </c>
      <c r="D151" s="7">
        <v>42421</v>
      </c>
      <c r="E151" s="12" t="s">
        <v>248</v>
      </c>
      <c r="F151" s="6"/>
      <c r="G151" s="6" t="s">
        <v>223</v>
      </c>
      <c r="H151" s="6"/>
      <c r="I151" s="6" t="s">
        <v>33</v>
      </c>
      <c r="J151" s="3" t="s">
        <v>29</v>
      </c>
      <c r="K151" s="6">
        <v>9</v>
      </c>
      <c r="L151" s="3" t="s">
        <v>90</v>
      </c>
      <c r="M151" s="7"/>
      <c r="N151" s="6"/>
      <c r="O151" s="9">
        <f>0.47*Table2[[#This Row],[قيمة المحضر]]</f>
        <v>0</v>
      </c>
      <c r="P151" s="9">
        <f>0.17*Table2[[#This Row],[قيمة المحضر]]</f>
        <v>0</v>
      </c>
      <c r="Q151" s="9">
        <f t="shared" ca="1" si="13"/>
        <v>14670</v>
      </c>
      <c r="R151" s="3"/>
      <c r="S151" s="3"/>
      <c r="T151" s="9" t="str">
        <f t="shared" si="14"/>
        <v>-</v>
      </c>
      <c r="U151" s="3" t="s">
        <v>25</v>
      </c>
      <c r="V151" s="9" t="str">
        <f t="shared" si="15"/>
        <v>-</v>
      </c>
      <c r="W151" s="4"/>
      <c r="X151" s="38"/>
      <c r="Y151" s="1">
        <f t="shared" ca="1" si="16"/>
        <v>46162</v>
      </c>
      <c r="Z151" s="1" cm="1">
        <f t="array" ref="Z151">IF(D151&gt;DATE(2015,5,16),0,
K151*
(
INT((MIN(Y151,DATE(2015,5,16))-D151)/365)
+
CEILING(MOD((MIN(Y151,DATE(2015,5,16))-D151)/365,1),0.25)
)
*
_xlfn.SWITCH(J151,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51" s="1" cm="1">
        <f t="array" aca="1" ref="AA151" ca="1">IF(Y151&lt;DATE(2015,5,17),0,
K151*
(
INT((MIN(Y151,DATE(2018,9,23))-MAX(D151,DATE(2015,5,17)))/365)
+
CEILING(MOD((MIN(Y151,DATE(2018,9,23))-MAX(D151,DATE(2015,5,17)))/365,1),0.25)
)
*
_xlfn.SWITCH(J151,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2970</v>
      </c>
      <c r="AB151" s="1" cm="1">
        <f t="array" aca="1" ref="AB151" ca="1">IF(Y151&lt;DATE(2018,9,24),0,
IF(J151="زراعة",
K151*
(
INT((MIN(Y151,DATE(2023,4,30))-MAX(D151,DATE(2018,9,24)))/365)
+
CEILING(MOD((MIN(Y151,DATE(2023,4,30))-MAX(D151,DATE(2018,9,24)))/365,1),0.25)
)
*1,
K151*
(
DATEDIF(MAX(D151,DATE(2018,9,24)),MIN(Y151,DATE(2023,4,30)),"m")+1
)
*
_xlfn.SWITCH(J151,
"موقف/تندة",IF(D151&lt;DATE(2019,11,30),6,30),
"تشوينات",IF(D151&lt;DATE(2019,11,30),4,20),
"مشاتل",IF(D151&lt;DATE(2019,11,30),2,10),
"كافيتيريا",IF(D151&lt;DATE(2019,11,30),30,150),
"نوادي",IF(D151&lt;DATE(2019,11,30),6,30),
"رسو مراكب",IF(D151&lt;DATE(2019,11,30),2,10),
"مباني",IF(D151&lt;DATE(2018,9,24),2,10),
"عشش",IF(D151&lt;DATE(2019,11,30),2,10),
"كشك (تجاري/صناعي)",IF(D151&lt;DATE(2019,11,30),10,50),
"ردم",20,
0)))</f>
        <v>5040</v>
      </c>
      <c r="AC151" s="1" cm="1">
        <f t="array" aca="1" ref="AC151" ca="1">IF(Y151&lt;DATE(2023,5,1),0,
IF(J151="زراعة",
K151*
(
INT((Y151-MAX(DATE(2023,5,1),D151))/365)
+
CEILING(MOD((Y151-MAX(DATE(2023,5,1),D151))/365,1),0.25)
)
*3,
IF(J151="ردم",
K151*20,
K151*
(
DATEDIF(MAX(DATE(2023,5,1),D151),Y151,"m")+1
)
*
_xlfn.SWITCH(J151,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151" s="1">
        <f t="shared" ca="1" si="17"/>
        <v>55</v>
      </c>
    </row>
    <row r="152" spans="1:30" s="80" customFormat="1" ht="18.75" x14ac:dyDescent="0.25">
      <c r="A152" s="52">
        <v>133</v>
      </c>
      <c r="B152" s="6">
        <v>22</v>
      </c>
      <c r="C152" s="3">
        <v>2016</v>
      </c>
      <c r="D152" s="7">
        <v>42421</v>
      </c>
      <c r="E152" s="12" t="s">
        <v>249</v>
      </c>
      <c r="F152" s="6"/>
      <c r="G152" s="6" t="s">
        <v>224</v>
      </c>
      <c r="H152" s="6"/>
      <c r="I152" s="6" t="s">
        <v>33</v>
      </c>
      <c r="J152" s="3" t="s">
        <v>29</v>
      </c>
      <c r="K152" s="6">
        <v>9</v>
      </c>
      <c r="L152" s="3" t="s">
        <v>90</v>
      </c>
      <c r="M152" s="7"/>
      <c r="N152" s="6"/>
      <c r="O152" s="9">
        <f>0.47*Table2[[#This Row],[قيمة المحضر]]</f>
        <v>0</v>
      </c>
      <c r="P152" s="9">
        <f>0.17*Table2[[#This Row],[قيمة المحضر]]</f>
        <v>0</v>
      </c>
      <c r="Q152" s="9">
        <f t="shared" ca="1" si="13"/>
        <v>14670</v>
      </c>
      <c r="R152" s="3"/>
      <c r="S152" s="3"/>
      <c r="T152" s="9" t="str">
        <f t="shared" si="14"/>
        <v>-</v>
      </c>
      <c r="U152" s="3" t="s">
        <v>25</v>
      </c>
      <c r="V152" s="9" t="str">
        <f t="shared" si="15"/>
        <v>-</v>
      </c>
      <c r="W152" s="4"/>
      <c r="X152" s="38"/>
      <c r="Y152" s="1">
        <f t="shared" ca="1" si="16"/>
        <v>46162</v>
      </c>
      <c r="Z152" s="1" cm="1">
        <f t="array" ref="Z152">IF(D152&gt;DATE(2015,5,16),0,
K152*
(
INT((MIN(Y152,DATE(2015,5,16))-D152)/365)
+
CEILING(MOD((MIN(Y152,DATE(2015,5,16))-D152)/365,1),0.25)
)
*
_xlfn.SWITCH(J152,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52" s="1" cm="1">
        <f t="array" aca="1" ref="AA152" ca="1">IF(Y152&lt;DATE(2015,5,17),0,
K152*
(
INT((MIN(Y152,DATE(2018,9,23))-MAX(D152,DATE(2015,5,17)))/365)
+
CEILING(MOD((MIN(Y152,DATE(2018,9,23))-MAX(D152,DATE(2015,5,17)))/365,1),0.25)
)
*
_xlfn.SWITCH(J152,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2970</v>
      </c>
      <c r="AB152" s="1" cm="1">
        <f t="array" aca="1" ref="AB152" ca="1">IF(Y152&lt;DATE(2018,9,24),0,
IF(J152="زراعة",
K152*
(
INT((MIN(Y152,DATE(2023,4,30))-MAX(D152,DATE(2018,9,24)))/365)
+
CEILING(MOD((MIN(Y152,DATE(2023,4,30))-MAX(D152,DATE(2018,9,24)))/365,1),0.25)
)
*1,
K152*
(
DATEDIF(MAX(D152,DATE(2018,9,24)),MIN(Y152,DATE(2023,4,30)),"m")+1
)
*
_xlfn.SWITCH(J152,
"موقف/تندة",IF(D152&lt;DATE(2019,11,30),6,30),
"تشوينات",IF(D152&lt;DATE(2019,11,30),4,20),
"مشاتل",IF(D152&lt;DATE(2019,11,30),2,10),
"كافيتيريا",IF(D152&lt;DATE(2019,11,30),30,150),
"نوادي",IF(D152&lt;DATE(2019,11,30),6,30),
"رسو مراكب",IF(D152&lt;DATE(2019,11,30),2,10),
"مباني",IF(D152&lt;DATE(2018,9,24),2,10),
"عشش",IF(D152&lt;DATE(2019,11,30),2,10),
"كشك (تجاري/صناعي)",IF(D152&lt;DATE(2019,11,30),10,50),
"ردم",20,
0)))</f>
        <v>5040</v>
      </c>
      <c r="AC152" s="1" cm="1">
        <f t="array" aca="1" ref="AC152" ca="1">IF(Y152&lt;DATE(2023,5,1),0,
IF(J152="زراعة",
K152*
(
INT((Y152-MAX(DATE(2023,5,1),D152))/365)
+
CEILING(MOD((Y152-MAX(DATE(2023,5,1),D152))/365,1),0.25)
)
*3,
IF(J152="ردم",
K152*20,
K152*
(
DATEDIF(MAX(DATE(2023,5,1),D152),Y152,"m")+1
)
*
_xlfn.SWITCH(J152,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152" s="1">
        <f t="shared" ca="1" si="17"/>
        <v>55</v>
      </c>
    </row>
    <row r="153" spans="1:30" s="80" customFormat="1" ht="18.75" x14ac:dyDescent="0.25">
      <c r="A153" s="52">
        <v>134</v>
      </c>
      <c r="B153" s="6">
        <v>23</v>
      </c>
      <c r="C153" s="3">
        <v>2016</v>
      </c>
      <c r="D153" s="7">
        <v>42421</v>
      </c>
      <c r="E153" s="12" t="s">
        <v>250</v>
      </c>
      <c r="F153" s="6"/>
      <c r="G153" s="6" t="s">
        <v>225</v>
      </c>
      <c r="H153" s="6"/>
      <c r="I153" s="6" t="s">
        <v>33</v>
      </c>
      <c r="J153" s="3" t="s">
        <v>29</v>
      </c>
      <c r="K153" s="6">
        <v>9</v>
      </c>
      <c r="L153" s="3" t="s">
        <v>90</v>
      </c>
      <c r="M153" s="7"/>
      <c r="N153" s="6"/>
      <c r="O153" s="9">
        <f>0.47*Table2[[#This Row],[قيمة المحضر]]</f>
        <v>0</v>
      </c>
      <c r="P153" s="9">
        <f>0.17*Table2[[#This Row],[قيمة المحضر]]</f>
        <v>0</v>
      </c>
      <c r="Q153" s="9">
        <f t="shared" ca="1" si="13"/>
        <v>14670</v>
      </c>
      <c r="R153" s="3"/>
      <c r="S153" s="3"/>
      <c r="T153" s="9" t="str">
        <f t="shared" si="14"/>
        <v>-</v>
      </c>
      <c r="U153" s="3" t="s">
        <v>25</v>
      </c>
      <c r="V153" s="9" t="str">
        <f t="shared" si="15"/>
        <v>-</v>
      </c>
      <c r="W153" s="4"/>
      <c r="X153" s="38"/>
      <c r="Y153" s="1">
        <f t="shared" ca="1" si="16"/>
        <v>46162</v>
      </c>
      <c r="Z153" s="1" cm="1">
        <f t="array" ref="Z153">IF(D153&gt;DATE(2015,5,16),0,
K153*
(
INT((MIN(Y153,DATE(2015,5,16))-D153)/365)
+
CEILING(MOD((MIN(Y153,DATE(2015,5,16))-D153)/365,1),0.25)
)
*
_xlfn.SWITCH(J153,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53" s="1" cm="1">
        <f t="array" aca="1" ref="AA153" ca="1">IF(Y153&lt;DATE(2015,5,17),0,
K153*
(
INT((MIN(Y153,DATE(2018,9,23))-MAX(D153,DATE(2015,5,17)))/365)
+
CEILING(MOD((MIN(Y153,DATE(2018,9,23))-MAX(D153,DATE(2015,5,17)))/365,1),0.25)
)
*
_xlfn.SWITCH(J153,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2970</v>
      </c>
      <c r="AB153" s="1" cm="1">
        <f t="array" aca="1" ref="AB153" ca="1">IF(Y153&lt;DATE(2018,9,24),0,
IF(J153="زراعة",
K153*
(
INT((MIN(Y153,DATE(2023,4,30))-MAX(D153,DATE(2018,9,24)))/365)
+
CEILING(MOD((MIN(Y153,DATE(2023,4,30))-MAX(D153,DATE(2018,9,24)))/365,1),0.25)
)
*1,
K153*
(
DATEDIF(MAX(D153,DATE(2018,9,24)),MIN(Y153,DATE(2023,4,30)),"m")+1
)
*
_xlfn.SWITCH(J153,
"موقف/تندة",IF(D153&lt;DATE(2019,11,30),6,30),
"تشوينات",IF(D153&lt;DATE(2019,11,30),4,20),
"مشاتل",IF(D153&lt;DATE(2019,11,30),2,10),
"كافيتيريا",IF(D153&lt;DATE(2019,11,30),30,150),
"نوادي",IF(D153&lt;DATE(2019,11,30),6,30),
"رسو مراكب",IF(D153&lt;DATE(2019,11,30),2,10),
"مباني",IF(D153&lt;DATE(2018,9,24),2,10),
"عشش",IF(D153&lt;DATE(2019,11,30),2,10),
"كشك (تجاري/صناعي)",IF(D153&lt;DATE(2019,11,30),10,50),
"ردم",20,
0)))</f>
        <v>5040</v>
      </c>
      <c r="AC153" s="1" cm="1">
        <f t="array" aca="1" ref="AC153" ca="1">IF(Y153&lt;DATE(2023,5,1),0,
IF(J153="زراعة",
K153*
(
INT((Y153-MAX(DATE(2023,5,1),D153))/365)
+
CEILING(MOD((Y153-MAX(DATE(2023,5,1),D153))/365,1),0.25)
)
*3,
IF(J153="ردم",
K153*20,
K153*
(
DATEDIF(MAX(DATE(2023,5,1),D153),Y153,"m")+1
)
*
_xlfn.SWITCH(J153,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153" s="1">
        <f t="shared" ca="1" si="17"/>
        <v>55</v>
      </c>
    </row>
    <row r="154" spans="1:30" s="80" customFormat="1" ht="18.75" x14ac:dyDescent="0.25">
      <c r="A154" s="52">
        <v>135</v>
      </c>
      <c r="B154" s="6">
        <v>24</v>
      </c>
      <c r="C154" s="3">
        <v>2016</v>
      </c>
      <c r="D154" s="7">
        <v>42421</v>
      </c>
      <c r="E154" s="12" t="s">
        <v>251</v>
      </c>
      <c r="F154" s="6"/>
      <c r="G154" s="6" t="s">
        <v>226</v>
      </c>
      <c r="H154" s="6"/>
      <c r="I154" s="6" t="s">
        <v>33</v>
      </c>
      <c r="J154" s="3" t="s">
        <v>29</v>
      </c>
      <c r="K154" s="6">
        <v>9</v>
      </c>
      <c r="L154" s="3" t="s">
        <v>90</v>
      </c>
      <c r="M154" s="7"/>
      <c r="N154" s="6"/>
      <c r="O154" s="9">
        <f>0.47*Table2[[#This Row],[قيمة المحضر]]</f>
        <v>0</v>
      </c>
      <c r="P154" s="9">
        <f>0.17*Table2[[#This Row],[قيمة المحضر]]</f>
        <v>0</v>
      </c>
      <c r="Q154" s="9">
        <f t="shared" ca="1" si="13"/>
        <v>14670</v>
      </c>
      <c r="R154" s="3"/>
      <c r="S154" s="3"/>
      <c r="T154" s="9" t="str">
        <f t="shared" si="14"/>
        <v>-</v>
      </c>
      <c r="U154" s="3" t="s">
        <v>25</v>
      </c>
      <c r="V154" s="9" t="str">
        <f t="shared" si="15"/>
        <v>-</v>
      </c>
      <c r="W154" s="4"/>
      <c r="X154" s="38"/>
      <c r="Y154" s="1">
        <f t="shared" ca="1" si="16"/>
        <v>46162</v>
      </c>
      <c r="Z154" s="1" cm="1">
        <f t="array" ref="Z154">IF(D154&gt;DATE(2015,5,16),0,
K154*
(
INT((MIN(Y154,DATE(2015,5,16))-D154)/365)
+
CEILING(MOD((MIN(Y154,DATE(2015,5,16))-D154)/365,1),0.25)
)
*
_xlfn.SWITCH(J154,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54" s="1" cm="1">
        <f t="array" aca="1" ref="AA154" ca="1">IF(Y154&lt;DATE(2015,5,17),0,
K154*
(
INT((MIN(Y154,DATE(2018,9,23))-MAX(D154,DATE(2015,5,17)))/365)
+
CEILING(MOD((MIN(Y154,DATE(2018,9,23))-MAX(D154,DATE(2015,5,17)))/365,1),0.25)
)
*
_xlfn.SWITCH(J154,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2970</v>
      </c>
      <c r="AB154" s="1" cm="1">
        <f t="array" aca="1" ref="AB154" ca="1">IF(Y154&lt;DATE(2018,9,24),0,
IF(J154="زراعة",
K154*
(
INT((MIN(Y154,DATE(2023,4,30))-MAX(D154,DATE(2018,9,24)))/365)
+
CEILING(MOD((MIN(Y154,DATE(2023,4,30))-MAX(D154,DATE(2018,9,24)))/365,1),0.25)
)
*1,
K154*
(
DATEDIF(MAX(D154,DATE(2018,9,24)),MIN(Y154,DATE(2023,4,30)),"m")+1
)
*
_xlfn.SWITCH(J154,
"موقف/تندة",IF(D154&lt;DATE(2019,11,30),6,30),
"تشوينات",IF(D154&lt;DATE(2019,11,30),4,20),
"مشاتل",IF(D154&lt;DATE(2019,11,30),2,10),
"كافيتيريا",IF(D154&lt;DATE(2019,11,30),30,150),
"نوادي",IF(D154&lt;DATE(2019,11,30),6,30),
"رسو مراكب",IF(D154&lt;DATE(2019,11,30),2,10),
"مباني",IF(D154&lt;DATE(2018,9,24),2,10),
"عشش",IF(D154&lt;DATE(2019,11,30),2,10),
"كشك (تجاري/صناعي)",IF(D154&lt;DATE(2019,11,30),10,50),
"ردم",20,
0)))</f>
        <v>5040</v>
      </c>
      <c r="AC154" s="1" cm="1">
        <f t="array" aca="1" ref="AC154" ca="1">IF(Y154&lt;DATE(2023,5,1),0,
IF(J154="زراعة",
K154*
(
INT((Y154-MAX(DATE(2023,5,1),D154))/365)
+
CEILING(MOD((Y154-MAX(DATE(2023,5,1),D154))/365,1),0.25)
)
*3,
IF(J154="ردم",
K154*20,
K154*
(
DATEDIF(MAX(DATE(2023,5,1),D154),Y154,"m")+1
)
*
_xlfn.SWITCH(J154,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154" s="1">
        <f t="shared" ca="1" si="17"/>
        <v>55</v>
      </c>
    </row>
    <row r="155" spans="1:30" s="80" customFormat="1" ht="18.75" x14ac:dyDescent="0.25">
      <c r="A155" s="52">
        <v>136</v>
      </c>
      <c r="B155" s="6">
        <v>25</v>
      </c>
      <c r="C155" s="3">
        <v>2016</v>
      </c>
      <c r="D155" s="7">
        <v>42421</v>
      </c>
      <c r="E155" s="12" t="s">
        <v>252</v>
      </c>
      <c r="F155" s="6"/>
      <c r="G155" s="6" t="s">
        <v>227</v>
      </c>
      <c r="H155" s="6"/>
      <c r="I155" s="6" t="s">
        <v>33</v>
      </c>
      <c r="J155" s="3" t="s">
        <v>29</v>
      </c>
      <c r="K155" s="6">
        <v>9</v>
      </c>
      <c r="L155" s="3" t="s">
        <v>90</v>
      </c>
      <c r="M155" s="7"/>
      <c r="N155" s="6"/>
      <c r="O155" s="9">
        <f>0.47*Table2[[#This Row],[قيمة المحضر]]</f>
        <v>0</v>
      </c>
      <c r="P155" s="9">
        <f>0.17*Table2[[#This Row],[قيمة المحضر]]</f>
        <v>0</v>
      </c>
      <c r="Q155" s="9">
        <f t="shared" ref="Q155:Q218" ca="1" si="18">Z155+AA155+AB155+AC155</f>
        <v>14670</v>
      </c>
      <c r="R155" s="3"/>
      <c r="S155" s="3"/>
      <c r="T155" s="9" t="str">
        <f t="shared" ref="T155:T218" si="19">IF(R155="تم الحجز",Q155+O155+N155,"-")</f>
        <v>-</v>
      </c>
      <c r="U155" s="3" t="s">
        <v>25</v>
      </c>
      <c r="V155" s="9" t="str">
        <f t="shared" ref="V155:V218" si="20">IF(OR(U155="قائم",U155="قائم و سدد مقابل انتفاع"),"-",
IF(U155="تم رد الشئ لأصله",P155+Q155,
IF(U155="ازالة جبرية",N155+O155+Q155,"")))</f>
        <v>-</v>
      </c>
      <c r="W155" s="4"/>
      <c r="X155" s="38"/>
      <c r="Y155" s="1">
        <f t="shared" ca="1" si="16"/>
        <v>46162</v>
      </c>
      <c r="Z155" s="1" cm="1">
        <f t="array" ref="Z155">IF(D155&gt;DATE(2015,5,16),0,
K155*
(
INT((MIN(Y155,DATE(2015,5,16))-D155)/365)
+
CEILING(MOD((MIN(Y155,DATE(2015,5,16))-D155)/365,1),0.25)
)
*
_xlfn.SWITCH(J155,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55" s="1" cm="1">
        <f t="array" aca="1" ref="AA155" ca="1">IF(Y155&lt;DATE(2015,5,17),0,
K155*
(
INT((MIN(Y155,DATE(2018,9,23))-MAX(D155,DATE(2015,5,17)))/365)
+
CEILING(MOD((MIN(Y155,DATE(2018,9,23))-MAX(D155,DATE(2015,5,17)))/365,1),0.25)
)
*
_xlfn.SWITCH(J155,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2970</v>
      </c>
      <c r="AB155" s="1" cm="1">
        <f t="array" aca="1" ref="AB155" ca="1">IF(Y155&lt;DATE(2018,9,24),0,
IF(J155="زراعة",
K155*
(
INT((MIN(Y155,DATE(2023,4,30))-MAX(D155,DATE(2018,9,24)))/365)
+
CEILING(MOD((MIN(Y155,DATE(2023,4,30))-MAX(D155,DATE(2018,9,24)))/365,1),0.25)
)
*1,
K155*
(
DATEDIF(MAX(D155,DATE(2018,9,24)),MIN(Y155,DATE(2023,4,30)),"m")+1
)
*
_xlfn.SWITCH(J155,
"موقف/تندة",IF(D155&lt;DATE(2019,11,30),6,30),
"تشوينات",IF(D155&lt;DATE(2019,11,30),4,20),
"مشاتل",IF(D155&lt;DATE(2019,11,30),2,10),
"كافيتيريا",IF(D155&lt;DATE(2019,11,30),30,150),
"نوادي",IF(D155&lt;DATE(2019,11,30),6,30),
"رسو مراكب",IF(D155&lt;DATE(2019,11,30),2,10),
"مباني",IF(D155&lt;DATE(2018,9,24),2,10),
"عشش",IF(D155&lt;DATE(2019,11,30),2,10),
"كشك (تجاري/صناعي)",IF(D155&lt;DATE(2019,11,30),10,50),
"ردم",20,
0)))</f>
        <v>5040</v>
      </c>
      <c r="AC155" s="1" cm="1">
        <f t="array" aca="1" ref="AC155" ca="1">IF(Y155&lt;DATE(2023,5,1),0,
IF(J155="زراعة",
K155*
(
INT((Y155-MAX(DATE(2023,5,1),D155))/365)
+
CEILING(MOD((Y155-MAX(DATE(2023,5,1),D155))/365,1),0.25)
)
*3,
IF(J155="ردم",
K155*20,
K155*
(
DATEDIF(MAX(DATE(2023,5,1),D155),Y155,"m")+1
)
*
_xlfn.SWITCH(J155,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155" s="1">
        <f t="shared" ca="1" si="17"/>
        <v>55</v>
      </c>
    </row>
    <row r="156" spans="1:30" s="80" customFormat="1" ht="18.75" x14ac:dyDescent="0.25">
      <c r="A156" s="52">
        <v>137</v>
      </c>
      <c r="B156" s="6">
        <v>26</v>
      </c>
      <c r="C156" s="3">
        <v>2016</v>
      </c>
      <c r="D156" s="7">
        <v>42421</v>
      </c>
      <c r="E156" s="12" t="s">
        <v>253</v>
      </c>
      <c r="F156" s="6"/>
      <c r="G156" s="6" t="s">
        <v>228</v>
      </c>
      <c r="H156" s="6"/>
      <c r="I156" s="6" t="s">
        <v>33</v>
      </c>
      <c r="J156" s="3" t="s">
        <v>29</v>
      </c>
      <c r="K156" s="6">
        <v>9</v>
      </c>
      <c r="L156" s="3" t="s">
        <v>90</v>
      </c>
      <c r="M156" s="7"/>
      <c r="N156" s="6"/>
      <c r="O156" s="9">
        <f>0.47*Table2[[#This Row],[قيمة المحضر]]</f>
        <v>0</v>
      </c>
      <c r="P156" s="9">
        <f>0.17*Table2[[#This Row],[قيمة المحضر]]</f>
        <v>0</v>
      </c>
      <c r="Q156" s="9">
        <f t="shared" ca="1" si="18"/>
        <v>14670</v>
      </c>
      <c r="R156" s="3"/>
      <c r="S156" s="3"/>
      <c r="T156" s="9" t="str">
        <f t="shared" si="19"/>
        <v>-</v>
      </c>
      <c r="U156" s="3" t="s">
        <v>25</v>
      </c>
      <c r="V156" s="9" t="str">
        <f t="shared" si="20"/>
        <v>-</v>
      </c>
      <c r="W156" s="4"/>
      <c r="X156" s="38"/>
      <c r="Y156" s="1">
        <f t="shared" ca="1" si="16"/>
        <v>46162</v>
      </c>
      <c r="Z156" s="1" cm="1">
        <f t="array" ref="Z156">IF(D156&gt;DATE(2015,5,16),0,
K156*
(
INT((MIN(Y156,DATE(2015,5,16))-D156)/365)
+
CEILING(MOD((MIN(Y156,DATE(2015,5,16))-D156)/365,1),0.25)
)
*
_xlfn.SWITCH(J156,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56" s="1" cm="1">
        <f t="array" aca="1" ref="AA156" ca="1">IF(Y156&lt;DATE(2015,5,17),0,
K156*
(
INT((MIN(Y156,DATE(2018,9,23))-MAX(D156,DATE(2015,5,17)))/365)
+
CEILING(MOD((MIN(Y156,DATE(2018,9,23))-MAX(D156,DATE(2015,5,17)))/365,1),0.25)
)
*
_xlfn.SWITCH(J156,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2970</v>
      </c>
      <c r="AB156" s="1" cm="1">
        <f t="array" aca="1" ref="AB156" ca="1">IF(Y156&lt;DATE(2018,9,24),0,
IF(J156="زراعة",
K156*
(
INT((MIN(Y156,DATE(2023,4,30))-MAX(D156,DATE(2018,9,24)))/365)
+
CEILING(MOD((MIN(Y156,DATE(2023,4,30))-MAX(D156,DATE(2018,9,24)))/365,1),0.25)
)
*1,
K156*
(
DATEDIF(MAX(D156,DATE(2018,9,24)),MIN(Y156,DATE(2023,4,30)),"m")+1
)
*
_xlfn.SWITCH(J156,
"موقف/تندة",IF(D156&lt;DATE(2019,11,30),6,30),
"تشوينات",IF(D156&lt;DATE(2019,11,30),4,20),
"مشاتل",IF(D156&lt;DATE(2019,11,30),2,10),
"كافيتيريا",IF(D156&lt;DATE(2019,11,30),30,150),
"نوادي",IF(D156&lt;DATE(2019,11,30),6,30),
"رسو مراكب",IF(D156&lt;DATE(2019,11,30),2,10),
"مباني",IF(D156&lt;DATE(2018,9,24),2,10),
"عشش",IF(D156&lt;DATE(2019,11,30),2,10),
"كشك (تجاري/صناعي)",IF(D156&lt;DATE(2019,11,30),10,50),
"ردم",20,
0)))</f>
        <v>5040</v>
      </c>
      <c r="AC156" s="1" cm="1">
        <f t="array" aca="1" ref="AC156" ca="1">IF(Y156&lt;DATE(2023,5,1),0,
IF(J156="زراعة",
K156*
(
INT((Y156-MAX(DATE(2023,5,1),D156))/365)
+
CEILING(MOD((Y156-MAX(DATE(2023,5,1),D156))/365,1),0.25)
)
*3,
IF(J156="ردم",
K156*20,
K156*
(
DATEDIF(MAX(DATE(2023,5,1),D156),Y156,"m")+1
)
*
_xlfn.SWITCH(J156,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156" s="1">
        <f t="shared" ca="1" si="17"/>
        <v>55</v>
      </c>
    </row>
    <row r="157" spans="1:30" s="80" customFormat="1" ht="18.75" x14ac:dyDescent="0.25">
      <c r="A157" s="52">
        <v>138</v>
      </c>
      <c r="B157" s="6">
        <v>27</v>
      </c>
      <c r="C157" s="3">
        <v>2016</v>
      </c>
      <c r="D157" s="7">
        <v>42421</v>
      </c>
      <c r="E157" s="12" t="s">
        <v>254</v>
      </c>
      <c r="F157" s="6"/>
      <c r="G157" s="6" t="s">
        <v>229</v>
      </c>
      <c r="H157" s="6"/>
      <c r="I157" s="6" t="s">
        <v>33</v>
      </c>
      <c r="J157" s="3" t="s">
        <v>29</v>
      </c>
      <c r="K157" s="6">
        <v>9</v>
      </c>
      <c r="L157" s="3" t="s">
        <v>90</v>
      </c>
      <c r="M157" s="7"/>
      <c r="N157" s="6"/>
      <c r="O157" s="9">
        <f>0.47*Table2[[#This Row],[قيمة المحضر]]</f>
        <v>0</v>
      </c>
      <c r="P157" s="9">
        <f>0.17*Table2[[#This Row],[قيمة المحضر]]</f>
        <v>0</v>
      </c>
      <c r="Q157" s="9">
        <f t="shared" ca="1" si="18"/>
        <v>14670</v>
      </c>
      <c r="R157" s="3"/>
      <c r="S157" s="3"/>
      <c r="T157" s="9" t="str">
        <f t="shared" si="19"/>
        <v>-</v>
      </c>
      <c r="U157" s="3" t="s">
        <v>25</v>
      </c>
      <c r="V157" s="9" t="str">
        <f t="shared" si="20"/>
        <v>-</v>
      </c>
      <c r="W157" s="4"/>
      <c r="X157" s="38"/>
      <c r="Y157" s="1">
        <f t="shared" ca="1" si="16"/>
        <v>46162</v>
      </c>
      <c r="Z157" s="1" cm="1">
        <f t="array" ref="Z157">IF(D157&gt;DATE(2015,5,16),0,
K157*
(
INT((MIN(Y157,DATE(2015,5,16))-D157)/365)
+
CEILING(MOD((MIN(Y157,DATE(2015,5,16))-D157)/365,1),0.25)
)
*
_xlfn.SWITCH(J157,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57" s="1" cm="1">
        <f t="array" aca="1" ref="AA157" ca="1">IF(Y157&lt;DATE(2015,5,17),0,
K157*
(
INT((MIN(Y157,DATE(2018,9,23))-MAX(D157,DATE(2015,5,17)))/365)
+
CEILING(MOD((MIN(Y157,DATE(2018,9,23))-MAX(D157,DATE(2015,5,17)))/365,1),0.25)
)
*
_xlfn.SWITCH(J157,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2970</v>
      </c>
      <c r="AB157" s="1" cm="1">
        <f t="array" aca="1" ref="AB157" ca="1">IF(Y157&lt;DATE(2018,9,24),0,
IF(J157="زراعة",
K157*
(
INT((MIN(Y157,DATE(2023,4,30))-MAX(D157,DATE(2018,9,24)))/365)
+
CEILING(MOD((MIN(Y157,DATE(2023,4,30))-MAX(D157,DATE(2018,9,24)))/365,1),0.25)
)
*1,
K157*
(
DATEDIF(MAX(D157,DATE(2018,9,24)),MIN(Y157,DATE(2023,4,30)),"m")+1
)
*
_xlfn.SWITCH(J157,
"موقف/تندة",IF(D157&lt;DATE(2019,11,30),6,30),
"تشوينات",IF(D157&lt;DATE(2019,11,30),4,20),
"مشاتل",IF(D157&lt;DATE(2019,11,30),2,10),
"كافيتيريا",IF(D157&lt;DATE(2019,11,30),30,150),
"نوادي",IF(D157&lt;DATE(2019,11,30),6,30),
"رسو مراكب",IF(D157&lt;DATE(2019,11,30),2,10),
"مباني",IF(D157&lt;DATE(2018,9,24),2,10),
"عشش",IF(D157&lt;DATE(2019,11,30),2,10),
"كشك (تجاري/صناعي)",IF(D157&lt;DATE(2019,11,30),10,50),
"ردم",20,
0)))</f>
        <v>5040</v>
      </c>
      <c r="AC157" s="1" cm="1">
        <f t="array" aca="1" ref="AC157" ca="1">IF(Y157&lt;DATE(2023,5,1),0,
IF(J157="زراعة",
K157*
(
INT((Y157-MAX(DATE(2023,5,1),D157))/365)
+
CEILING(MOD((Y157-MAX(DATE(2023,5,1),D157))/365,1),0.25)
)
*3,
IF(J157="ردم",
K157*20,
K157*
(
DATEDIF(MAX(DATE(2023,5,1),D157),Y157,"m")+1
)
*
_xlfn.SWITCH(J157,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157" s="1">
        <f t="shared" ca="1" si="17"/>
        <v>55</v>
      </c>
    </row>
    <row r="158" spans="1:30" s="80" customFormat="1" ht="18.75" x14ac:dyDescent="0.25">
      <c r="A158" s="52">
        <v>139</v>
      </c>
      <c r="B158" s="6">
        <v>28</v>
      </c>
      <c r="C158" s="3">
        <v>2016</v>
      </c>
      <c r="D158" s="7">
        <v>42421</v>
      </c>
      <c r="E158" s="12" t="s">
        <v>255</v>
      </c>
      <c r="F158" s="6"/>
      <c r="G158" s="6" t="s">
        <v>230</v>
      </c>
      <c r="H158" s="6"/>
      <c r="I158" s="6" t="s">
        <v>33</v>
      </c>
      <c r="J158" s="3" t="s">
        <v>29</v>
      </c>
      <c r="K158" s="6">
        <v>9</v>
      </c>
      <c r="L158" s="3" t="s">
        <v>90</v>
      </c>
      <c r="M158" s="7"/>
      <c r="N158" s="6"/>
      <c r="O158" s="9">
        <f>0.47*Table2[[#This Row],[قيمة المحضر]]</f>
        <v>0</v>
      </c>
      <c r="P158" s="9">
        <f>0.17*Table2[[#This Row],[قيمة المحضر]]</f>
        <v>0</v>
      </c>
      <c r="Q158" s="9">
        <f t="shared" ca="1" si="18"/>
        <v>14670</v>
      </c>
      <c r="R158" s="3"/>
      <c r="S158" s="3"/>
      <c r="T158" s="9" t="str">
        <f t="shared" si="19"/>
        <v>-</v>
      </c>
      <c r="U158" s="3" t="s">
        <v>25</v>
      </c>
      <c r="V158" s="9" t="str">
        <f t="shared" si="20"/>
        <v>-</v>
      </c>
      <c r="W158" s="4"/>
      <c r="X158" s="38"/>
      <c r="Y158" s="1">
        <f t="shared" ca="1" si="16"/>
        <v>46162</v>
      </c>
      <c r="Z158" s="1" cm="1">
        <f t="array" ref="Z158">IF(D158&gt;DATE(2015,5,16),0,
K158*
(
INT((MIN(Y158,DATE(2015,5,16))-D158)/365)
+
CEILING(MOD((MIN(Y158,DATE(2015,5,16))-D158)/365,1),0.25)
)
*
_xlfn.SWITCH(J158,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58" s="1" cm="1">
        <f t="array" aca="1" ref="AA158" ca="1">IF(Y158&lt;DATE(2015,5,17),0,
K158*
(
INT((MIN(Y158,DATE(2018,9,23))-MAX(D158,DATE(2015,5,17)))/365)
+
CEILING(MOD((MIN(Y158,DATE(2018,9,23))-MAX(D158,DATE(2015,5,17)))/365,1),0.25)
)
*
_xlfn.SWITCH(J158,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2970</v>
      </c>
      <c r="AB158" s="1" cm="1">
        <f t="array" aca="1" ref="AB158" ca="1">IF(Y158&lt;DATE(2018,9,24),0,
IF(J158="زراعة",
K158*
(
INT((MIN(Y158,DATE(2023,4,30))-MAX(D158,DATE(2018,9,24)))/365)
+
CEILING(MOD((MIN(Y158,DATE(2023,4,30))-MAX(D158,DATE(2018,9,24)))/365,1),0.25)
)
*1,
K158*
(
DATEDIF(MAX(D158,DATE(2018,9,24)),MIN(Y158,DATE(2023,4,30)),"m")+1
)
*
_xlfn.SWITCH(J158,
"موقف/تندة",IF(D158&lt;DATE(2019,11,30),6,30),
"تشوينات",IF(D158&lt;DATE(2019,11,30),4,20),
"مشاتل",IF(D158&lt;DATE(2019,11,30),2,10),
"كافيتيريا",IF(D158&lt;DATE(2019,11,30),30,150),
"نوادي",IF(D158&lt;DATE(2019,11,30),6,30),
"رسو مراكب",IF(D158&lt;DATE(2019,11,30),2,10),
"مباني",IF(D158&lt;DATE(2018,9,24),2,10),
"عشش",IF(D158&lt;DATE(2019,11,30),2,10),
"كشك (تجاري/صناعي)",IF(D158&lt;DATE(2019,11,30),10,50),
"ردم",20,
0)))</f>
        <v>5040</v>
      </c>
      <c r="AC158" s="1" cm="1">
        <f t="array" aca="1" ref="AC158" ca="1">IF(Y158&lt;DATE(2023,5,1),0,
IF(J158="زراعة",
K158*
(
INT((Y158-MAX(DATE(2023,5,1),D158))/365)
+
CEILING(MOD((Y158-MAX(DATE(2023,5,1),D158))/365,1),0.25)
)
*3,
IF(J158="ردم",
K158*20,
K158*
(
DATEDIF(MAX(DATE(2023,5,1),D158),Y158,"m")+1
)
*
_xlfn.SWITCH(J158,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158" s="1">
        <f t="shared" ca="1" si="17"/>
        <v>55</v>
      </c>
    </row>
    <row r="159" spans="1:30" s="80" customFormat="1" ht="18.75" x14ac:dyDescent="0.25">
      <c r="A159" s="52">
        <v>140</v>
      </c>
      <c r="B159" s="6">
        <v>29</v>
      </c>
      <c r="C159" s="3">
        <v>2016</v>
      </c>
      <c r="D159" s="7">
        <v>42421</v>
      </c>
      <c r="E159" s="12" t="s">
        <v>256</v>
      </c>
      <c r="F159" s="6"/>
      <c r="G159" s="6" t="s">
        <v>231</v>
      </c>
      <c r="H159" s="6"/>
      <c r="I159" s="6" t="s">
        <v>33</v>
      </c>
      <c r="J159" s="3" t="s">
        <v>27</v>
      </c>
      <c r="K159" s="6">
        <v>20</v>
      </c>
      <c r="L159" s="3" t="s">
        <v>90</v>
      </c>
      <c r="M159" s="7"/>
      <c r="N159" s="6"/>
      <c r="O159" s="9">
        <f>0.47*Table2[[#This Row],[قيمة المحضر]]</f>
        <v>0</v>
      </c>
      <c r="P159" s="9">
        <f>0.17*Table2[[#This Row],[قيمة المحضر]]</f>
        <v>0</v>
      </c>
      <c r="Q159" s="9">
        <f t="shared" ca="1" si="18"/>
        <v>4900</v>
      </c>
      <c r="R159" s="3"/>
      <c r="S159" s="3"/>
      <c r="T159" s="9" t="str">
        <f t="shared" si="19"/>
        <v>-</v>
      </c>
      <c r="U159" s="3" t="s">
        <v>25</v>
      </c>
      <c r="V159" s="9" t="str">
        <f t="shared" si="20"/>
        <v>-</v>
      </c>
      <c r="W159" s="4"/>
      <c r="X159" s="38"/>
      <c r="Y159" s="1">
        <f t="shared" ca="1" si="16"/>
        <v>46162</v>
      </c>
      <c r="Z159" s="1" cm="1">
        <f t="array" ref="Z159">IF(D159&gt;DATE(2015,5,16),0,
K159*
(
INT((MIN(Y159,DATE(2015,5,16))-D159)/365)
+
CEILING(MOD((MIN(Y159,DATE(2015,5,16))-D159)/365,1),0.25)
)
*
_xlfn.SWITCH(J159,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59" s="1" cm="1">
        <f t="array" aca="1" ref="AA159" ca="1">IF(Y159&lt;DATE(2015,5,17),0,
K159*
(
INT((MIN(Y159,DATE(2018,9,23))-MAX(D159,DATE(2015,5,17)))/365)
+
CEILING(MOD((MIN(Y159,DATE(2018,9,23))-MAX(D159,DATE(2015,5,17)))/365,1),0.25)
)
*
_xlfn.SWITCH(J159,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440</v>
      </c>
      <c r="AB159" s="1" cm="1">
        <f t="array" aca="1" ref="AB159" ca="1">IF(Y159&lt;DATE(2018,9,24),0,
IF(J159="زراعة",
K159*
(
INT((MIN(Y159,DATE(2023,4,30))-MAX(D159,DATE(2018,9,24)))/365)
+
CEILING(MOD((MIN(Y159,DATE(2023,4,30))-MAX(D159,DATE(2018,9,24)))/365,1),0.25)
)
*1,
K159*
(
DATEDIF(MAX(D159,DATE(2018,9,24)),MIN(Y159,DATE(2023,4,30)),"m")+1
)
*
_xlfn.SWITCH(J159,
"موقف/تندة",IF(D159&lt;DATE(2019,11,30),6,30),
"تشوينات",IF(D159&lt;DATE(2019,11,30),4,20),
"مشاتل",IF(D159&lt;DATE(2019,11,30),2,10),
"كافيتيريا",IF(D159&lt;DATE(2019,11,30),30,150),
"نوادي",IF(D159&lt;DATE(2019,11,30),6,30),
"رسو مراكب",IF(D159&lt;DATE(2019,11,30),2,10),
"مباني",IF(D159&lt;DATE(2018,9,24),2,10),
"عشش",IF(D159&lt;DATE(2019,11,30),2,10),
"كشك (تجاري/صناعي)",IF(D159&lt;DATE(2019,11,30),10,50),
"ردم",20,
0)))</f>
        <v>2240</v>
      </c>
      <c r="AC159" s="1" cm="1">
        <f t="array" aca="1" ref="AC159" ca="1">IF(Y159&lt;DATE(2023,5,1),0,
IF(J159="زراعة",
K159*
(
INT((Y159-MAX(DATE(2023,5,1),D159))/365)
+
CEILING(MOD((Y159-MAX(DATE(2023,5,1),D159))/365,1),0.25)
)
*3,
IF(J159="ردم",
K159*20,
K159*
(
DATEDIF(MAX(DATE(2023,5,1),D159),Y159,"m")+1
)
*
_xlfn.SWITCH(J159,
"موقف/تندة",6,
"تشوينات",4,
"مشاتل",2,
"رسو مراكب",6,
"مباني",3,
"عشش",1,
"كشك (تجاري/صناعي)",20,
"مواسير صرف صحي (&lt;1م)",16,
"مواسير صرف صحي (&gt;1م)",18,
0))))</f>
        <v>2220</v>
      </c>
      <c r="AD159" s="1">
        <f t="shared" ca="1" si="17"/>
        <v>55</v>
      </c>
    </row>
    <row r="160" spans="1:30" s="80" customFormat="1" ht="18.75" x14ac:dyDescent="0.25">
      <c r="A160" s="52">
        <v>141</v>
      </c>
      <c r="B160" s="6">
        <v>30</v>
      </c>
      <c r="C160" s="3">
        <v>2016</v>
      </c>
      <c r="D160" s="7">
        <v>42421</v>
      </c>
      <c r="E160" s="12" t="s">
        <v>257</v>
      </c>
      <c r="F160" s="6"/>
      <c r="G160" s="6" t="s">
        <v>232</v>
      </c>
      <c r="H160" s="6"/>
      <c r="I160" s="6" t="s">
        <v>33</v>
      </c>
      <c r="J160" s="3" t="s">
        <v>27</v>
      </c>
      <c r="K160" s="6">
        <v>20</v>
      </c>
      <c r="L160" s="3" t="s">
        <v>90</v>
      </c>
      <c r="M160" s="7"/>
      <c r="N160" s="6"/>
      <c r="O160" s="9">
        <f>0.47*Table2[[#This Row],[قيمة المحضر]]</f>
        <v>0</v>
      </c>
      <c r="P160" s="9">
        <f>0.17*Table2[[#This Row],[قيمة المحضر]]</f>
        <v>0</v>
      </c>
      <c r="Q160" s="9">
        <f t="shared" ca="1" si="18"/>
        <v>4900</v>
      </c>
      <c r="R160" s="3"/>
      <c r="S160" s="3"/>
      <c r="T160" s="9" t="str">
        <f t="shared" si="19"/>
        <v>-</v>
      </c>
      <c r="U160" s="3" t="s">
        <v>25</v>
      </c>
      <c r="V160" s="9" t="str">
        <f t="shared" si="20"/>
        <v>-</v>
      </c>
      <c r="W160" s="4"/>
      <c r="X160" s="38"/>
      <c r="Y160" s="1">
        <f t="shared" ca="1" si="16"/>
        <v>46162</v>
      </c>
      <c r="Z160" s="1" cm="1">
        <f t="array" ref="Z160">IF(D160&gt;DATE(2015,5,16),0,
K160*
(
INT((MIN(Y160,DATE(2015,5,16))-D160)/365)
+
CEILING(MOD((MIN(Y160,DATE(2015,5,16))-D160)/365,1),0.25)
)
*
_xlfn.SWITCH(J160,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60" s="1" cm="1">
        <f t="array" aca="1" ref="AA160" ca="1">IF(Y160&lt;DATE(2015,5,17),0,
K160*
(
INT((MIN(Y160,DATE(2018,9,23))-MAX(D160,DATE(2015,5,17)))/365)
+
CEILING(MOD((MIN(Y160,DATE(2018,9,23))-MAX(D160,DATE(2015,5,17)))/365,1),0.25)
)
*
_xlfn.SWITCH(J160,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440</v>
      </c>
      <c r="AB160" s="1" cm="1">
        <f t="array" aca="1" ref="AB160" ca="1">IF(Y160&lt;DATE(2018,9,24),0,
IF(J160="زراعة",
K160*
(
INT((MIN(Y160,DATE(2023,4,30))-MAX(D160,DATE(2018,9,24)))/365)
+
CEILING(MOD((MIN(Y160,DATE(2023,4,30))-MAX(D160,DATE(2018,9,24)))/365,1),0.25)
)
*1,
K160*
(
DATEDIF(MAX(D160,DATE(2018,9,24)),MIN(Y160,DATE(2023,4,30)),"m")+1
)
*
_xlfn.SWITCH(J160,
"موقف/تندة",IF(D160&lt;DATE(2019,11,30),6,30),
"تشوينات",IF(D160&lt;DATE(2019,11,30),4,20),
"مشاتل",IF(D160&lt;DATE(2019,11,30),2,10),
"كافيتيريا",IF(D160&lt;DATE(2019,11,30),30,150),
"نوادي",IF(D160&lt;DATE(2019,11,30),6,30),
"رسو مراكب",IF(D160&lt;DATE(2019,11,30),2,10),
"مباني",IF(D160&lt;DATE(2018,9,24),2,10),
"عشش",IF(D160&lt;DATE(2019,11,30),2,10),
"كشك (تجاري/صناعي)",IF(D160&lt;DATE(2019,11,30),10,50),
"ردم",20,
0)))</f>
        <v>2240</v>
      </c>
      <c r="AC160" s="1" cm="1">
        <f t="array" aca="1" ref="AC160" ca="1">IF(Y160&lt;DATE(2023,5,1),0,
IF(J160="زراعة",
K160*
(
INT((Y160-MAX(DATE(2023,5,1),D160))/365)
+
CEILING(MOD((Y160-MAX(DATE(2023,5,1),D160))/365,1),0.25)
)
*3,
IF(J160="ردم",
K160*20,
K160*
(
DATEDIF(MAX(DATE(2023,5,1),D160),Y160,"m")+1
)
*
_xlfn.SWITCH(J160,
"موقف/تندة",6,
"تشوينات",4,
"مشاتل",2,
"رسو مراكب",6,
"مباني",3,
"عشش",1,
"كشك (تجاري/صناعي)",20,
"مواسير صرف صحي (&lt;1م)",16,
"مواسير صرف صحي (&gt;1م)",18,
0))))</f>
        <v>2220</v>
      </c>
      <c r="AD160" s="1">
        <f t="shared" ca="1" si="17"/>
        <v>55</v>
      </c>
    </row>
    <row r="161" spans="1:30" s="80" customFormat="1" ht="18.75" x14ac:dyDescent="0.25">
      <c r="A161" s="52">
        <v>142</v>
      </c>
      <c r="B161" s="6">
        <v>31</v>
      </c>
      <c r="C161" s="3">
        <v>2016</v>
      </c>
      <c r="D161" s="7">
        <v>42421</v>
      </c>
      <c r="E161" s="12" t="s">
        <v>258</v>
      </c>
      <c r="F161" s="6"/>
      <c r="G161" s="6" t="s">
        <v>233</v>
      </c>
      <c r="H161" s="6"/>
      <c r="I161" s="6" t="s">
        <v>33</v>
      </c>
      <c r="J161" s="3" t="s">
        <v>27</v>
      </c>
      <c r="K161" s="6">
        <v>45</v>
      </c>
      <c r="L161" s="3" t="s">
        <v>90</v>
      </c>
      <c r="M161" s="7"/>
      <c r="N161" s="6"/>
      <c r="O161" s="9">
        <f>0.47*Table2[[#This Row],[قيمة المحضر]]</f>
        <v>0</v>
      </c>
      <c r="P161" s="9">
        <f>0.17*Table2[[#This Row],[قيمة المحضر]]</f>
        <v>0</v>
      </c>
      <c r="Q161" s="9">
        <f t="shared" ca="1" si="18"/>
        <v>11025</v>
      </c>
      <c r="R161" s="3"/>
      <c r="S161" s="3"/>
      <c r="T161" s="9" t="str">
        <f t="shared" si="19"/>
        <v>-</v>
      </c>
      <c r="U161" s="3" t="s">
        <v>25</v>
      </c>
      <c r="V161" s="9" t="str">
        <f t="shared" si="20"/>
        <v>-</v>
      </c>
      <c r="W161" s="4"/>
      <c r="X161" s="38"/>
      <c r="Y161" s="1">
        <f t="shared" ca="1" si="16"/>
        <v>46162</v>
      </c>
      <c r="Z161" s="1" cm="1">
        <f t="array" ref="Z161">IF(D161&gt;DATE(2015,5,16),0,
K161*
(
INT((MIN(Y161,DATE(2015,5,16))-D161)/365)
+
CEILING(MOD((MIN(Y161,DATE(2015,5,16))-D161)/365,1),0.25)
)
*
_xlfn.SWITCH(J161,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61" s="1" cm="1">
        <f t="array" aca="1" ref="AA161" ca="1">IF(Y161&lt;DATE(2015,5,17),0,
K161*
(
INT((MIN(Y161,DATE(2018,9,23))-MAX(D161,DATE(2015,5,17)))/365)
+
CEILING(MOD((MIN(Y161,DATE(2018,9,23))-MAX(D161,DATE(2015,5,17)))/365,1),0.25)
)
*
_xlfn.SWITCH(J161,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990</v>
      </c>
      <c r="AB161" s="1" cm="1">
        <f t="array" aca="1" ref="AB161" ca="1">IF(Y161&lt;DATE(2018,9,24),0,
IF(J161="زراعة",
K161*
(
INT((MIN(Y161,DATE(2023,4,30))-MAX(D161,DATE(2018,9,24)))/365)
+
CEILING(MOD((MIN(Y161,DATE(2023,4,30))-MAX(D161,DATE(2018,9,24)))/365,1),0.25)
)
*1,
K161*
(
DATEDIF(MAX(D161,DATE(2018,9,24)),MIN(Y161,DATE(2023,4,30)),"m")+1
)
*
_xlfn.SWITCH(J161,
"موقف/تندة",IF(D161&lt;DATE(2019,11,30),6,30),
"تشوينات",IF(D161&lt;DATE(2019,11,30),4,20),
"مشاتل",IF(D161&lt;DATE(2019,11,30),2,10),
"كافيتيريا",IF(D161&lt;DATE(2019,11,30),30,150),
"نوادي",IF(D161&lt;DATE(2019,11,30),6,30),
"رسو مراكب",IF(D161&lt;DATE(2019,11,30),2,10),
"مباني",IF(D161&lt;DATE(2018,9,24),2,10),
"عشش",IF(D161&lt;DATE(2019,11,30),2,10),
"كشك (تجاري/صناعي)",IF(D161&lt;DATE(2019,11,30),10,50),
"ردم",20,
0)))</f>
        <v>5040</v>
      </c>
      <c r="AC161" s="1" cm="1">
        <f t="array" aca="1" ref="AC161" ca="1">IF(Y161&lt;DATE(2023,5,1),0,
IF(J161="زراعة",
K161*
(
INT((Y161-MAX(DATE(2023,5,1),D161))/365)
+
CEILING(MOD((Y161-MAX(DATE(2023,5,1),D161))/365,1),0.25)
)
*3,
IF(J161="ردم",
K161*20,
K161*
(
DATEDIF(MAX(DATE(2023,5,1),D161),Y161,"m")+1
)
*
_xlfn.SWITCH(J161,
"موقف/تندة",6,
"تشوينات",4,
"مشاتل",2,
"رسو مراكب",6,
"مباني",3,
"عشش",1,
"كشك (تجاري/صناعي)",20,
"مواسير صرف صحي (&lt;1م)",16,
"مواسير صرف صحي (&gt;1م)",18,
0))))</f>
        <v>4995</v>
      </c>
      <c r="AD161" s="1">
        <f t="shared" ca="1" si="17"/>
        <v>55</v>
      </c>
    </row>
    <row r="162" spans="1:30" s="80" customFormat="1" ht="18.75" x14ac:dyDescent="0.25">
      <c r="A162" s="52">
        <v>143</v>
      </c>
      <c r="B162" s="6">
        <v>32</v>
      </c>
      <c r="C162" s="3">
        <v>2016</v>
      </c>
      <c r="D162" s="7">
        <v>42421</v>
      </c>
      <c r="E162" s="12" t="s">
        <v>259</v>
      </c>
      <c r="F162" s="6"/>
      <c r="G162" s="6" t="s">
        <v>234</v>
      </c>
      <c r="H162" s="6"/>
      <c r="I162" s="6" t="s">
        <v>33</v>
      </c>
      <c r="J162" s="3" t="s">
        <v>27</v>
      </c>
      <c r="K162" s="6">
        <v>12</v>
      </c>
      <c r="L162" s="3" t="s">
        <v>90</v>
      </c>
      <c r="M162" s="7"/>
      <c r="N162" s="6"/>
      <c r="O162" s="9">
        <f>0.47*Table2[[#This Row],[قيمة المحضر]]</f>
        <v>0</v>
      </c>
      <c r="P162" s="9">
        <f>0.17*Table2[[#This Row],[قيمة المحضر]]</f>
        <v>0</v>
      </c>
      <c r="Q162" s="9">
        <f t="shared" ca="1" si="18"/>
        <v>2940</v>
      </c>
      <c r="R162" s="3"/>
      <c r="S162" s="3"/>
      <c r="T162" s="9" t="str">
        <f t="shared" si="19"/>
        <v>-</v>
      </c>
      <c r="U162" s="3" t="s">
        <v>25</v>
      </c>
      <c r="V162" s="9" t="str">
        <f t="shared" si="20"/>
        <v>-</v>
      </c>
      <c r="W162" s="4"/>
      <c r="X162" s="38"/>
      <c r="Y162" s="1">
        <f t="shared" ca="1" si="16"/>
        <v>46162</v>
      </c>
      <c r="Z162" s="1" cm="1">
        <f t="array" ref="Z162">IF(D162&gt;DATE(2015,5,16),0,
K162*
(
INT((MIN(Y162,DATE(2015,5,16))-D162)/365)
+
CEILING(MOD((MIN(Y162,DATE(2015,5,16))-D162)/365,1),0.25)
)
*
_xlfn.SWITCH(J162,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62" s="1" cm="1">
        <f t="array" aca="1" ref="AA162" ca="1">IF(Y162&lt;DATE(2015,5,17),0,
K162*
(
INT((MIN(Y162,DATE(2018,9,23))-MAX(D162,DATE(2015,5,17)))/365)
+
CEILING(MOD((MIN(Y162,DATE(2018,9,23))-MAX(D162,DATE(2015,5,17)))/365,1),0.25)
)
*
_xlfn.SWITCH(J162,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264</v>
      </c>
      <c r="AB162" s="1" cm="1">
        <f t="array" aca="1" ref="AB162" ca="1">IF(Y162&lt;DATE(2018,9,24),0,
IF(J162="زراعة",
K162*
(
INT((MIN(Y162,DATE(2023,4,30))-MAX(D162,DATE(2018,9,24)))/365)
+
CEILING(MOD((MIN(Y162,DATE(2023,4,30))-MAX(D162,DATE(2018,9,24)))/365,1),0.25)
)
*1,
K162*
(
DATEDIF(MAX(D162,DATE(2018,9,24)),MIN(Y162,DATE(2023,4,30)),"m")+1
)
*
_xlfn.SWITCH(J162,
"موقف/تندة",IF(D162&lt;DATE(2019,11,30),6,30),
"تشوينات",IF(D162&lt;DATE(2019,11,30),4,20),
"مشاتل",IF(D162&lt;DATE(2019,11,30),2,10),
"كافيتيريا",IF(D162&lt;DATE(2019,11,30),30,150),
"نوادي",IF(D162&lt;DATE(2019,11,30),6,30),
"رسو مراكب",IF(D162&lt;DATE(2019,11,30),2,10),
"مباني",IF(D162&lt;DATE(2018,9,24),2,10),
"عشش",IF(D162&lt;DATE(2019,11,30),2,10),
"كشك (تجاري/صناعي)",IF(D162&lt;DATE(2019,11,30),10,50),
"ردم",20,
0)))</f>
        <v>1344</v>
      </c>
      <c r="AC162" s="1" cm="1">
        <f t="array" aca="1" ref="AC162" ca="1">IF(Y162&lt;DATE(2023,5,1),0,
IF(J162="زراعة",
K162*
(
INT((Y162-MAX(DATE(2023,5,1),D162))/365)
+
CEILING(MOD((Y162-MAX(DATE(2023,5,1),D162))/365,1),0.25)
)
*3,
IF(J162="ردم",
K162*20,
K162*
(
DATEDIF(MAX(DATE(2023,5,1),D162),Y162,"m")+1
)
*
_xlfn.SWITCH(J162,
"موقف/تندة",6,
"تشوينات",4,
"مشاتل",2,
"رسو مراكب",6,
"مباني",3,
"عشش",1,
"كشك (تجاري/صناعي)",20,
"مواسير صرف صحي (&lt;1م)",16,
"مواسير صرف صحي (&gt;1م)",18,
0))))</f>
        <v>1332</v>
      </c>
      <c r="AD162" s="1">
        <f t="shared" ca="1" si="17"/>
        <v>55</v>
      </c>
    </row>
    <row r="163" spans="1:30" s="80" customFormat="1" ht="18.75" x14ac:dyDescent="0.25">
      <c r="A163" s="52">
        <v>143</v>
      </c>
      <c r="B163" s="6">
        <v>32</v>
      </c>
      <c r="C163" s="3">
        <v>2016</v>
      </c>
      <c r="D163" s="7">
        <v>42421</v>
      </c>
      <c r="E163" s="12" t="s">
        <v>260</v>
      </c>
      <c r="F163" s="6"/>
      <c r="G163" s="6" t="s">
        <v>234</v>
      </c>
      <c r="H163" s="6"/>
      <c r="I163" s="6" t="s">
        <v>33</v>
      </c>
      <c r="J163" s="3" t="s">
        <v>77</v>
      </c>
      <c r="K163" s="6">
        <v>12</v>
      </c>
      <c r="L163" s="3" t="s">
        <v>90</v>
      </c>
      <c r="M163" s="7"/>
      <c r="N163" s="6"/>
      <c r="O163" s="9">
        <f>0.47*Table2[[#This Row],[قيمة المحضر]]</f>
        <v>0</v>
      </c>
      <c r="P163" s="9">
        <f>0.17*Table2[[#This Row],[قيمة المحضر]]</f>
        <v>0</v>
      </c>
      <c r="Q163" s="9">
        <f t="shared" ca="1" si="18"/>
        <v>14340</v>
      </c>
      <c r="R163" s="3"/>
      <c r="S163" s="3"/>
      <c r="T163" s="9" t="str">
        <f t="shared" si="19"/>
        <v>-</v>
      </c>
      <c r="U163" s="3" t="s">
        <v>25</v>
      </c>
      <c r="V163" s="9" t="str">
        <f t="shared" si="20"/>
        <v>-</v>
      </c>
      <c r="W163" s="4"/>
      <c r="X163" s="38"/>
      <c r="Y163" s="1">
        <f t="shared" ca="1" si="16"/>
        <v>46162</v>
      </c>
      <c r="Z163" s="1" cm="1">
        <f t="array" ref="Z163">IF(D163&gt;DATE(2015,5,16),0,
K163*
(
INT((MIN(Y163,DATE(2015,5,16))-D163)/365)
+
CEILING(MOD((MIN(Y163,DATE(2015,5,16))-D163)/365,1),0.25)
)
*
_xlfn.SWITCH(J163,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63" s="1" cm="1">
        <f t="array" aca="1" ref="AA163" ca="1">IF(Y163&lt;DATE(2015,5,17),0,
K163*
(
INT((MIN(Y163,DATE(2018,9,23))-MAX(D163,DATE(2015,5,17)))/365)
+
CEILING(MOD((MIN(Y163,DATE(2018,9,23))-MAX(D163,DATE(2015,5,17)))/365,1),0.25)
)
*
_xlfn.SWITCH(J163,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660</v>
      </c>
      <c r="AB163" s="1" cm="1">
        <f t="array" aca="1" ref="AB163" ca="1">IF(Y163&lt;DATE(2018,9,24),0,
IF(J163="زراعة",
K163*
(
INT((MIN(Y163,DATE(2023,4,30))-MAX(D163,DATE(2018,9,24)))/365)
+
CEILING(MOD((MIN(Y163,DATE(2023,4,30))-MAX(D163,DATE(2018,9,24)))/365,1),0.25)
)
*1,
K163*
(
DATEDIF(MAX(D163,DATE(2018,9,24)),MIN(Y163,DATE(2023,4,30)),"m")+1
)
*
_xlfn.SWITCH(J163,
"موقف/تندة",IF(D163&lt;DATE(2019,11,30),6,30),
"تشوينات",IF(D163&lt;DATE(2019,11,30),4,20),
"مشاتل",IF(D163&lt;DATE(2019,11,30),2,10),
"كافيتيريا",IF(D163&lt;DATE(2019,11,30),30,150),
"نوادي",IF(D163&lt;DATE(2019,11,30),6,30),
"رسو مراكب",IF(D163&lt;DATE(2019,11,30),2,10),
"مباني",IF(D163&lt;DATE(2018,9,24),2,10),
"عشش",IF(D163&lt;DATE(2019,11,30),2,10),
"كشك (تجاري/صناعي)",IF(D163&lt;DATE(2019,11,30),10,50),
"ردم",20,
0)))</f>
        <v>13440</v>
      </c>
      <c r="AC163" s="1" cm="1">
        <f t="array" aca="1" ref="AC163" ca="1">IF(Y163&lt;DATE(2023,5,1),0,
IF(J163="زراعة",
K163*
(
INT((Y163-MAX(DATE(2023,5,1),D163))/365)
+
CEILING(MOD((Y163-MAX(DATE(2023,5,1),D163))/365,1),0.25)
)
*3,
IF(J163="ردم",
K163*20,
K163*
(
DATEDIF(MAX(DATE(2023,5,1),D163),Y163,"m")+1
)
*
_xlfn.SWITCH(J163,
"موقف/تندة",6,
"تشوينات",4,
"مشاتل",2,
"رسو مراكب",6,
"مباني",3,
"عشش",1,
"كشك (تجاري/صناعي)",20,
"مواسير صرف صحي (&lt;1م)",16,
"مواسير صرف صحي (&gt;1م)",18,
0))))</f>
        <v>240</v>
      </c>
      <c r="AD163" s="1">
        <f t="shared" ca="1" si="17"/>
        <v>55</v>
      </c>
    </row>
    <row r="164" spans="1:30" s="80" customFormat="1" ht="18.75" x14ac:dyDescent="0.25">
      <c r="A164" s="52">
        <v>144</v>
      </c>
      <c r="B164" s="6">
        <v>33</v>
      </c>
      <c r="C164" s="3">
        <v>2016</v>
      </c>
      <c r="D164" s="7">
        <v>42421</v>
      </c>
      <c r="E164" s="12"/>
      <c r="F164" s="6"/>
      <c r="G164" s="6" t="s">
        <v>235</v>
      </c>
      <c r="H164" s="6"/>
      <c r="I164" s="6" t="s">
        <v>33</v>
      </c>
      <c r="J164" s="3" t="s">
        <v>27</v>
      </c>
      <c r="K164" s="6">
        <v>9</v>
      </c>
      <c r="L164" s="3" t="s">
        <v>90</v>
      </c>
      <c r="M164" s="7"/>
      <c r="N164" s="6"/>
      <c r="O164" s="9">
        <f>0.47*Table2[[#This Row],[قيمة المحضر]]</f>
        <v>0</v>
      </c>
      <c r="P164" s="9">
        <f>0.17*Table2[[#This Row],[قيمة المحضر]]</f>
        <v>0</v>
      </c>
      <c r="Q164" s="9">
        <f t="shared" ca="1" si="18"/>
        <v>2205</v>
      </c>
      <c r="R164" s="3"/>
      <c r="S164" s="3"/>
      <c r="T164" s="9" t="str">
        <f t="shared" si="19"/>
        <v>-</v>
      </c>
      <c r="U164" s="3" t="s">
        <v>25</v>
      </c>
      <c r="V164" s="9" t="str">
        <f t="shared" si="20"/>
        <v>-</v>
      </c>
      <c r="W164" s="4"/>
      <c r="X164" s="38"/>
      <c r="Y164" s="1">
        <f t="shared" ca="1" si="16"/>
        <v>46162</v>
      </c>
      <c r="Z164" s="1" cm="1">
        <f t="array" ref="Z164">IF(D164&gt;DATE(2015,5,16),0,
K164*
(
INT((MIN(Y164,DATE(2015,5,16))-D164)/365)
+
CEILING(MOD((MIN(Y164,DATE(2015,5,16))-D164)/365,1),0.25)
)
*
_xlfn.SWITCH(J164,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64" s="1" cm="1">
        <f t="array" aca="1" ref="AA164" ca="1">IF(Y164&lt;DATE(2015,5,17),0,
K164*
(
INT((MIN(Y164,DATE(2018,9,23))-MAX(D164,DATE(2015,5,17)))/365)
+
CEILING(MOD((MIN(Y164,DATE(2018,9,23))-MAX(D164,DATE(2015,5,17)))/365,1),0.25)
)
*
_xlfn.SWITCH(J164,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198</v>
      </c>
      <c r="AB164" s="1" cm="1">
        <f t="array" aca="1" ref="AB164" ca="1">IF(Y164&lt;DATE(2018,9,24),0,
IF(J164="زراعة",
K164*
(
INT((MIN(Y164,DATE(2023,4,30))-MAX(D164,DATE(2018,9,24)))/365)
+
CEILING(MOD((MIN(Y164,DATE(2023,4,30))-MAX(D164,DATE(2018,9,24)))/365,1),0.25)
)
*1,
K164*
(
DATEDIF(MAX(D164,DATE(2018,9,24)),MIN(Y164,DATE(2023,4,30)),"m")+1
)
*
_xlfn.SWITCH(J164,
"موقف/تندة",IF(D164&lt;DATE(2019,11,30),6,30),
"تشوينات",IF(D164&lt;DATE(2019,11,30),4,20),
"مشاتل",IF(D164&lt;DATE(2019,11,30),2,10),
"كافيتيريا",IF(D164&lt;DATE(2019,11,30),30,150),
"نوادي",IF(D164&lt;DATE(2019,11,30),6,30),
"رسو مراكب",IF(D164&lt;DATE(2019,11,30),2,10),
"مباني",IF(D164&lt;DATE(2018,9,24),2,10),
"عشش",IF(D164&lt;DATE(2019,11,30),2,10),
"كشك (تجاري/صناعي)",IF(D164&lt;DATE(2019,11,30),10,50),
"ردم",20,
0)))</f>
        <v>1008</v>
      </c>
      <c r="AC164" s="1" cm="1">
        <f t="array" aca="1" ref="AC164" ca="1">IF(Y164&lt;DATE(2023,5,1),0,
IF(J164="زراعة",
K164*
(
INT((Y164-MAX(DATE(2023,5,1),D164))/365)
+
CEILING(MOD((Y164-MAX(DATE(2023,5,1),D164))/365,1),0.25)
)
*3,
IF(J164="ردم",
K164*20,
K164*
(
DATEDIF(MAX(DATE(2023,5,1),D164),Y164,"m")+1
)
*
_xlfn.SWITCH(J164,
"موقف/تندة",6,
"تشوينات",4,
"مشاتل",2,
"رسو مراكب",6,
"مباني",3,
"عشش",1,
"كشك (تجاري/صناعي)",20,
"مواسير صرف صحي (&lt;1م)",16,
"مواسير صرف صحي (&gt;1م)",18,
0))))</f>
        <v>999</v>
      </c>
      <c r="AD164" s="1">
        <f t="shared" ca="1" si="17"/>
        <v>55</v>
      </c>
    </row>
    <row r="165" spans="1:30" s="80" customFormat="1" ht="18.75" x14ac:dyDescent="0.25">
      <c r="A165" s="52">
        <v>145</v>
      </c>
      <c r="B165" s="6">
        <v>34</v>
      </c>
      <c r="C165" s="3">
        <v>2016</v>
      </c>
      <c r="D165" s="7">
        <v>42421</v>
      </c>
      <c r="E165" s="12"/>
      <c r="F165" s="6"/>
      <c r="G165" s="6" t="s">
        <v>236</v>
      </c>
      <c r="H165" s="6"/>
      <c r="I165" s="6" t="s">
        <v>33</v>
      </c>
      <c r="J165" s="3" t="s">
        <v>27</v>
      </c>
      <c r="K165" s="6">
        <v>45</v>
      </c>
      <c r="L165" s="3" t="s">
        <v>90</v>
      </c>
      <c r="M165" s="7"/>
      <c r="N165" s="6"/>
      <c r="O165" s="9">
        <f>0.47*Table2[[#This Row],[قيمة المحضر]]</f>
        <v>0</v>
      </c>
      <c r="P165" s="9">
        <f>0.17*Table2[[#This Row],[قيمة المحضر]]</f>
        <v>0</v>
      </c>
      <c r="Q165" s="9">
        <f t="shared" ca="1" si="18"/>
        <v>11025</v>
      </c>
      <c r="R165" s="3"/>
      <c r="S165" s="3"/>
      <c r="T165" s="9" t="str">
        <f t="shared" si="19"/>
        <v>-</v>
      </c>
      <c r="U165" s="3" t="s">
        <v>25</v>
      </c>
      <c r="V165" s="9" t="str">
        <f t="shared" si="20"/>
        <v>-</v>
      </c>
      <c r="W165" s="4"/>
      <c r="X165" s="38"/>
      <c r="Y165" s="1">
        <f t="shared" ca="1" si="16"/>
        <v>46162</v>
      </c>
      <c r="Z165" s="1" cm="1">
        <f t="array" ref="Z165">IF(D165&gt;DATE(2015,5,16),0,
K165*
(
INT((MIN(Y165,DATE(2015,5,16))-D165)/365)
+
CEILING(MOD((MIN(Y165,DATE(2015,5,16))-D165)/365,1),0.25)
)
*
_xlfn.SWITCH(J165,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65" s="1" cm="1">
        <f t="array" aca="1" ref="AA165" ca="1">IF(Y165&lt;DATE(2015,5,17),0,
K165*
(
INT((MIN(Y165,DATE(2018,9,23))-MAX(D165,DATE(2015,5,17)))/365)
+
CEILING(MOD((MIN(Y165,DATE(2018,9,23))-MAX(D165,DATE(2015,5,17)))/365,1),0.25)
)
*
_xlfn.SWITCH(J165,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990</v>
      </c>
      <c r="AB165" s="1" cm="1">
        <f t="array" aca="1" ref="AB165" ca="1">IF(Y165&lt;DATE(2018,9,24),0,
IF(J165="زراعة",
K165*
(
INT((MIN(Y165,DATE(2023,4,30))-MAX(D165,DATE(2018,9,24)))/365)
+
CEILING(MOD((MIN(Y165,DATE(2023,4,30))-MAX(D165,DATE(2018,9,24)))/365,1),0.25)
)
*1,
K165*
(
DATEDIF(MAX(D165,DATE(2018,9,24)),MIN(Y165,DATE(2023,4,30)),"m")+1
)
*
_xlfn.SWITCH(J165,
"موقف/تندة",IF(D165&lt;DATE(2019,11,30),6,30),
"تشوينات",IF(D165&lt;DATE(2019,11,30),4,20),
"مشاتل",IF(D165&lt;DATE(2019,11,30),2,10),
"كافيتيريا",IF(D165&lt;DATE(2019,11,30),30,150),
"نوادي",IF(D165&lt;DATE(2019,11,30),6,30),
"رسو مراكب",IF(D165&lt;DATE(2019,11,30),2,10),
"مباني",IF(D165&lt;DATE(2018,9,24),2,10),
"عشش",IF(D165&lt;DATE(2019,11,30),2,10),
"كشك (تجاري/صناعي)",IF(D165&lt;DATE(2019,11,30),10,50),
"ردم",20,
0)))</f>
        <v>5040</v>
      </c>
      <c r="AC165" s="1" cm="1">
        <f t="array" aca="1" ref="AC165" ca="1">IF(Y165&lt;DATE(2023,5,1),0,
IF(J165="زراعة",
K165*
(
INT((Y165-MAX(DATE(2023,5,1),D165))/365)
+
CEILING(MOD((Y165-MAX(DATE(2023,5,1),D165))/365,1),0.25)
)
*3,
IF(J165="ردم",
K165*20,
K165*
(
DATEDIF(MAX(DATE(2023,5,1),D165),Y165,"m")+1
)
*
_xlfn.SWITCH(J165,
"موقف/تندة",6,
"تشوينات",4,
"مشاتل",2,
"رسو مراكب",6,
"مباني",3,
"عشش",1,
"كشك (تجاري/صناعي)",20,
"مواسير صرف صحي (&lt;1م)",16,
"مواسير صرف صحي (&gt;1م)",18,
0))))</f>
        <v>4995</v>
      </c>
      <c r="AD165" s="1">
        <f t="shared" ca="1" si="17"/>
        <v>55</v>
      </c>
    </row>
    <row r="166" spans="1:30" s="80" customFormat="1" ht="18.75" x14ac:dyDescent="0.25">
      <c r="A166" s="52">
        <v>146</v>
      </c>
      <c r="B166" s="6">
        <v>35</v>
      </c>
      <c r="C166" s="3">
        <v>2016</v>
      </c>
      <c r="D166" s="7">
        <v>42421</v>
      </c>
      <c r="E166" s="12"/>
      <c r="F166" s="6"/>
      <c r="G166" s="6" t="s">
        <v>237</v>
      </c>
      <c r="H166" s="6"/>
      <c r="I166" s="6" t="s">
        <v>104</v>
      </c>
      <c r="J166" s="3" t="s">
        <v>145</v>
      </c>
      <c r="K166" s="6"/>
      <c r="L166" s="3" t="s">
        <v>89</v>
      </c>
      <c r="M166" s="7"/>
      <c r="N166" s="6"/>
      <c r="O166" s="9">
        <f>0.47*Table2[[#This Row],[قيمة المحضر]]</f>
        <v>0</v>
      </c>
      <c r="P166" s="9">
        <f>0.17*Table2[[#This Row],[قيمة المحضر]]</f>
        <v>0</v>
      </c>
      <c r="Q166" s="9">
        <f t="shared" ca="1" si="18"/>
        <v>0</v>
      </c>
      <c r="R166" s="3"/>
      <c r="S166" s="3"/>
      <c r="T166" s="9" t="str">
        <f t="shared" si="19"/>
        <v>-</v>
      </c>
      <c r="U166" s="3" t="s">
        <v>25</v>
      </c>
      <c r="V166" s="9" t="str">
        <f t="shared" si="20"/>
        <v>-</v>
      </c>
      <c r="W166" s="4"/>
      <c r="X166" s="38"/>
      <c r="Y166" s="1">
        <f t="shared" ca="1" si="16"/>
        <v>46162</v>
      </c>
      <c r="Z166" s="1" cm="1">
        <f t="array" ref="Z166">IF(D166&gt;DATE(2015,5,16),0,
K166*
(
INT((MIN(Y166,DATE(2015,5,16))-D166)/365)
+
CEILING(MOD((MIN(Y166,DATE(2015,5,16))-D166)/365,1),0.25)
)
*
_xlfn.SWITCH(J166,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66" s="1" cm="1">
        <f t="array" aca="1" ref="AA166" ca="1">IF(Y166&lt;DATE(2015,5,17),0,
K166*
(
INT((MIN(Y166,DATE(2018,9,23))-MAX(D166,DATE(2015,5,17)))/365)
+
CEILING(MOD((MIN(Y166,DATE(2018,9,23))-MAX(D166,DATE(2015,5,17)))/365,1),0.25)
)
*
_xlfn.SWITCH(J166,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166" s="1" cm="1">
        <f t="array" aca="1" ref="AB166" ca="1">IF(Y166&lt;DATE(2018,9,24),0,
IF(J166="زراعة",
K166*
(
INT((MIN(Y166,DATE(2023,4,30))-MAX(D166,DATE(2018,9,24)))/365)
+
CEILING(MOD((MIN(Y166,DATE(2023,4,30))-MAX(D166,DATE(2018,9,24)))/365,1),0.25)
)
*1,
K166*
(
DATEDIF(MAX(D166,DATE(2018,9,24)),MIN(Y166,DATE(2023,4,30)),"m")+1
)
*
_xlfn.SWITCH(J166,
"موقف/تندة",IF(D166&lt;DATE(2019,11,30),6,30),
"تشوينات",IF(D166&lt;DATE(2019,11,30),4,20),
"مشاتل",IF(D166&lt;DATE(2019,11,30),2,10),
"كافيتيريا",IF(D166&lt;DATE(2019,11,30),30,150),
"نوادي",IF(D166&lt;DATE(2019,11,30),6,30),
"رسو مراكب",IF(D166&lt;DATE(2019,11,30),2,10),
"مباني",IF(D166&lt;DATE(2018,9,24),2,10),
"عشش",IF(D166&lt;DATE(2019,11,30),2,10),
"كشك (تجاري/صناعي)",IF(D166&lt;DATE(2019,11,30),10,50),
"ردم",20,
0)))</f>
        <v>0</v>
      </c>
      <c r="AC166" s="1" cm="1">
        <f t="array" aca="1" ref="AC166" ca="1">IF(Y166&lt;DATE(2023,5,1),0,
IF(J166="زراعة",
K166*
(
INT((Y166-MAX(DATE(2023,5,1),D166))/365)
+
CEILING(MOD((Y166-MAX(DATE(2023,5,1),D166))/365,1),0.25)
)
*3,
IF(J166="ردم",
K166*20,
K166*
(
DATEDIF(MAX(DATE(2023,5,1),D166),Y166,"m")+1
)
*
_xlfn.SWITCH(J166,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166" s="1">
        <f t="shared" ca="1" si="17"/>
        <v>55</v>
      </c>
    </row>
    <row r="167" spans="1:30" s="81" customFormat="1" ht="19.5" thickBot="1" x14ac:dyDescent="0.3">
      <c r="A167" s="52">
        <v>147</v>
      </c>
      <c r="B167" s="40">
        <v>36</v>
      </c>
      <c r="C167" s="40">
        <v>2016</v>
      </c>
      <c r="D167" s="41">
        <v>42421</v>
      </c>
      <c r="E167" s="42"/>
      <c r="F167" s="40"/>
      <c r="G167" s="40" t="s">
        <v>238</v>
      </c>
      <c r="H167" s="40"/>
      <c r="I167" s="40" t="s">
        <v>104</v>
      </c>
      <c r="J167" s="40" t="s">
        <v>145</v>
      </c>
      <c r="K167" s="40"/>
      <c r="L167" s="40" t="s">
        <v>89</v>
      </c>
      <c r="M167" s="41"/>
      <c r="N167" s="40"/>
      <c r="O167" s="43">
        <f>0.47*Table2[[#This Row],[قيمة المحضر]]</f>
        <v>0</v>
      </c>
      <c r="P167" s="43">
        <f>0.17*Table2[[#This Row],[قيمة المحضر]]</f>
        <v>0</v>
      </c>
      <c r="Q167" s="43">
        <f t="shared" ca="1" si="18"/>
        <v>0</v>
      </c>
      <c r="R167" s="40"/>
      <c r="S167" s="40"/>
      <c r="T167" s="43" t="str">
        <f t="shared" si="19"/>
        <v>-</v>
      </c>
      <c r="U167" s="40" t="s">
        <v>25</v>
      </c>
      <c r="V167" s="43" t="str">
        <f t="shared" si="20"/>
        <v>-</v>
      </c>
      <c r="W167" s="44"/>
      <c r="X167" s="45"/>
      <c r="Y167" s="1">
        <f t="shared" ca="1" si="16"/>
        <v>46162</v>
      </c>
      <c r="Z167" s="1" cm="1">
        <f t="array" ref="Z167">IF(D167&gt;DATE(2015,5,16),0,
K167*
(
INT((MIN(Y167,DATE(2015,5,16))-D167)/365)
+
CEILING(MOD((MIN(Y167,DATE(2015,5,16))-D167)/365,1),0.25)
)
*
_xlfn.SWITCH(J167,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67" s="1" cm="1">
        <f t="array" aca="1" ref="AA167" ca="1">IF(Y167&lt;DATE(2015,5,17),0,
K167*
(
INT((MIN(Y167,DATE(2018,9,23))-MAX(D167,DATE(2015,5,17)))/365)
+
CEILING(MOD((MIN(Y167,DATE(2018,9,23))-MAX(D167,DATE(2015,5,17)))/365,1),0.25)
)
*
_xlfn.SWITCH(J167,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167" s="1" cm="1">
        <f t="array" aca="1" ref="AB167" ca="1">IF(Y167&lt;DATE(2018,9,24),0,
IF(J167="زراعة",
K167*
(
INT((MIN(Y167,DATE(2023,4,30))-MAX(D167,DATE(2018,9,24)))/365)
+
CEILING(MOD((MIN(Y167,DATE(2023,4,30))-MAX(D167,DATE(2018,9,24)))/365,1),0.25)
)
*1,
K167*
(
DATEDIF(MAX(D167,DATE(2018,9,24)),MIN(Y167,DATE(2023,4,30)),"m")+1
)
*
_xlfn.SWITCH(J167,
"موقف/تندة",IF(D167&lt;DATE(2019,11,30),6,30),
"تشوينات",IF(D167&lt;DATE(2019,11,30),4,20),
"مشاتل",IF(D167&lt;DATE(2019,11,30),2,10),
"كافيتيريا",IF(D167&lt;DATE(2019,11,30),30,150),
"نوادي",IF(D167&lt;DATE(2019,11,30),6,30),
"رسو مراكب",IF(D167&lt;DATE(2019,11,30),2,10),
"مباني",IF(D167&lt;DATE(2018,9,24),2,10),
"عشش",IF(D167&lt;DATE(2019,11,30),2,10),
"كشك (تجاري/صناعي)",IF(D167&lt;DATE(2019,11,30),10,50),
"ردم",20,
0)))</f>
        <v>0</v>
      </c>
      <c r="AC167" s="1" cm="1">
        <f t="array" aca="1" ref="AC167" ca="1">IF(Y167&lt;DATE(2023,5,1),0,
IF(J167="زراعة",
K167*
(
INT((Y167-MAX(DATE(2023,5,1),D167))/365)
+
CEILING(MOD((Y167-MAX(DATE(2023,5,1),D167))/365,1),0.25)
)
*3,
IF(J167="ردم",
K167*20,
K167*
(
DATEDIF(MAX(DATE(2023,5,1),D167),Y167,"m")+1
)
*
_xlfn.SWITCH(J167,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167" s="1">
        <f t="shared" ca="1" si="17"/>
        <v>55</v>
      </c>
    </row>
    <row r="168" spans="1:30" ht="18.75" x14ac:dyDescent="0.25">
      <c r="A168" s="52">
        <v>148</v>
      </c>
      <c r="B168" s="76">
        <v>37</v>
      </c>
      <c r="C168" s="77">
        <v>2016</v>
      </c>
      <c r="D168" s="26">
        <v>42423</v>
      </c>
      <c r="E168" s="78"/>
      <c r="F168" s="76"/>
      <c r="G168" s="76" t="s">
        <v>239</v>
      </c>
      <c r="H168" s="76"/>
      <c r="I168" s="76" t="s">
        <v>104</v>
      </c>
      <c r="J168" s="5" t="s">
        <v>145</v>
      </c>
      <c r="K168" s="76"/>
      <c r="L168" s="5" t="s">
        <v>89</v>
      </c>
      <c r="M168" s="79"/>
      <c r="N168" s="76"/>
      <c r="O168" s="28">
        <f>0.47*Table2[[#This Row],[قيمة المحضر]]</f>
        <v>0</v>
      </c>
      <c r="P168" s="28">
        <f>0.17*Table2[[#This Row],[قيمة المحضر]]</f>
        <v>0</v>
      </c>
      <c r="Q168" s="28">
        <f t="shared" ca="1" si="18"/>
        <v>0</v>
      </c>
      <c r="R168" s="5"/>
      <c r="S168" s="5"/>
      <c r="T168" s="28" t="str">
        <f t="shared" si="19"/>
        <v>-</v>
      </c>
      <c r="U168" s="5" t="s">
        <v>25</v>
      </c>
      <c r="V168" s="28" t="str">
        <f t="shared" si="20"/>
        <v>-</v>
      </c>
      <c r="W168" s="29"/>
      <c r="X168" s="38"/>
      <c r="Y168" s="1">
        <f t="shared" ca="1" si="16"/>
        <v>46162</v>
      </c>
      <c r="Z168" s="1" cm="1">
        <f t="array" ref="Z168">IF(D168&gt;DATE(2015,5,16),0,
K168*
(
INT((MIN(Y168,DATE(2015,5,16))-D168)/365)
+
CEILING(MOD((MIN(Y168,DATE(2015,5,16))-D168)/365,1),0.25)
)
*
_xlfn.SWITCH(J168,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68" s="1" cm="1">
        <f t="array" aca="1" ref="AA168" ca="1">IF(Y168&lt;DATE(2015,5,17),0,
K168*
(
INT((MIN(Y168,DATE(2018,9,23))-MAX(D168,DATE(2015,5,17)))/365)
+
CEILING(MOD((MIN(Y168,DATE(2018,9,23))-MAX(D168,DATE(2015,5,17)))/365,1),0.25)
)
*
_xlfn.SWITCH(J168,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168" s="1" cm="1">
        <f t="array" aca="1" ref="AB168" ca="1">IF(Y168&lt;DATE(2018,9,24),0,
IF(J168="زراعة",
K168*
(
INT((MIN(Y168,DATE(2023,4,30))-MAX(D168,DATE(2018,9,24)))/365)
+
CEILING(MOD((MIN(Y168,DATE(2023,4,30))-MAX(D168,DATE(2018,9,24)))/365,1),0.25)
)
*1,
K168*
(
DATEDIF(MAX(D168,DATE(2018,9,24)),MIN(Y168,DATE(2023,4,30)),"m")+1
)
*
_xlfn.SWITCH(J168,
"موقف/تندة",IF(D168&lt;DATE(2019,11,30),6,30),
"تشوينات",IF(D168&lt;DATE(2019,11,30),4,20),
"مشاتل",IF(D168&lt;DATE(2019,11,30),2,10),
"كافيتيريا",IF(D168&lt;DATE(2019,11,30),30,150),
"نوادي",IF(D168&lt;DATE(2019,11,30),6,30),
"رسو مراكب",IF(D168&lt;DATE(2019,11,30),2,10),
"مباني",IF(D168&lt;DATE(2018,9,24),2,10),
"عشش",IF(D168&lt;DATE(2019,11,30),2,10),
"كشك (تجاري/صناعي)",IF(D168&lt;DATE(2019,11,30),10,50),
"ردم",20,
0)))</f>
        <v>0</v>
      </c>
      <c r="AC168" s="1" cm="1">
        <f t="array" aca="1" ref="AC168" ca="1">IF(Y168&lt;DATE(2023,5,1),0,
IF(J168="زراعة",
K168*
(
INT((Y168-MAX(DATE(2023,5,1),D168))/365)
+
CEILING(MOD((Y168-MAX(DATE(2023,5,1),D168))/365,1),0.25)
)
*3,
IF(J168="ردم",
K168*20,
K168*
(
DATEDIF(MAX(DATE(2023,5,1),D168),Y168,"m")+1
)
*
_xlfn.SWITCH(J168,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168" s="1">
        <f t="shared" ca="1" si="17"/>
        <v>55</v>
      </c>
    </row>
    <row r="169" spans="1:30" ht="18.75" x14ac:dyDescent="0.25">
      <c r="A169" s="52">
        <v>149</v>
      </c>
      <c r="B169" s="6">
        <v>38</v>
      </c>
      <c r="C169" s="3">
        <v>2016</v>
      </c>
      <c r="D169" s="7">
        <v>42423</v>
      </c>
      <c r="E169" s="12"/>
      <c r="F169" s="6"/>
      <c r="G169" s="6" t="s">
        <v>240</v>
      </c>
      <c r="H169" s="6"/>
      <c r="I169" s="6" t="s">
        <v>261</v>
      </c>
      <c r="J169" s="3" t="s">
        <v>145</v>
      </c>
      <c r="K169" s="6"/>
      <c r="L169" s="3" t="s">
        <v>89</v>
      </c>
      <c r="M169" s="7"/>
      <c r="N169" s="6"/>
      <c r="O169" s="9">
        <f>0.47*Table2[[#This Row],[قيمة المحضر]]</f>
        <v>0</v>
      </c>
      <c r="P169" s="9">
        <f>0.17*Table2[[#This Row],[قيمة المحضر]]</f>
        <v>0</v>
      </c>
      <c r="Q169" s="9">
        <f t="shared" ca="1" si="18"/>
        <v>0</v>
      </c>
      <c r="R169" s="3"/>
      <c r="S169" s="3"/>
      <c r="T169" s="9" t="str">
        <f t="shared" si="19"/>
        <v>-</v>
      </c>
      <c r="U169" s="3" t="s">
        <v>25</v>
      </c>
      <c r="V169" s="9" t="str">
        <f t="shared" si="20"/>
        <v>-</v>
      </c>
      <c r="W169" s="4"/>
      <c r="X169" s="38"/>
      <c r="Y169" s="1">
        <f t="shared" ca="1" si="16"/>
        <v>46162</v>
      </c>
      <c r="Z169" s="1" cm="1">
        <f t="array" ref="Z169">IF(D169&gt;DATE(2015,5,16),0,
K169*
(
INT((MIN(Y169,DATE(2015,5,16))-D169)/365)
+
CEILING(MOD((MIN(Y169,DATE(2015,5,16))-D169)/365,1),0.25)
)
*
_xlfn.SWITCH(J169,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69" s="1" cm="1">
        <f t="array" aca="1" ref="AA169" ca="1">IF(Y169&lt;DATE(2015,5,17),0,
K169*
(
INT((MIN(Y169,DATE(2018,9,23))-MAX(D169,DATE(2015,5,17)))/365)
+
CEILING(MOD((MIN(Y169,DATE(2018,9,23))-MAX(D169,DATE(2015,5,17)))/365,1),0.25)
)
*
_xlfn.SWITCH(J169,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169" s="1" cm="1">
        <f t="array" aca="1" ref="AB169" ca="1">IF(Y169&lt;DATE(2018,9,24),0,
IF(J169="زراعة",
K169*
(
INT((MIN(Y169,DATE(2023,4,30))-MAX(D169,DATE(2018,9,24)))/365)
+
CEILING(MOD((MIN(Y169,DATE(2023,4,30))-MAX(D169,DATE(2018,9,24)))/365,1),0.25)
)
*1,
K169*
(
DATEDIF(MAX(D169,DATE(2018,9,24)),MIN(Y169,DATE(2023,4,30)),"m")+1
)
*
_xlfn.SWITCH(J169,
"موقف/تندة",IF(D169&lt;DATE(2019,11,30),6,30),
"تشوينات",IF(D169&lt;DATE(2019,11,30),4,20),
"مشاتل",IF(D169&lt;DATE(2019,11,30),2,10),
"كافيتيريا",IF(D169&lt;DATE(2019,11,30),30,150),
"نوادي",IF(D169&lt;DATE(2019,11,30),6,30),
"رسو مراكب",IF(D169&lt;DATE(2019,11,30),2,10),
"مباني",IF(D169&lt;DATE(2018,9,24),2,10),
"عشش",IF(D169&lt;DATE(2019,11,30),2,10),
"كشك (تجاري/صناعي)",IF(D169&lt;DATE(2019,11,30),10,50),
"ردم",20,
0)))</f>
        <v>0</v>
      </c>
      <c r="AC169" s="1" cm="1">
        <f t="array" aca="1" ref="AC169" ca="1">IF(Y169&lt;DATE(2023,5,1),0,
IF(J169="زراعة",
K169*
(
INT((Y169-MAX(DATE(2023,5,1),D169))/365)
+
CEILING(MOD((Y169-MAX(DATE(2023,5,1),D169))/365,1),0.25)
)
*3,
IF(J169="ردم",
K169*20,
K169*
(
DATEDIF(MAX(DATE(2023,5,1),D169),Y169,"m")+1
)
*
_xlfn.SWITCH(J169,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169" s="1">
        <f t="shared" ca="1" si="17"/>
        <v>55</v>
      </c>
    </row>
    <row r="170" spans="1:30" ht="18.75" x14ac:dyDescent="0.25">
      <c r="A170" s="52">
        <v>150</v>
      </c>
      <c r="B170" s="6">
        <v>39</v>
      </c>
      <c r="C170" s="3">
        <v>2016</v>
      </c>
      <c r="D170" s="7">
        <v>42423</v>
      </c>
      <c r="E170" s="12"/>
      <c r="F170" s="6"/>
      <c r="G170" s="6" t="s">
        <v>241</v>
      </c>
      <c r="H170" s="6"/>
      <c r="I170" s="6" t="s">
        <v>261</v>
      </c>
      <c r="J170" s="3" t="s">
        <v>145</v>
      </c>
      <c r="K170" s="6"/>
      <c r="L170" s="3" t="s">
        <v>89</v>
      </c>
      <c r="M170" s="7"/>
      <c r="N170" s="6"/>
      <c r="O170" s="9">
        <f>0.47*Table2[[#This Row],[قيمة المحضر]]</f>
        <v>0</v>
      </c>
      <c r="P170" s="9">
        <f>0.17*Table2[[#This Row],[قيمة المحضر]]</f>
        <v>0</v>
      </c>
      <c r="Q170" s="9">
        <f t="shared" ca="1" si="18"/>
        <v>0</v>
      </c>
      <c r="R170" s="3"/>
      <c r="S170" s="3"/>
      <c r="T170" s="9" t="str">
        <f t="shared" si="19"/>
        <v>-</v>
      </c>
      <c r="U170" s="3" t="s">
        <v>25</v>
      </c>
      <c r="V170" s="9" t="str">
        <f t="shared" si="20"/>
        <v>-</v>
      </c>
      <c r="W170" s="4"/>
      <c r="X170" s="38"/>
      <c r="Y170" s="1">
        <f t="shared" ca="1" si="16"/>
        <v>46162</v>
      </c>
      <c r="Z170" s="1" cm="1">
        <f t="array" ref="Z170">IF(D170&gt;DATE(2015,5,16),0,
K170*
(
INT((MIN(Y170,DATE(2015,5,16))-D170)/365)
+
CEILING(MOD((MIN(Y170,DATE(2015,5,16))-D170)/365,1),0.25)
)
*
_xlfn.SWITCH(J170,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70" s="1" cm="1">
        <f t="array" aca="1" ref="AA170" ca="1">IF(Y170&lt;DATE(2015,5,17),0,
K170*
(
INT((MIN(Y170,DATE(2018,9,23))-MAX(D170,DATE(2015,5,17)))/365)
+
CEILING(MOD((MIN(Y170,DATE(2018,9,23))-MAX(D170,DATE(2015,5,17)))/365,1),0.25)
)
*
_xlfn.SWITCH(J170,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170" s="1" cm="1">
        <f t="array" aca="1" ref="AB170" ca="1">IF(Y170&lt;DATE(2018,9,24),0,
IF(J170="زراعة",
K170*
(
INT((MIN(Y170,DATE(2023,4,30))-MAX(D170,DATE(2018,9,24)))/365)
+
CEILING(MOD((MIN(Y170,DATE(2023,4,30))-MAX(D170,DATE(2018,9,24)))/365,1),0.25)
)
*1,
K170*
(
DATEDIF(MAX(D170,DATE(2018,9,24)),MIN(Y170,DATE(2023,4,30)),"m")+1
)
*
_xlfn.SWITCH(J170,
"موقف/تندة",IF(D170&lt;DATE(2019,11,30),6,30),
"تشوينات",IF(D170&lt;DATE(2019,11,30),4,20),
"مشاتل",IF(D170&lt;DATE(2019,11,30),2,10),
"كافيتيريا",IF(D170&lt;DATE(2019,11,30),30,150),
"نوادي",IF(D170&lt;DATE(2019,11,30),6,30),
"رسو مراكب",IF(D170&lt;DATE(2019,11,30),2,10),
"مباني",IF(D170&lt;DATE(2018,9,24),2,10),
"عشش",IF(D170&lt;DATE(2019,11,30),2,10),
"كشك (تجاري/صناعي)",IF(D170&lt;DATE(2019,11,30),10,50),
"ردم",20,
0)))</f>
        <v>0</v>
      </c>
      <c r="AC170" s="1" cm="1">
        <f t="array" aca="1" ref="AC170" ca="1">IF(Y170&lt;DATE(2023,5,1),0,
IF(J170="زراعة",
K170*
(
INT((Y170-MAX(DATE(2023,5,1),D170))/365)
+
CEILING(MOD((Y170-MAX(DATE(2023,5,1),D170))/365,1),0.25)
)
*3,
IF(J170="ردم",
K170*20,
K170*
(
DATEDIF(MAX(DATE(2023,5,1),D170),Y170,"m")+1
)
*
_xlfn.SWITCH(J170,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170" s="1">
        <f t="shared" ca="1" si="17"/>
        <v>55</v>
      </c>
    </row>
    <row r="171" spans="1:30" ht="18.75" x14ac:dyDescent="0.25">
      <c r="A171" s="52">
        <v>151</v>
      </c>
      <c r="B171" s="6">
        <v>40</v>
      </c>
      <c r="C171" s="3">
        <v>2016</v>
      </c>
      <c r="D171" s="7">
        <v>42423</v>
      </c>
      <c r="E171" s="12"/>
      <c r="F171" s="6"/>
      <c r="G171" s="3" t="s">
        <v>274</v>
      </c>
      <c r="H171" s="6"/>
      <c r="I171" s="6" t="s">
        <v>104</v>
      </c>
      <c r="J171" s="3" t="s">
        <v>145</v>
      </c>
      <c r="K171" s="6"/>
      <c r="L171" s="3" t="s">
        <v>89</v>
      </c>
      <c r="M171" s="7"/>
      <c r="N171" s="6"/>
      <c r="O171" s="9">
        <f>0.47*Table2[[#This Row],[قيمة المحضر]]</f>
        <v>0</v>
      </c>
      <c r="P171" s="9">
        <f>0.17*Table2[[#This Row],[قيمة المحضر]]</f>
        <v>0</v>
      </c>
      <c r="Q171" s="9">
        <f t="shared" ca="1" si="18"/>
        <v>0</v>
      </c>
      <c r="R171" s="3"/>
      <c r="S171" s="3"/>
      <c r="T171" s="9" t="str">
        <f t="shared" si="19"/>
        <v>-</v>
      </c>
      <c r="U171" s="3" t="s">
        <v>25</v>
      </c>
      <c r="V171" s="9" t="str">
        <f t="shared" si="20"/>
        <v>-</v>
      </c>
      <c r="W171" s="4"/>
      <c r="X171" s="38"/>
      <c r="Y171" s="1">
        <f t="shared" ca="1" si="16"/>
        <v>46162</v>
      </c>
      <c r="Z171" s="1" cm="1">
        <f t="array" ref="Z171">IF(D171&gt;DATE(2015,5,16),0,
K171*
(
INT((MIN(Y171,DATE(2015,5,16))-D171)/365)
+
CEILING(MOD((MIN(Y171,DATE(2015,5,16))-D171)/365,1),0.25)
)
*
_xlfn.SWITCH(J171,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71" s="1" cm="1">
        <f t="array" aca="1" ref="AA171" ca="1">IF(Y171&lt;DATE(2015,5,17),0,
K171*
(
INT((MIN(Y171,DATE(2018,9,23))-MAX(D171,DATE(2015,5,17)))/365)
+
CEILING(MOD((MIN(Y171,DATE(2018,9,23))-MAX(D171,DATE(2015,5,17)))/365,1),0.25)
)
*
_xlfn.SWITCH(J171,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171" s="1" cm="1">
        <f t="array" aca="1" ref="AB171" ca="1">IF(Y171&lt;DATE(2018,9,24),0,
IF(J171="زراعة",
K171*
(
INT((MIN(Y171,DATE(2023,4,30))-MAX(D171,DATE(2018,9,24)))/365)
+
CEILING(MOD((MIN(Y171,DATE(2023,4,30))-MAX(D171,DATE(2018,9,24)))/365,1),0.25)
)
*1,
K171*
(
DATEDIF(MAX(D171,DATE(2018,9,24)),MIN(Y171,DATE(2023,4,30)),"m")+1
)
*
_xlfn.SWITCH(J171,
"موقف/تندة",IF(D171&lt;DATE(2019,11,30),6,30),
"تشوينات",IF(D171&lt;DATE(2019,11,30),4,20),
"مشاتل",IF(D171&lt;DATE(2019,11,30),2,10),
"كافيتيريا",IF(D171&lt;DATE(2019,11,30),30,150),
"نوادي",IF(D171&lt;DATE(2019,11,30),6,30),
"رسو مراكب",IF(D171&lt;DATE(2019,11,30),2,10),
"مباني",IF(D171&lt;DATE(2018,9,24),2,10),
"عشش",IF(D171&lt;DATE(2019,11,30),2,10),
"كشك (تجاري/صناعي)",IF(D171&lt;DATE(2019,11,30),10,50),
"ردم",20,
0)))</f>
        <v>0</v>
      </c>
      <c r="AC171" s="1" cm="1">
        <f t="array" aca="1" ref="AC171" ca="1">IF(Y171&lt;DATE(2023,5,1),0,
IF(J171="زراعة",
K171*
(
INT((Y171-MAX(DATE(2023,5,1),D171))/365)
+
CEILING(MOD((Y171-MAX(DATE(2023,5,1),D171))/365,1),0.25)
)
*3,
IF(J171="ردم",
K171*20,
K171*
(
DATEDIF(MAX(DATE(2023,5,1),D171),Y171,"m")+1
)
*
_xlfn.SWITCH(J171,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171" s="1">
        <f t="shared" ca="1" si="17"/>
        <v>55</v>
      </c>
    </row>
    <row r="172" spans="1:30" ht="18.75" x14ac:dyDescent="0.25">
      <c r="A172" s="52">
        <v>152</v>
      </c>
      <c r="B172" s="6">
        <v>41</v>
      </c>
      <c r="C172" s="3">
        <v>2016</v>
      </c>
      <c r="D172" s="7">
        <v>42423</v>
      </c>
      <c r="E172" s="12"/>
      <c r="F172" s="6"/>
      <c r="G172" s="3" t="s">
        <v>275</v>
      </c>
      <c r="H172" s="6"/>
      <c r="I172" s="6" t="s">
        <v>297</v>
      </c>
      <c r="J172" s="3" t="s">
        <v>145</v>
      </c>
      <c r="K172" s="6"/>
      <c r="L172" s="3" t="s">
        <v>88</v>
      </c>
      <c r="M172" s="7"/>
      <c r="N172" s="6"/>
      <c r="O172" s="9">
        <f>0.47*Table2[[#This Row],[قيمة المحضر]]</f>
        <v>0</v>
      </c>
      <c r="P172" s="9">
        <f>0.17*Table2[[#This Row],[قيمة المحضر]]</f>
        <v>0</v>
      </c>
      <c r="Q172" s="9">
        <f t="shared" ca="1" si="18"/>
        <v>0</v>
      </c>
      <c r="R172" s="3"/>
      <c r="S172" s="3"/>
      <c r="T172" s="9" t="str">
        <f>IF(R172="تم الحجز",Q172+O172+#REF!,"-")</f>
        <v>-</v>
      </c>
      <c r="U172" s="3" t="s">
        <v>25</v>
      </c>
      <c r="V172" s="9" t="str">
        <f>IF(OR(U172="قائم",U172="قائم و سدد مقابل انتفاع"),"-",
IF(U172="تم رد الشئ لأصله",P172+Q172,
IF(U172="ازالة جبرية",#REF!+O172+Q172,"")))</f>
        <v>-</v>
      </c>
      <c r="W172" s="4"/>
      <c r="X172" s="38"/>
      <c r="Y172" s="1">
        <f t="shared" ca="1" si="16"/>
        <v>46162</v>
      </c>
      <c r="Z172" s="1" cm="1">
        <f t="array" ref="Z172">IF(D172&gt;DATE(2015,5,16),0,
K172*
(
INT((MIN(Y172,DATE(2015,5,16))-D172)/365)
+
CEILING(MOD((MIN(Y172,DATE(2015,5,16))-D172)/365,1),0.25)
)
*
_xlfn.SWITCH(J172,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72" s="1" cm="1">
        <f t="array" aca="1" ref="AA172" ca="1">IF(Y172&lt;DATE(2015,5,17),0,
K172*
(
INT((MIN(Y172,DATE(2018,9,23))-MAX(D172,DATE(2015,5,17)))/365)
+
CEILING(MOD((MIN(Y172,DATE(2018,9,23))-MAX(D172,DATE(2015,5,17)))/365,1),0.25)
)
*
_xlfn.SWITCH(J172,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172" s="1" cm="1">
        <f t="array" aca="1" ref="AB172" ca="1">IF(Y172&lt;DATE(2018,9,24),0,
IF(J172="زراعة",
K172*
(
INT((MIN(Y172,DATE(2023,4,30))-MAX(D172,DATE(2018,9,24)))/365)
+
CEILING(MOD((MIN(Y172,DATE(2023,4,30))-MAX(D172,DATE(2018,9,24)))/365,1),0.25)
)
*1,
K172*
(
DATEDIF(MAX(D172,DATE(2018,9,24)),MIN(Y172,DATE(2023,4,30)),"m")+1
)
*
_xlfn.SWITCH(J172,
"موقف/تندة",IF(D172&lt;DATE(2019,11,30),6,30),
"تشوينات",IF(D172&lt;DATE(2019,11,30),4,20),
"مشاتل",IF(D172&lt;DATE(2019,11,30),2,10),
"كافيتيريا",IF(D172&lt;DATE(2019,11,30),30,150),
"نوادي",IF(D172&lt;DATE(2019,11,30),6,30),
"رسو مراكب",IF(D172&lt;DATE(2019,11,30),2,10),
"مباني",IF(D172&lt;DATE(2018,9,24),2,10),
"عشش",IF(D172&lt;DATE(2019,11,30),2,10),
"كشك (تجاري/صناعي)",IF(D172&lt;DATE(2019,11,30),10,50),
"ردم",20,
0)))</f>
        <v>0</v>
      </c>
      <c r="AC172" s="1" cm="1">
        <f t="array" aca="1" ref="AC172" ca="1">IF(Y172&lt;DATE(2023,5,1),0,
IF(J172="زراعة",
K172*
(
INT((Y172-MAX(DATE(2023,5,1),D172))/365)
+
CEILING(MOD((Y172-MAX(DATE(2023,5,1),D172))/365,1),0.25)
)
*3,
IF(J172="ردم",
K172*20,
K172*
(
DATEDIF(MAX(DATE(2023,5,1),D172),Y172,"m")+1
)
*
_xlfn.SWITCH(J172,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172" s="1">
        <f t="shared" ca="1" si="17"/>
        <v>55</v>
      </c>
    </row>
    <row r="173" spans="1:30" ht="18.75" x14ac:dyDescent="0.25">
      <c r="A173" s="52">
        <v>153</v>
      </c>
      <c r="B173" s="6">
        <v>42</v>
      </c>
      <c r="C173" s="3">
        <v>2016</v>
      </c>
      <c r="D173" s="7">
        <v>42423</v>
      </c>
      <c r="E173" s="12"/>
      <c r="F173" s="6"/>
      <c r="G173" s="3" t="s">
        <v>276</v>
      </c>
      <c r="H173" s="6"/>
      <c r="I173" s="6" t="s">
        <v>297</v>
      </c>
      <c r="J173" s="3" t="s">
        <v>27</v>
      </c>
      <c r="K173" s="6">
        <v>28</v>
      </c>
      <c r="L173" s="3" t="s">
        <v>88</v>
      </c>
      <c r="M173" s="7"/>
      <c r="N173" s="6"/>
      <c r="O173" s="9">
        <f>0.47*Table2[[#This Row],[قيمة المحضر]]</f>
        <v>0</v>
      </c>
      <c r="P173" s="9">
        <f>0.17*Table2[[#This Row],[قيمة المحضر]]</f>
        <v>0</v>
      </c>
      <c r="Q173" s="9">
        <f t="shared" ca="1" si="18"/>
        <v>6860</v>
      </c>
      <c r="R173" s="3"/>
      <c r="S173" s="3"/>
      <c r="T173" s="9" t="str">
        <f>IF(R173="تم الحجز",Q173+O173+#REF!,"-")</f>
        <v>-</v>
      </c>
      <c r="U173" s="3" t="s">
        <v>25</v>
      </c>
      <c r="V173" s="9" t="str">
        <f>IF(OR(U173="قائم",U173="قائم و سدد مقابل انتفاع"),"-",
IF(U173="تم رد الشئ لأصله",P173+Q173,
IF(U173="ازالة جبرية",#REF!+O173+Q173,"")))</f>
        <v>-</v>
      </c>
      <c r="W173" s="4"/>
      <c r="X173" s="38"/>
      <c r="Y173" s="1">
        <f t="shared" ca="1" si="16"/>
        <v>46162</v>
      </c>
      <c r="Z173" s="1" cm="1">
        <f t="array" ref="Z173">IF(D173&gt;DATE(2015,5,16),0,
K173*
(
INT((MIN(Y173,DATE(2015,5,16))-D173)/365)
+
CEILING(MOD((MIN(Y173,DATE(2015,5,16))-D173)/365,1),0.25)
)
*
_xlfn.SWITCH(J173,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73" s="1" cm="1">
        <f t="array" aca="1" ref="AA173" ca="1">IF(Y173&lt;DATE(2015,5,17),0,
K173*
(
INT((MIN(Y173,DATE(2018,9,23))-MAX(D173,DATE(2015,5,17)))/365)
+
CEILING(MOD((MIN(Y173,DATE(2018,9,23))-MAX(D173,DATE(2015,5,17)))/365,1),0.25)
)
*
_xlfn.SWITCH(J173,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616</v>
      </c>
      <c r="AB173" s="1" cm="1">
        <f t="array" aca="1" ref="AB173" ca="1">IF(Y173&lt;DATE(2018,9,24),0,
IF(J173="زراعة",
K173*
(
INT((MIN(Y173,DATE(2023,4,30))-MAX(D173,DATE(2018,9,24)))/365)
+
CEILING(MOD((MIN(Y173,DATE(2023,4,30))-MAX(D173,DATE(2018,9,24)))/365,1),0.25)
)
*1,
K173*
(
DATEDIF(MAX(D173,DATE(2018,9,24)),MIN(Y173,DATE(2023,4,30)),"m")+1
)
*
_xlfn.SWITCH(J173,
"موقف/تندة",IF(D173&lt;DATE(2019,11,30),6,30),
"تشوينات",IF(D173&lt;DATE(2019,11,30),4,20),
"مشاتل",IF(D173&lt;DATE(2019,11,30),2,10),
"كافيتيريا",IF(D173&lt;DATE(2019,11,30),30,150),
"نوادي",IF(D173&lt;DATE(2019,11,30),6,30),
"رسو مراكب",IF(D173&lt;DATE(2019,11,30),2,10),
"مباني",IF(D173&lt;DATE(2018,9,24),2,10),
"عشش",IF(D173&lt;DATE(2019,11,30),2,10),
"كشك (تجاري/صناعي)",IF(D173&lt;DATE(2019,11,30),10,50),
"ردم",20,
0)))</f>
        <v>3136</v>
      </c>
      <c r="AC173" s="1" cm="1">
        <f t="array" aca="1" ref="AC173" ca="1">IF(Y173&lt;DATE(2023,5,1),0,
IF(J173="زراعة",
K173*
(
INT((Y173-MAX(DATE(2023,5,1),D173))/365)
+
CEILING(MOD((Y173-MAX(DATE(2023,5,1),D173))/365,1),0.25)
)
*3,
IF(J173="ردم",
K173*20,
K173*
(
DATEDIF(MAX(DATE(2023,5,1),D173),Y173,"m")+1
)
*
_xlfn.SWITCH(J173,
"موقف/تندة",6,
"تشوينات",4,
"مشاتل",2,
"رسو مراكب",6,
"مباني",3,
"عشش",1,
"كشك (تجاري/صناعي)",20,
"مواسير صرف صحي (&lt;1م)",16,
"مواسير صرف صحي (&gt;1م)",18,
0))))</f>
        <v>3108</v>
      </c>
      <c r="AD173" s="1">
        <f t="shared" ca="1" si="17"/>
        <v>55</v>
      </c>
    </row>
    <row r="174" spans="1:30" ht="18.75" x14ac:dyDescent="0.25">
      <c r="A174" s="52">
        <v>153</v>
      </c>
      <c r="B174" s="3">
        <v>42</v>
      </c>
      <c r="C174" s="3">
        <v>2016</v>
      </c>
      <c r="D174" s="7">
        <v>42423</v>
      </c>
      <c r="E174" s="11"/>
      <c r="F174" s="3"/>
      <c r="G174" s="3" t="s">
        <v>276</v>
      </c>
      <c r="H174" s="3"/>
      <c r="I174" s="3" t="s">
        <v>297</v>
      </c>
      <c r="J174" s="3" t="s">
        <v>77</v>
      </c>
      <c r="K174" s="3">
        <v>28</v>
      </c>
      <c r="L174" s="3" t="s">
        <v>88</v>
      </c>
      <c r="M174" s="2"/>
      <c r="N174" s="3"/>
      <c r="O174" s="9">
        <f>0.47*Table2[[#This Row],[قيمة المحضر]]</f>
        <v>0</v>
      </c>
      <c r="P174" s="9">
        <f>0.17*Table2[[#This Row],[قيمة المحضر]]</f>
        <v>0</v>
      </c>
      <c r="Q174" s="9">
        <f t="shared" ca="1" si="18"/>
        <v>33460</v>
      </c>
      <c r="R174" s="3"/>
      <c r="S174" s="3"/>
      <c r="T174" s="9" t="str">
        <f t="shared" ref="T174:T205" si="21">IF(R174="تم الحجز",Q174+O174+N172,"-")</f>
        <v>-</v>
      </c>
      <c r="U174" s="3" t="s">
        <v>25</v>
      </c>
      <c r="V174" s="9" t="str">
        <f t="shared" ref="V174:V205" si="22">IF(OR(U174="قائم",U174="قائم و سدد مقابل انتفاع"),"-",
IF(U174="تم رد الشئ لأصله",P174+Q174,
IF(U174="ازالة جبرية",N172+O174+Q174,"")))</f>
        <v>-</v>
      </c>
      <c r="W174" s="4"/>
      <c r="X174" s="38"/>
      <c r="Y174" s="1">
        <f t="shared" ca="1" si="16"/>
        <v>46162</v>
      </c>
      <c r="Z174" s="1" cm="1">
        <f t="array" ref="Z174">IF(D174&gt;DATE(2015,5,16),0,
K174*
(
INT((MIN(Y174,DATE(2015,5,16))-D174)/365)
+
CEILING(MOD((MIN(Y174,DATE(2015,5,16))-D174)/365,1),0.25)
)
*
_xlfn.SWITCH(J174,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74" s="1" cm="1">
        <f t="array" aca="1" ref="AA174" ca="1">IF(Y174&lt;DATE(2015,5,17),0,
K174*
(
INT((MIN(Y174,DATE(2018,9,23))-MAX(D174,DATE(2015,5,17)))/365)
+
CEILING(MOD((MIN(Y174,DATE(2018,9,23))-MAX(D174,DATE(2015,5,17)))/365,1),0.25)
)
*
_xlfn.SWITCH(J174,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1540</v>
      </c>
      <c r="AB174" s="1" cm="1">
        <f t="array" aca="1" ref="AB174" ca="1">IF(Y174&lt;DATE(2018,9,24),0,
IF(J174="زراعة",
K174*
(
INT((MIN(Y174,DATE(2023,4,30))-MAX(D174,DATE(2018,9,24)))/365)
+
CEILING(MOD((MIN(Y174,DATE(2023,4,30))-MAX(D174,DATE(2018,9,24)))/365,1),0.25)
)
*1,
K174*
(
DATEDIF(MAX(D174,DATE(2018,9,24)),MIN(Y174,DATE(2023,4,30)),"m")+1
)
*
_xlfn.SWITCH(J174,
"موقف/تندة",IF(D174&lt;DATE(2019,11,30),6,30),
"تشوينات",IF(D174&lt;DATE(2019,11,30),4,20),
"مشاتل",IF(D174&lt;DATE(2019,11,30),2,10),
"كافيتيريا",IF(D174&lt;DATE(2019,11,30),30,150),
"نوادي",IF(D174&lt;DATE(2019,11,30),6,30),
"رسو مراكب",IF(D174&lt;DATE(2019,11,30),2,10),
"مباني",IF(D174&lt;DATE(2018,9,24),2,10),
"عشش",IF(D174&lt;DATE(2019,11,30),2,10),
"كشك (تجاري/صناعي)",IF(D174&lt;DATE(2019,11,30),10,50),
"ردم",20,
0)))</f>
        <v>31360</v>
      </c>
      <c r="AC174" s="1" cm="1">
        <f t="array" aca="1" ref="AC174" ca="1">IF(Y174&lt;DATE(2023,5,1),0,
IF(J174="زراعة",
K174*
(
INT((Y174-MAX(DATE(2023,5,1),D174))/365)
+
CEILING(MOD((Y174-MAX(DATE(2023,5,1),D174))/365,1),0.25)
)
*3,
IF(J174="ردم",
K174*20,
K174*
(
DATEDIF(MAX(DATE(2023,5,1),D174),Y174,"m")+1
)
*
_xlfn.SWITCH(J174,
"موقف/تندة",6,
"تشوينات",4,
"مشاتل",2,
"رسو مراكب",6,
"مباني",3,
"عشش",1,
"كشك (تجاري/صناعي)",20,
"مواسير صرف صحي (&lt;1م)",16,
"مواسير صرف صحي (&gt;1م)",18,
0))))</f>
        <v>560</v>
      </c>
      <c r="AD174" s="1">
        <f t="shared" ca="1" si="17"/>
        <v>55</v>
      </c>
    </row>
    <row r="175" spans="1:30" ht="18.75" x14ac:dyDescent="0.25">
      <c r="A175" s="52">
        <v>154</v>
      </c>
      <c r="B175" s="3">
        <v>43</v>
      </c>
      <c r="C175" s="3">
        <v>2016</v>
      </c>
      <c r="D175" s="7">
        <v>42423</v>
      </c>
      <c r="E175" s="11"/>
      <c r="F175" s="3"/>
      <c r="G175" s="3" t="s">
        <v>277</v>
      </c>
      <c r="H175" s="3"/>
      <c r="I175" s="3" t="s">
        <v>297</v>
      </c>
      <c r="J175" s="3" t="s">
        <v>27</v>
      </c>
      <c r="K175" s="3">
        <v>49</v>
      </c>
      <c r="L175" s="3" t="s">
        <v>88</v>
      </c>
      <c r="M175" s="2"/>
      <c r="N175" s="3"/>
      <c r="O175" s="9">
        <f>0.47*Table2[[#This Row],[قيمة المحضر]]</f>
        <v>0</v>
      </c>
      <c r="P175" s="9">
        <f>0.17*Table2[[#This Row],[قيمة المحضر]]</f>
        <v>0</v>
      </c>
      <c r="Q175" s="9">
        <f t="shared" ca="1" si="18"/>
        <v>12005</v>
      </c>
      <c r="R175" s="3"/>
      <c r="S175" s="3"/>
      <c r="T175" s="9" t="str">
        <f t="shared" si="21"/>
        <v>-</v>
      </c>
      <c r="U175" s="3" t="s">
        <v>25</v>
      </c>
      <c r="V175" s="9" t="str">
        <f t="shared" si="22"/>
        <v>-</v>
      </c>
      <c r="W175" s="4"/>
      <c r="X175" s="38"/>
      <c r="Y175" s="1">
        <f t="shared" ca="1" si="16"/>
        <v>46162</v>
      </c>
      <c r="Z175" s="1" cm="1">
        <f t="array" ref="Z175">IF(D175&gt;DATE(2015,5,16),0,
K175*
(
INT((MIN(Y175,DATE(2015,5,16))-D175)/365)
+
CEILING(MOD((MIN(Y175,DATE(2015,5,16))-D175)/365,1),0.25)
)
*
_xlfn.SWITCH(J175,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75" s="1" cm="1">
        <f t="array" aca="1" ref="AA175" ca="1">IF(Y175&lt;DATE(2015,5,17),0,
K175*
(
INT((MIN(Y175,DATE(2018,9,23))-MAX(D175,DATE(2015,5,17)))/365)
+
CEILING(MOD((MIN(Y175,DATE(2018,9,23))-MAX(D175,DATE(2015,5,17)))/365,1),0.25)
)
*
_xlfn.SWITCH(J175,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1078</v>
      </c>
      <c r="AB175" s="1" cm="1">
        <f t="array" aca="1" ref="AB175" ca="1">IF(Y175&lt;DATE(2018,9,24),0,
IF(J175="زراعة",
K175*
(
INT((MIN(Y175,DATE(2023,4,30))-MAX(D175,DATE(2018,9,24)))/365)
+
CEILING(MOD((MIN(Y175,DATE(2023,4,30))-MAX(D175,DATE(2018,9,24)))/365,1),0.25)
)
*1,
K175*
(
DATEDIF(MAX(D175,DATE(2018,9,24)),MIN(Y175,DATE(2023,4,30)),"m")+1
)
*
_xlfn.SWITCH(J175,
"موقف/تندة",IF(D175&lt;DATE(2019,11,30),6,30),
"تشوينات",IF(D175&lt;DATE(2019,11,30),4,20),
"مشاتل",IF(D175&lt;DATE(2019,11,30),2,10),
"كافيتيريا",IF(D175&lt;DATE(2019,11,30),30,150),
"نوادي",IF(D175&lt;DATE(2019,11,30),6,30),
"رسو مراكب",IF(D175&lt;DATE(2019,11,30),2,10),
"مباني",IF(D175&lt;DATE(2018,9,24),2,10),
"عشش",IF(D175&lt;DATE(2019,11,30),2,10),
"كشك (تجاري/صناعي)",IF(D175&lt;DATE(2019,11,30),10,50),
"ردم",20,
0)))</f>
        <v>5488</v>
      </c>
      <c r="AC175" s="1" cm="1">
        <f t="array" aca="1" ref="AC175" ca="1">IF(Y175&lt;DATE(2023,5,1),0,
IF(J175="زراعة",
K175*
(
INT((Y175-MAX(DATE(2023,5,1),D175))/365)
+
CEILING(MOD((Y175-MAX(DATE(2023,5,1),D175))/365,1),0.25)
)
*3,
IF(J175="ردم",
K175*20,
K175*
(
DATEDIF(MAX(DATE(2023,5,1),D175),Y175,"m")+1
)
*
_xlfn.SWITCH(J175,
"موقف/تندة",6,
"تشوينات",4,
"مشاتل",2,
"رسو مراكب",6,
"مباني",3,
"عشش",1,
"كشك (تجاري/صناعي)",20,
"مواسير صرف صحي (&lt;1م)",16,
"مواسير صرف صحي (&gt;1م)",18,
0))))</f>
        <v>5439</v>
      </c>
      <c r="AD175" s="1">
        <f t="shared" ca="1" si="17"/>
        <v>55</v>
      </c>
    </row>
    <row r="176" spans="1:30" ht="18.75" x14ac:dyDescent="0.25">
      <c r="A176" s="52">
        <v>154</v>
      </c>
      <c r="B176" s="3">
        <v>43</v>
      </c>
      <c r="C176" s="3">
        <v>2016</v>
      </c>
      <c r="D176" s="7">
        <v>42423</v>
      </c>
      <c r="E176" s="11"/>
      <c r="F176" s="3"/>
      <c r="G176" s="3" t="s">
        <v>277</v>
      </c>
      <c r="H176" s="3"/>
      <c r="I176" s="3" t="s">
        <v>297</v>
      </c>
      <c r="J176" s="3" t="s">
        <v>77</v>
      </c>
      <c r="K176" s="3">
        <v>49</v>
      </c>
      <c r="L176" s="3" t="s">
        <v>88</v>
      </c>
      <c r="M176" s="2"/>
      <c r="N176" s="3"/>
      <c r="O176" s="9">
        <f>0.47*Table2[[#This Row],[قيمة المحضر]]</f>
        <v>0</v>
      </c>
      <c r="P176" s="9">
        <f>0.17*Table2[[#This Row],[قيمة المحضر]]</f>
        <v>0</v>
      </c>
      <c r="Q176" s="9">
        <f t="shared" ca="1" si="18"/>
        <v>58555</v>
      </c>
      <c r="R176" s="3"/>
      <c r="S176" s="3"/>
      <c r="T176" s="9" t="str">
        <f t="shared" si="21"/>
        <v>-</v>
      </c>
      <c r="U176" s="3" t="s">
        <v>25</v>
      </c>
      <c r="V176" s="9" t="str">
        <f t="shared" si="22"/>
        <v>-</v>
      </c>
      <c r="W176" s="4"/>
      <c r="X176" s="38"/>
      <c r="Y176" s="1">
        <f t="shared" ca="1" si="16"/>
        <v>46162</v>
      </c>
      <c r="Z176" s="1" cm="1">
        <f t="array" ref="Z176">IF(D176&gt;DATE(2015,5,16),0,
K176*
(
INT((MIN(Y176,DATE(2015,5,16))-D176)/365)
+
CEILING(MOD((MIN(Y176,DATE(2015,5,16))-D176)/365,1),0.25)
)
*
_xlfn.SWITCH(J176,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76" s="1" cm="1">
        <f t="array" aca="1" ref="AA176" ca="1">IF(Y176&lt;DATE(2015,5,17),0,
K176*
(
INT((MIN(Y176,DATE(2018,9,23))-MAX(D176,DATE(2015,5,17)))/365)
+
CEILING(MOD((MIN(Y176,DATE(2018,9,23))-MAX(D176,DATE(2015,5,17)))/365,1),0.25)
)
*
_xlfn.SWITCH(J176,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2695</v>
      </c>
      <c r="AB176" s="1" cm="1">
        <f t="array" aca="1" ref="AB176" ca="1">IF(Y176&lt;DATE(2018,9,24),0,
IF(J176="زراعة",
K176*
(
INT((MIN(Y176,DATE(2023,4,30))-MAX(D176,DATE(2018,9,24)))/365)
+
CEILING(MOD((MIN(Y176,DATE(2023,4,30))-MAX(D176,DATE(2018,9,24)))/365,1),0.25)
)
*1,
K176*
(
DATEDIF(MAX(D176,DATE(2018,9,24)),MIN(Y176,DATE(2023,4,30)),"m")+1
)
*
_xlfn.SWITCH(J176,
"موقف/تندة",IF(D176&lt;DATE(2019,11,30),6,30),
"تشوينات",IF(D176&lt;DATE(2019,11,30),4,20),
"مشاتل",IF(D176&lt;DATE(2019,11,30),2,10),
"كافيتيريا",IF(D176&lt;DATE(2019,11,30),30,150),
"نوادي",IF(D176&lt;DATE(2019,11,30),6,30),
"رسو مراكب",IF(D176&lt;DATE(2019,11,30),2,10),
"مباني",IF(D176&lt;DATE(2018,9,24),2,10),
"عشش",IF(D176&lt;DATE(2019,11,30),2,10),
"كشك (تجاري/صناعي)",IF(D176&lt;DATE(2019,11,30),10,50),
"ردم",20,
0)))</f>
        <v>54880</v>
      </c>
      <c r="AC176" s="1" cm="1">
        <f t="array" aca="1" ref="AC176" ca="1">IF(Y176&lt;DATE(2023,5,1),0,
IF(J176="زراعة",
K176*
(
INT((Y176-MAX(DATE(2023,5,1),D176))/365)
+
CEILING(MOD((Y176-MAX(DATE(2023,5,1),D176))/365,1),0.25)
)
*3,
IF(J176="ردم",
K176*20,
K176*
(
DATEDIF(MAX(DATE(2023,5,1),D176),Y176,"m")+1
)
*
_xlfn.SWITCH(J176,
"موقف/تندة",6,
"تشوينات",4,
"مشاتل",2,
"رسو مراكب",6,
"مباني",3,
"عشش",1,
"كشك (تجاري/صناعي)",20,
"مواسير صرف صحي (&lt;1م)",16,
"مواسير صرف صحي (&gt;1م)",18,
0))))</f>
        <v>980</v>
      </c>
      <c r="AD176" s="1">
        <f t="shared" ca="1" si="17"/>
        <v>55</v>
      </c>
    </row>
    <row r="177" spans="1:30" ht="18.75" x14ac:dyDescent="0.25">
      <c r="A177" s="52">
        <v>155</v>
      </c>
      <c r="B177" s="3">
        <v>44</v>
      </c>
      <c r="C177" s="3">
        <v>2016</v>
      </c>
      <c r="D177" s="7">
        <v>42423</v>
      </c>
      <c r="E177" s="11"/>
      <c r="F177" s="3"/>
      <c r="G177" s="3" t="s">
        <v>278</v>
      </c>
      <c r="H177" s="3"/>
      <c r="I177" s="3" t="s">
        <v>297</v>
      </c>
      <c r="J177" s="3" t="s">
        <v>27</v>
      </c>
      <c r="K177" s="3">
        <v>49</v>
      </c>
      <c r="L177" s="3" t="s">
        <v>88</v>
      </c>
      <c r="M177" s="2"/>
      <c r="N177" s="3"/>
      <c r="O177" s="9">
        <f>0.47*Table2[[#This Row],[قيمة المحضر]]</f>
        <v>0</v>
      </c>
      <c r="P177" s="9">
        <f>0.17*Table2[[#This Row],[قيمة المحضر]]</f>
        <v>0</v>
      </c>
      <c r="Q177" s="9">
        <f t="shared" ca="1" si="18"/>
        <v>12005</v>
      </c>
      <c r="R177" s="3"/>
      <c r="S177" s="3"/>
      <c r="T177" s="9" t="str">
        <f t="shared" si="21"/>
        <v>-</v>
      </c>
      <c r="U177" s="3" t="s">
        <v>25</v>
      </c>
      <c r="V177" s="9" t="str">
        <f t="shared" si="22"/>
        <v>-</v>
      </c>
      <c r="W177" s="4"/>
      <c r="X177" s="38"/>
      <c r="Y177" s="1">
        <f t="shared" ca="1" si="16"/>
        <v>46162</v>
      </c>
      <c r="Z177" s="1" cm="1">
        <f t="array" ref="Z177">IF(D177&gt;DATE(2015,5,16),0,
K177*
(
INT((MIN(Y177,DATE(2015,5,16))-D177)/365)
+
CEILING(MOD((MIN(Y177,DATE(2015,5,16))-D177)/365,1),0.25)
)
*
_xlfn.SWITCH(J177,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77" s="1" cm="1">
        <f t="array" aca="1" ref="AA177" ca="1">IF(Y177&lt;DATE(2015,5,17),0,
K177*
(
INT((MIN(Y177,DATE(2018,9,23))-MAX(D177,DATE(2015,5,17)))/365)
+
CEILING(MOD((MIN(Y177,DATE(2018,9,23))-MAX(D177,DATE(2015,5,17)))/365,1),0.25)
)
*
_xlfn.SWITCH(J177,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1078</v>
      </c>
      <c r="AB177" s="1" cm="1">
        <f t="array" aca="1" ref="AB177" ca="1">IF(Y177&lt;DATE(2018,9,24),0,
IF(J177="زراعة",
K177*
(
INT((MIN(Y177,DATE(2023,4,30))-MAX(D177,DATE(2018,9,24)))/365)
+
CEILING(MOD((MIN(Y177,DATE(2023,4,30))-MAX(D177,DATE(2018,9,24)))/365,1),0.25)
)
*1,
K177*
(
DATEDIF(MAX(D177,DATE(2018,9,24)),MIN(Y177,DATE(2023,4,30)),"m")+1
)
*
_xlfn.SWITCH(J177,
"موقف/تندة",IF(D177&lt;DATE(2019,11,30),6,30),
"تشوينات",IF(D177&lt;DATE(2019,11,30),4,20),
"مشاتل",IF(D177&lt;DATE(2019,11,30),2,10),
"كافيتيريا",IF(D177&lt;DATE(2019,11,30),30,150),
"نوادي",IF(D177&lt;DATE(2019,11,30),6,30),
"رسو مراكب",IF(D177&lt;DATE(2019,11,30),2,10),
"مباني",IF(D177&lt;DATE(2018,9,24),2,10),
"عشش",IF(D177&lt;DATE(2019,11,30),2,10),
"كشك (تجاري/صناعي)",IF(D177&lt;DATE(2019,11,30),10,50),
"ردم",20,
0)))</f>
        <v>5488</v>
      </c>
      <c r="AC177" s="1" cm="1">
        <f t="array" aca="1" ref="AC177" ca="1">IF(Y177&lt;DATE(2023,5,1),0,
IF(J177="زراعة",
K177*
(
INT((Y177-MAX(DATE(2023,5,1),D177))/365)
+
CEILING(MOD((Y177-MAX(DATE(2023,5,1),D177))/365,1),0.25)
)
*3,
IF(J177="ردم",
K177*20,
K177*
(
DATEDIF(MAX(DATE(2023,5,1),D177),Y177,"m")+1
)
*
_xlfn.SWITCH(J177,
"موقف/تندة",6,
"تشوينات",4,
"مشاتل",2,
"رسو مراكب",6,
"مباني",3,
"عشش",1,
"كشك (تجاري/صناعي)",20,
"مواسير صرف صحي (&lt;1م)",16,
"مواسير صرف صحي (&gt;1م)",18,
0))))</f>
        <v>5439</v>
      </c>
      <c r="AD177" s="1">
        <f t="shared" ca="1" si="17"/>
        <v>55</v>
      </c>
    </row>
    <row r="178" spans="1:30" ht="18.75" x14ac:dyDescent="0.25">
      <c r="A178" s="52">
        <v>155</v>
      </c>
      <c r="B178" s="3">
        <v>44</v>
      </c>
      <c r="C178" s="3">
        <v>2016</v>
      </c>
      <c r="D178" s="7">
        <v>42423</v>
      </c>
      <c r="E178" s="11"/>
      <c r="F178" s="3"/>
      <c r="G178" s="3" t="s">
        <v>278</v>
      </c>
      <c r="H178" s="3"/>
      <c r="I178" s="3" t="s">
        <v>297</v>
      </c>
      <c r="J178" s="3" t="s">
        <v>77</v>
      </c>
      <c r="K178" s="3">
        <v>49</v>
      </c>
      <c r="L178" s="3" t="s">
        <v>88</v>
      </c>
      <c r="M178" s="2"/>
      <c r="N178" s="3"/>
      <c r="O178" s="9">
        <f>0.47*Table2[[#This Row],[قيمة المحضر]]</f>
        <v>0</v>
      </c>
      <c r="P178" s="9">
        <f>0.17*Table2[[#This Row],[قيمة المحضر]]</f>
        <v>0</v>
      </c>
      <c r="Q178" s="9">
        <f t="shared" ca="1" si="18"/>
        <v>58555</v>
      </c>
      <c r="R178" s="3"/>
      <c r="S178" s="3"/>
      <c r="T178" s="9" t="str">
        <f t="shared" si="21"/>
        <v>-</v>
      </c>
      <c r="U178" s="3" t="s">
        <v>25</v>
      </c>
      <c r="V178" s="9" t="str">
        <f t="shared" si="22"/>
        <v>-</v>
      </c>
      <c r="W178" s="4"/>
      <c r="X178" s="38"/>
      <c r="Y178" s="1">
        <f t="shared" ca="1" si="16"/>
        <v>46162</v>
      </c>
      <c r="Z178" s="1" cm="1">
        <f t="array" ref="Z178">IF(D178&gt;DATE(2015,5,16),0,
K178*
(
INT((MIN(Y178,DATE(2015,5,16))-D178)/365)
+
CEILING(MOD((MIN(Y178,DATE(2015,5,16))-D178)/365,1),0.25)
)
*
_xlfn.SWITCH(J178,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78" s="1" cm="1">
        <f t="array" aca="1" ref="AA178" ca="1">IF(Y178&lt;DATE(2015,5,17),0,
K178*
(
INT((MIN(Y178,DATE(2018,9,23))-MAX(D178,DATE(2015,5,17)))/365)
+
CEILING(MOD((MIN(Y178,DATE(2018,9,23))-MAX(D178,DATE(2015,5,17)))/365,1),0.25)
)
*
_xlfn.SWITCH(J178,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2695</v>
      </c>
      <c r="AB178" s="1" cm="1">
        <f t="array" aca="1" ref="AB178" ca="1">IF(Y178&lt;DATE(2018,9,24),0,
IF(J178="زراعة",
K178*
(
INT((MIN(Y178,DATE(2023,4,30))-MAX(D178,DATE(2018,9,24)))/365)
+
CEILING(MOD((MIN(Y178,DATE(2023,4,30))-MAX(D178,DATE(2018,9,24)))/365,1),0.25)
)
*1,
K178*
(
DATEDIF(MAX(D178,DATE(2018,9,24)),MIN(Y178,DATE(2023,4,30)),"m")+1
)
*
_xlfn.SWITCH(J178,
"موقف/تندة",IF(D178&lt;DATE(2019,11,30),6,30),
"تشوينات",IF(D178&lt;DATE(2019,11,30),4,20),
"مشاتل",IF(D178&lt;DATE(2019,11,30),2,10),
"كافيتيريا",IF(D178&lt;DATE(2019,11,30),30,150),
"نوادي",IF(D178&lt;DATE(2019,11,30),6,30),
"رسو مراكب",IF(D178&lt;DATE(2019,11,30),2,10),
"مباني",IF(D178&lt;DATE(2018,9,24),2,10),
"عشش",IF(D178&lt;DATE(2019,11,30),2,10),
"كشك (تجاري/صناعي)",IF(D178&lt;DATE(2019,11,30),10,50),
"ردم",20,
0)))</f>
        <v>54880</v>
      </c>
      <c r="AC178" s="1" cm="1">
        <f t="array" aca="1" ref="AC178" ca="1">IF(Y178&lt;DATE(2023,5,1),0,
IF(J178="زراعة",
K178*
(
INT((Y178-MAX(DATE(2023,5,1),D178))/365)
+
CEILING(MOD((Y178-MAX(DATE(2023,5,1),D178))/365,1),0.25)
)
*3,
IF(J178="ردم",
K178*20,
K178*
(
DATEDIF(MAX(DATE(2023,5,1),D178),Y178,"m")+1
)
*
_xlfn.SWITCH(J178,
"موقف/تندة",6,
"تشوينات",4,
"مشاتل",2,
"رسو مراكب",6,
"مباني",3,
"عشش",1,
"كشك (تجاري/صناعي)",20,
"مواسير صرف صحي (&lt;1م)",16,
"مواسير صرف صحي (&gt;1م)",18,
0))))</f>
        <v>980</v>
      </c>
      <c r="AD178" s="1">
        <f t="shared" ca="1" si="17"/>
        <v>55</v>
      </c>
    </row>
    <row r="179" spans="1:30" ht="18.75" x14ac:dyDescent="0.25">
      <c r="A179" s="52">
        <v>156</v>
      </c>
      <c r="B179" s="3">
        <v>45</v>
      </c>
      <c r="C179" s="3">
        <v>2016</v>
      </c>
      <c r="D179" s="7">
        <v>42423</v>
      </c>
      <c r="E179" s="11"/>
      <c r="F179" s="3"/>
      <c r="G179" s="3" t="s">
        <v>279</v>
      </c>
      <c r="H179" s="3"/>
      <c r="I179" s="3" t="s">
        <v>297</v>
      </c>
      <c r="J179" s="3" t="s">
        <v>27</v>
      </c>
      <c r="K179" s="3">
        <v>42</v>
      </c>
      <c r="L179" s="3" t="s">
        <v>88</v>
      </c>
      <c r="M179" s="2"/>
      <c r="N179" s="3"/>
      <c r="O179" s="9">
        <f>0.47*Table2[[#This Row],[قيمة المحضر]]</f>
        <v>0</v>
      </c>
      <c r="P179" s="9">
        <f>0.17*Table2[[#This Row],[قيمة المحضر]]</f>
        <v>0</v>
      </c>
      <c r="Q179" s="9">
        <f t="shared" ca="1" si="18"/>
        <v>10290</v>
      </c>
      <c r="R179" s="3"/>
      <c r="S179" s="3"/>
      <c r="T179" s="9" t="str">
        <f t="shared" si="21"/>
        <v>-</v>
      </c>
      <c r="U179" s="3" t="s">
        <v>25</v>
      </c>
      <c r="V179" s="9" t="str">
        <f t="shared" si="22"/>
        <v>-</v>
      </c>
      <c r="W179" s="4"/>
      <c r="X179" s="38"/>
      <c r="Y179" s="1">
        <f t="shared" ca="1" si="16"/>
        <v>46162</v>
      </c>
      <c r="Z179" s="1" cm="1">
        <f t="array" ref="Z179">IF(D179&gt;DATE(2015,5,16),0,
K179*
(
INT((MIN(Y179,DATE(2015,5,16))-D179)/365)
+
CEILING(MOD((MIN(Y179,DATE(2015,5,16))-D179)/365,1),0.25)
)
*
_xlfn.SWITCH(J179,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79" s="1" cm="1">
        <f t="array" aca="1" ref="AA179" ca="1">IF(Y179&lt;DATE(2015,5,17),0,
K179*
(
INT((MIN(Y179,DATE(2018,9,23))-MAX(D179,DATE(2015,5,17)))/365)
+
CEILING(MOD((MIN(Y179,DATE(2018,9,23))-MAX(D179,DATE(2015,5,17)))/365,1),0.25)
)
*
_xlfn.SWITCH(J179,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924</v>
      </c>
      <c r="AB179" s="1" cm="1">
        <f t="array" aca="1" ref="AB179" ca="1">IF(Y179&lt;DATE(2018,9,24),0,
IF(J179="زراعة",
K179*
(
INT((MIN(Y179,DATE(2023,4,30))-MAX(D179,DATE(2018,9,24)))/365)
+
CEILING(MOD((MIN(Y179,DATE(2023,4,30))-MAX(D179,DATE(2018,9,24)))/365,1),0.25)
)
*1,
K179*
(
DATEDIF(MAX(D179,DATE(2018,9,24)),MIN(Y179,DATE(2023,4,30)),"m")+1
)
*
_xlfn.SWITCH(J179,
"موقف/تندة",IF(D179&lt;DATE(2019,11,30),6,30),
"تشوينات",IF(D179&lt;DATE(2019,11,30),4,20),
"مشاتل",IF(D179&lt;DATE(2019,11,30),2,10),
"كافيتيريا",IF(D179&lt;DATE(2019,11,30),30,150),
"نوادي",IF(D179&lt;DATE(2019,11,30),6,30),
"رسو مراكب",IF(D179&lt;DATE(2019,11,30),2,10),
"مباني",IF(D179&lt;DATE(2018,9,24),2,10),
"عشش",IF(D179&lt;DATE(2019,11,30),2,10),
"كشك (تجاري/صناعي)",IF(D179&lt;DATE(2019,11,30),10,50),
"ردم",20,
0)))</f>
        <v>4704</v>
      </c>
      <c r="AC179" s="1" cm="1">
        <f t="array" aca="1" ref="AC179" ca="1">IF(Y179&lt;DATE(2023,5,1),0,
IF(J179="زراعة",
K179*
(
INT((Y179-MAX(DATE(2023,5,1),D179))/365)
+
CEILING(MOD((Y179-MAX(DATE(2023,5,1),D179))/365,1),0.25)
)
*3,
IF(J179="ردم",
K179*20,
K179*
(
DATEDIF(MAX(DATE(2023,5,1),D179),Y179,"m")+1
)
*
_xlfn.SWITCH(J179,
"موقف/تندة",6,
"تشوينات",4,
"مشاتل",2,
"رسو مراكب",6,
"مباني",3,
"عشش",1,
"كشك (تجاري/صناعي)",20,
"مواسير صرف صحي (&lt;1م)",16,
"مواسير صرف صحي (&gt;1م)",18,
0))))</f>
        <v>4662</v>
      </c>
      <c r="AD179" s="1">
        <f t="shared" ca="1" si="17"/>
        <v>55</v>
      </c>
    </row>
    <row r="180" spans="1:30" ht="18.75" x14ac:dyDescent="0.25">
      <c r="A180" s="52">
        <v>156</v>
      </c>
      <c r="B180" s="3">
        <v>45</v>
      </c>
      <c r="C180" s="3">
        <v>2016</v>
      </c>
      <c r="D180" s="7">
        <v>42423</v>
      </c>
      <c r="E180" s="11"/>
      <c r="F180" s="3"/>
      <c r="G180" s="3" t="s">
        <v>279</v>
      </c>
      <c r="H180" s="3"/>
      <c r="I180" s="3" t="s">
        <v>297</v>
      </c>
      <c r="J180" s="3" t="s">
        <v>77</v>
      </c>
      <c r="K180" s="3">
        <v>42</v>
      </c>
      <c r="L180" s="3" t="s">
        <v>88</v>
      </c>
      <c r="M180" s="2"/>
      <c r="N180" s="3"/>
      <c r="O180" s="9">
        <f>0.47*Table2[[#This Row],[قيمة المحضر]]</f>
        <v>0</v>
      </c>
      <c r="P180" s="9">
        <f>0.17*Table2[[#This Row],[قيمة المحضر]]</f>
        <v>0</v>
      </c>
      <c r="Q180" s="9">
        <f t="shared" ca="1" si="18"/>
        <v>50190</v>
      </c>
      <c r="R180" s="3"/>
      <c r="S180" s="3"/>
      <c r="T180" s="9" t="str">
        <f t="shared" si="21"/>
        <v>-</v>
      </c>
      <c r="U180" s="3" t="s">
        <v>25</v>
      </c>
      <c r="V180" s="9" t="str">
        <f t="shared" si="22"/>
        <v>-</v>
      </c>
      <c r="W180" s="4"/>
      <c r="X180" s="38"/>
      <c r="Y180" s="1">
        <f t="shared" ca="1" si="16"/>
        <v>46162</v>
      </c>
      <c r="Z180" s="1" cm="1">
        <f t="array" ref="Z180">IF(D180&gt;DATE(2015,5,16),0,
K180*
(
INT((MIN(Y180,DATE(2015,5,16))-D180)/365)
+
CEILING(MOD((MIN(Y180,DATE(2015,5,16))-D180)/365,1),0.25)
)
*
_xlfn.SWITCH(J180,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80" s="1" cm="1">
        <f t="array" aca="1" ref="AA180" ca="1">IF(Y180&lt;DATE(2015,5,17),0,
K180*
(
INT((MIN(Y180,DATE(2018,9,23))-MAX(D180,DATE(2015,5,17)))/365)
+
CEILING(MOD((MIN(Y180,DATE(2018,9,23))-MAX(D180,DATE(2015,5,17)))/365,1),0.25)
)
*
_xlfn.SWITCH(J180,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2310</v>
      </c>
      <c r="AB180" s="1" cm="1">
        <f t="array" aca="1" ref="AB180" ca="1">IF(Y180&lt;DATE(2018,9,24),0,
IF(J180="زراعة",
K180*
(
INT((MIN(Y180,DATE(2023,4,30))-MAX(D180,DATE(2018,9,24)))/365)
+
CEILING(MOD((MIN(Y180,DATE(2023,4,30))-MAX(D180,DATE(2018,9,24)))/365,1),0.25)
)
*1,
K180*
(
DATEDIF(MAX(D180,DATE(2018,9,24)),MIN(Y180,DATE(2023,4,30)),"m")+1
)
*
_xlfn.SWITCH(J180,
"موقف/تندة",IF(D180&lt;DATE(2019,11,30),6,30),
"تشوينات",IF(D180&lt;DATE(2019,11,30),4,20),
"مشاتل",IF(D180&lt;DATE(2019,11,30),2,10),
"كافيتيريا",IF(D180&lt;DATE(2019,11,30),30,150),
"نوادي",IF(D180&lt;DATE(2019,11,30),6,30),
"رسو مراكب",IF(D180&lt;DATE(2019,11,30),2,10),
"مباني",IF(D180&lt;DATE(2018,9,24),2,10),
"عشش",IF(D180&lt;DATE(2019,11,30),2,10),
"كشك (تجاري/صناعي)",IF(D180&lt;DATE(2019,11,30),10,50),
"ردم",20,
0)))</f>
        <v>47040</v>
      </c>
      <c r="AC180" s="1" cm="1">
        <f t="array" aca="1" ref="AC180" ca="1">IF(Y180&lt;DATE(2023,5,1),0,
IF(J180="زراعة",
K180*
(
INT((Y180-MAX(DATE(2023,5,1),D180))/365)
+
CEILING(MOD((Y180-MAX(DATE(2023,5,1),D180))/365,1),0.25)
)
*3,
IF(J180="ردم",
K180*20,
K180*
(
DATEDIF(MAX(DATE(2023,5,1),D180),Y180,"m")+1
)
*
_xlfn.SWITCH(J180,
"موقف/تندة",6,
"تشوينات",4,
"مشاتل",2,
"رسو مراكب",6,
"مباني",3,
"عشش",1,
"كشك (تجاري/صناعي)",20,
"مواسير صرف صحي (&lt;1م)",16,
"مواسير صرف صحي (&gt;1م)",18,
0))))</f>
        <v>840</v>
      </c>
      <c r="AD180" s="1">
        <f t="shared" ca="1" si="17"/>
        <v>55</v>
      </c>
    </row>
    <row r="181" spans="1:30" ht="18.75" x14ac:dyDescent="0.25">
      <c r="A181" s="52">
        <v>157</v>
      </c>
      <c r="B181" s="3">
        <v>46</v>
      </c>
      <c r="C181" s="3">
        <v>2016</v>
      </c>
      <c r="D181" s="7">
        <v>42423</v>
      </c>
      <c r="E181" s="11"/>
      <c r="F181" s="3"/>
      <c r="G181" s="3" t="s">
        <v>280</v>
      </c>
      <c r="H181" s="3"/>
      <c r="I181" s="3" t="s">
        <v>297</v>
      </c>
      <c r="J181" s="3" t="s">
        <v>28</v>
      </c>
      <c r="K181" s="3">
        <f>7*12</f>
        <v>84</v>
      </c>
      <c r="L181" s="3" t="s">
        <v>88</v>
      </c>
      <c r="M181" s="2"/>
      <c r="N181" s="3"/>
      <c r="O181" s="9">
        <f>0.47*Table2[[#This Row],[قيمة المحضر]]</f>
        <v>0</v>
      </c>
      <c r="P181" s="9">
        <f>0.17*Table2[[#This Row],[قيمة المحضر]]</f>
        <v>0</v>
      </c>
      <c r="Q181" s="9">
        <f t="shared" ca="1" si="18"/>
        <v>13440</v>
      </c>
      <c r="R181" s="3"/>
      <c r="S181" s="3"/>
      <c r="T181" s="9" t="str">
        <f t="shared" si="21"/>
        <v>-</v>
      </c>
      <c r="U181" s="3" t="s">
        <v>25</v>
      </c>
      <c r="V181" s="9" t="str">
        <f t="shared" si="22"/>
        <v>-</v>
      </c>
      <c r="W181" s="4"/>
      <c r="X181" s="38"/>
      <c r="Y181" s="1">
        <f t="shared" ca="1" si="16"/>
        <v>46162</v>
      </c>
      <c r="Z181" s="1" cm="1">
        <f t="array" ref="Z181">IF(D181&gt;DATE(2015,5,16),0,
K181*
(
INT((MIN(Y181,DATE(2015,5,16))-D181)/365)
+
CEILING(MOD((MIN(Y181,DATE(2015,5,16))-D181)/365,1),0.25)
)
*
_xlfn.SWITCH(J181,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81" s="1" cm="1">
        <f t="array" aca="1" ref="AA181" ca="1">IF(Y181&lt;DATE(2015,5,17),0,
K181*
(
INT((MIN(Y181,DATE(2018,9,23))-MAX(D181,DATE(2015,5,17)))/365)
+
CEILING(MOD((MIN(Y181,DATE(2018,9,23))-MAX(D181,DATE(2015,5,17)))/365,1),0.25)
)
*
_xlfn.SWITCH(J181,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924</v>
      </c>
      <c r="AB181" s="1" cm="1">
        <f t="array" aca="1" ref="AB181" ca="1">IF(Y181&lt;DATE(2018,9,24),0,
IF(J181="زراعة",
K181*
(
INT((MIN(Y181,DATE(2023,4,30))-MAX(D181,DATE(2018,9,24)))/365)
+
CEILING(MOD((MIN(Y181,DATE(2023,4,30))-MAX(D181,DATE(2018,9,24)))/365,1),0.25)
)
*1,
K181*
(
DATEDIF(MAX(D181,DATE(2018,9,24)),MIN(Y181,DATE(2023,4,30)),"m")+1
)
*
_xlfn.SWITCH(J181,
"موقف/تندة",IF(D181&lt;DATE(2019,11,30),6,30),
"تشوينات",IF(D181&lt;DATE(2019,11,30),4,20),
"مشاتل",IF(D181&lt;DATE(2019,11,30),2,10),
"كافيتيريا",IF(D181&lt;DATE(2019,11,30),30,150),
"نوادي",IF(D181&lt;DATE(2019,11,30),6,30),
"رسو مراكب",IF(D181&lt;DATE(2019,11,30),2,10),
"مباني",IF(D181&lt;DATE(2018,9,24),2,10),
"عشش",IF(D181&lt;DATE(2019,11,30),2,10),
"كشك (تجاري/صناعي)",IF(D181&lt;DATE(2019,11,30),10,50),
"ردم",20,
0)))</f>
        <v>9408</v>
      </c>
      <c r="AC181" s="1" cm="1">
        <f t="array" aca="1" ref="AC181" ca="1">IF(Y181&lt;DATE(2023,5,1),0,
IF(J181="زراعة",
K181*
(
INT((Y181-MAX(DATE(2023,5,1),D181))/365)
+
CEILING(MOD((Y181-MAX(DATE(2023,5,1),D181))/365,1),0.25)
)
*3,
IF(J181="ردم",
K181*20,
K181*
(
DATEDIF(MAX(DATE(2023,5,1),D181),Y181,"m")+1
)
*
_xlfn.SWITCH(J181,
"موقف/تندة",6,
"تشوينات",4,
"مشاتل",2,
"رسو مراكب",6,
"مباني",3,
"عشش",1,
"كشك (تجاري/صناعي)",20,
"مواسير صرف صحي (&lt;1م)",16,
"مواسير صرف صحي (&gt;1م)",18,
0))))</f>
        <v>3108</v>
      </c>
      <c r="AD181" s="1">
        <f t="shared" ca="1" si="17"/>
        <v>55</v>
      </c>
    </row>
    <row r="182" spans="1:30" ht="18.75" x14ac:dyDescent="0.25">
      <c r="A182" s="52">
        <v>157</v>
      </c>
      <c r="B182" s="3">
        <v>46</v>
      </c>
      <c r="C182" s="3">
        <v>2016</v>
      </c>
      <c r="D182" s="7">
        <v>42423</v>
      </c>
      <c r="E182" s="11"/>
      <c r="F182" s="3"/>
      <c r="G182" s="3" t="s">
        <v>280</v>
      </c>
      <c r="H182" s="3"/>
      <c r="I182" s="3" t="s">
        <v>297</v>
      </c>
      <c r="J182" s="3" t="s">
        <v>77</v>
      </c>
      <c r="K182" s="3">
        <v>84</v>
      </c>
      <c r="L182" s="3" t="s">
        <v>88</v>
      </c>
      <c r="M182" s="2"/>
      <c r="N182" s="3"/>
      <c r="O182" s="9">
        <f>0.47*Table2[[#This Row],[قيمة المحضر]]</f>
        <v>0</v>
      </c>
      <c r="P182" s="9">
        <f>0.17*Table2[[#This Row],[قيمة المحضر]]</f>
        <v>0</v>
      </c>
      <c r="Q182" s="9">
        <f t="shared" ca="1" si="18"/>
        <v>100380</v>
      </c>
      <c r="R182" s="3"/>
      <c r="S182" s="3"/>
      <c r="T182" s="9" t="str">
        <f t="shared" si="21"/>
        <v>-</v>
      </c>
      <c r="U182" s="3" t="s">
        <v>25</v>
      </c>
      <c r="V182" s="9" t="str">
        <f t="shared" si="22"/>
        <v>-</v>
      </c>
      <c r="W182" s="4"/>
      <c r="X182" s="38"/>
      <c r="Y182" s="1">
        <f t="shared" ca="1" si="16"/>
        <v>46162</v>
      </c>
      <c r="Z182" s="1" cm="1">
        <f t="array" ref="Z182">IF(D182&gt;DATE(2015,5,16),0,
K182*
(
INT((MIN(Y182,DATE(2015,5,16))-D182)/365)
+
CEILING(MOD((MIN(Y182,DATE(2015,5,16))-D182)/365,1),0.25)
)
*
_xlfn.SWITCH(J182,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82" s="1" cm="1">
        <f t="array" aca="1" ref="AA182" ca="1">IF(Y182&lt;DATE(2015,5,17),0,
K182*
(
INT((MIN(Y182,DATE(2018,9,23))-MAX(D182,DATE(2015,5,17)))/365)
+
CEILING(MOD((MIN(Y182,DATE(2018,9,23))-MAX(D182,DATE(2015,5,17)))/365,1),0.25)
)
*
_xlfn.SWITCH(J182,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4620</v>
      </c>
      <c r="AB182" s="1" cm="1">
        <f t="array" aca="1" ref="AB182" ca="1">IF(Y182&lt;DATE(2018,9,24),0,
IF(J182="زراعة",
K182*
(
INT((MIN(Y182,DATE(2023,4,30))-MAX(D182,DATE(2018,9,24)))/365)
+
CEILING(MOD((MIN(Y182,DATE(2023,4,30))-MAX(D182,DATE(2018,9,24)))/365,1),0.25)
)
*1,
K182*
(
DATEDIF(MAX(D182,DATE(2018,9,24)),MIN(Y182,DATE(2023,4,30)),"m")+1
)
*
_xlfn.SWITCH(J182,
"موقف/تندة",IF(D182&lt;DATE(2019,11,30),6,30),
"تشوينات",IF(D182&lt;DATE(2019,11,30),4,20),
"مشاتل",IF(D182&lt;DATE(2019,11,30),2,10),
"كافيتيريا",IF(D182&lt;DATE(2019,11,30),30,150),
"نوادي",IF(D182&lt;DATE(2019,11,30),6,30),
"رسو مراكب",IF(D182&lt;DATE(2019,11,30),2,10),
"مباني",IF(D182&lt;DATE(2018,9,24),2,10),
"عشش",IF(D182&lt;DATE(2019,11,30),2,10),
"كشك (تجاري/صناعي)",IF(D182&lt;DATE(2019,11,30),10,50),
"ردم",20,
0)))</f>
        <v>94080</v>
      </c>
      <c r="AC182" s="1" cm="1">
        <f t="array" aca="1" ref="AC182" ca="1">IF(Y182&lt;DATE(2023,5,1),0,
IF(J182="زراعة",
K182*
(
INT((Y182-MAX(DATE(2023,5,1),D182))/365)
+
CEILING(MOD((Y182-MAX(DATE(2023,5,1),D182))/365,1),0.25)
)
*3,
IF(J182="ردم",
K182*20,
K182*
(
DATEDIF(MAX(DATE(2023,5,1),D182),Y182,"m")+1
)
*
_xlfn.SWITCH(J182,
"موقف/تندة",6,
"تشوينات",4,
"مشاتل",2,
"رسو مراكب",6,
"مباني",3,
"عشش",1,
"كشك (تجاري/صناعي)",20,
"مواسير صرف صحي (&lt;1م)",16,
"مواسير صرف صحي (&gt;1م)",18,
0))))</f>
        <v>1680</v>
      </c>
      <c r="AD182" s="1">
        <f t="shared" ca="1" si="17"/>
        <v>55</v>
      </c>
    </row>
    <row r="183" spans="1:30" ht="18.75" x14ac:dyDescent="0.25">
      <c r="A183" s="52">
        <v>158</v>
      </c>
      <c r="B183" s="3">
        <v>47</v>
      </c>
      <c r="C183" s="3">
        <v>2016</v>
      </c>
      <c r="D183" s="7">
        <v>42423</v>
      </c>
      <c r="E183" s="11"/>
      <c r="F183" s="3"/>
      <c r="G183" s="3" t="s">
        <v>281</v>
      </c>
      <c r="H183" s="3"/>
      <c r="I183" s="3" t="s">
        <v>297</v>
      </c>
      <c r="J183" s="3" t="s">
        <v>28</v>
      </c>
      <c r="K183" s="3">
        <v>49</v>
      </c>
      <c r="L183" s="3" t="s">
        <v>88</v>
      </c>
      <c r="M183" s="2"/>
      <c r="N183" s="3"/>
      <c r="O183" s="9">
        <f>0.47*Table2[[#This Row],[قيمة المحضر]]</f>
        <v>0</v>
      </c>
      <c r="P183" s="9">
        <f>0.17*Table2[[#This Row],[قيمة المحضر]]</f>
        <v>0</v>
      </c>
      <c r="Q183" s="9">
        <f t="shared" ca="1" si="18"/>
        <v>7840</v>
      </c>
      <c r="R183" s="3"/>
      <c r="S183" s="3"/>
      <c r="T183" s="9" t="str">
        <f t="shared" si="21"/>
        <v>-</v>
      </c>
      <c r="U183" s="3" t="s">
        <v>25</v>
      </c>
      <c r="V183" s="9" t="str">
        <f t="shared" si="22"/>
        <v>-</v>
      </c>
      <c r="W183" s="4"/>
      <c r="X183" s="38"/>
      <c r="Y183" s="1">
        <f t="shared" ca="1" si="16"/>
        <v>46162</v>
      </c>
      <c r="Z183" s="1" cm="1">
        <f t="array" ref="Z183">IF(D183&gt;DATE(2015,5,16),0,
K183*
(
INT((MIN(Y183,DATE(2015,5,16))-D183)/365)
+
CEILING(MOD((MIN(Y183,DATE(2015,5,16))-D183)/365,1),0.25)
)
*
_xlfn.SWITCH(J183,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83" s="1" cm="1">
        <f t="array" aca="1" ref="AA183" ca="1">IF(Y183&lt;DATE(2015,5,17),0,
K183*
(
INT((MIN(Y183,DATE(2018,9,23))-MAX(D183,DATE(2015,5,17)))/365)
+
CEILING(MOD((MIN(Y183,DATE(2018,9,23))-MAX(D183,DATE(2015,5,17)))/365,1),0.25)
)
*
_xlfn.SWITCH(J183,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539</v>
      </c>
      <c r="AB183" s="1" cm="1">
        <f t="array" aca="1" ref="AB183" ca="1">IF(Y183&lt;DATE(2018,9,24),0,
IF(J183="زراعة",
K183*
(
INT((MIN(Y183,DATE(2023,4,30))-MAX(D183,DATE(2018,9,24)))/365)
+
CEILING(MOD((MIN(Y183,DATE(2023,4,30))-MAX(D183,DATE(2018,9,24)))/365,1),0.25)
)
*1,
K183*
(
DATEDIF(MAX(D183,DATE(2018,9,24)),MIN(Y183,DATE(2023,4,30)),"m")+1
)
*
_xlfn.SWITCH(J183,
"موقف/تندة",IF(D183&lt;DATE(2019,11,30),6,30),
"تشوينات",IF(D183&lt;DATE(2019,11,30),4,20),
"مشاتل",IF(D183&lt;DATE(2019,11,30),2,10),
"كافيتيريا",IF(D183&lt;DATE(2019,11,30),30,150),
"نوادي",IF(D183&lt;DATE(2019,11,30),6,30),
"رسو مراكب",IF(D183&lt;DATE(2019,11,30),2,10),
"مباني",IF(D183&lt;DATE(2018,9,24),2,10),
"عشش",IF(D183&lt;DATE(2019,11,30),2,10),
"كشك (تجاري/صناعي)",IF(D183&lt;DATE(2019,11,30),10,50),
"ردم",20,
0)))</f>
        <v>5488</v>
      </c>
      <c r="AC183" s="1" cm="1">
        <f t="array" aca="1" ref="AC183" ca="1">IF(Y183&lt;DATE(2023,5,1),0,
IF(J183="زراعة",
K183*
(
INT((Y183-MAX(DATE(2023,5,1),D183))/365)
+
CEILING(MOD((Y183-MAX(DATE(2023,5,1),D183))/365,1),0.25)
)
*3,
IF(J183="ردم",
K183*20,
K183*
(
DATEDIF(MAX(DATE(2023,5,1),D183),Y183,"m")+1
)
*
_xlfn.SWITCH(J183,
"موقف/تندة",6,
"تشوينات",4,
"مشاتل",2,
"رسو مراكب",6,
"مباني",3,
"عشش",1,
"كشك (تجاري/صناعي)",20,
"مواسير صرف صحي (&lt;1م)",16,
"مواسير صرف صحي (&gt;1م)",18,
0))))</f>
        <v>1813</v>
      </c>
      <c r="AD183" s="1">
        <f t="shared" ca="1" si="17"/>
        <v>55</v>
      </c>
    </row>
    <row r="184" spans="1:30" ht="18.75" x14ac:dyDescent="0.25">
      <c r="A184" s="52">
        <v>158</v>
      </c>
      <c r="B184" s="3">
        <v>47</v>
      </c>
      <c r="C184" s="3">
        <v>2016</v>
      </c>
      <c r="D184" s="7">
        <v>42423</v>
      </c>
      <c r="E184" s="11"/>
      <c r="F184" s="3"/>
      <c r="G184" s="3" t="s">
        <v>281</v>
      </c>
      <c r="H184" s="3"/>
      <c r="I184" s="3" t="s">
        <v>297</v>
      </c>
      <c r="J184" s="3" t="s">
        <v>77</v>
      </c>
      <c r="K184" s="3">
        <v>49</v>
      </c>
      <c r="L184" s="3" t="s">
        <v>88</v>
      </c>
      <c r="M184" s="2"/>
      <c r="N184" s="3"/>
      <c r="O184" s="9">
        <f>0.47*Table2[[#This Row],[قيمة المحضر]]</f>
        <v>0</v>
      </c>
      <c r="P184" s="9">
        <f>0.17*Table2[[#This Row],[قيمة المحضر]]</f>
        <v>0</v>
      </c>
      <c r="Q184" s="9">
        <f t="shared" ca="1" si="18"/>
        <v>58555</v>
      </c>
      <c r="R184" s="3"/>
      <c r="S184" s="3"/>
      <c r="T184" s="9" t="str">
        <f t="shared" si="21"/>
        <v>-</v>
      </c>
      <c r="U184" s="3" t="s">
        <v>25</v>
      </c>
      <c r="V184" s="9" t="str">
        <f t="shared" si="22"/>
        <v>-</v>
      </c>
      <c r="W184" s="4"/>
      <c r="X184" s="38"/>
      <c r="Y184" s="1">
        <f t="shared" ca="1" si="16"/>
        <v>46162</v>
      </c>
      <c r="Z184" s="1" cm="1">
        <f t="array" ref="Z184">IF(D184&gt;DATE(2015,5,16),0,
K184*
(
INT((MIN(Y184,DATE(2015,5,16))-D184)/365)
+
CEILING(MOD((MIN(Y184,DATE(2015,5,16))-D184)/365,1),0.25)
)
*
_xlfn.SWITCH(J184,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84" s="1" cm="1">
        <f t="array" aca="1" ref="AA184" ca="1">IF(Y184&lt;DATE(2015,5,17),0,
K184*
(
INT((MIN(Y184,DATE(2018,9,23))-MAX(D184,DATE(2015,5,17)))/365)
+
CEILING(MOD((MIN(Y184,DATE(2018,9,23))-MAX(D184,DATE(2015,5,17)))/365,1),0.25)
)
*
_xlfn.SWITCH(J184,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2695</v>
      </c>
      <c r="AB184" s="1" cm="1">
        <f t="array" aca="1" ref="AB184" ca="1">IF(Y184&lt;DATE(2018,9,24),0,
IF(J184="زراعة",
K184*
(
INT((MIN(Y184,DATE(2023,4,30))-MAX(D184,DATE(2018,9,24)))/365)
+
CEILING(MOD((MIN(Y184,DATE(2023,4,30))-MAX(D184,DATE(2018,9,24)))/365,1),0.25)
)
*1,
K184*
(
DATEDIF(MAX(D184,DATE(2018,9,24)),MIN(Y184,DATE(2023,4,30)),"m")+1
)
*
_xlfn.SWITCH(J184,
"موقف/تندة",IF(D184&lt;DATE(2019,11,30),6,30),
"تشوينات",IF(D184&lt;DATE(2019,11,30),4,20),
"مشاتل",IF(D184&lt;DATE(2019,11,30),2,10),
"كافيتيريا",IF(D184&lt;DATE(2019,11,30),30,150),
"نوادي",IF(D184&lt;DATE(2019,11,30),6,30),
"رسو مراكب",IF(D184&lt;DATE(2019,11,30),2,10),
"مباني",IF(D184&lt;DATE(2018,9,24),2,10),
"عشش",IF(D184&lt;DATE(2019,11,30),2,10),
"كشك (تجاري/صناعي)",IF(D184&lt;DATE(2019,11,30),10,50),
"ردم",20,
0)))</f>
        <v>54880</v>
      </c>
      <c r="AC184" s="1" cm="1">
        <f t="array" aca="1" ref="AC184" ca="1">IF(Y184&lt;DATE(2023,5,1),0,
IF(J184="زراعة",
K184*
(
INT((Y184-MAX(DATE(2023,5,1),D184))/365)
+
CEILING(MOD((Y184-MAX(DATE(2023,5,1),D184))/365,1),0.25)
)
*3,
IF(J184="ردم",
K184*20,
K184*
(
DATEDIF(MAX(DATE(2023,5,1),D184),Y184,"m")+1
)
*
_xlfn.SWITCH(J184,
"موقف/تندة",6,
"تشوينات",4,
"مشاتل",2,
"رسو مراكب",6,
"مباني",3,
"عشش",1,
"كشك (تجاري/صناعي)",20,
"مواسير صرف صحي (&lt;1م)",16,
"مواسير صرف صحي (&gt;1م)",18,
0))))</f>
        <v>980</v>
      </c>
      <c r="AD184" s="1">
        <f t="shared" ca="1" si="17"/>
        <v>55</v>
      </c>
    </row>
    <row r="185" spans="1:30" ht="18.75" x14ac:dyDescent="0.25">
      <c r="A185" s="52">
        <v>159</v>
      </c>
      <c r="B185" s="3">
        <v>48</v>
      </c>
      <c r="C185" s="3">
        <v>2016</v>
      </c>
      <c r="D185" s="7">
        <v>42423</v>
      </c>
      <c r="E185" s="11"/>
      <c r="F185" s="3"/>
      <c r="G185" s="3" t="s">
        <v>282</v>
      </c>
      <c r="H185" s="3"/>
      <c r="I185" s="3" t="s">
        <v>297</v>
      </c>
      <c r="J185" s="3" t="s">
        <v>28</v>
      </c>
      <c r="K185" s="3">
        <v>80</v>
      </c>
      <c r="L185" s="3" t="s">
        <v>88</v>
      </c>
      <c r="M185" s="2"/>
      <c r="N185" s="3"/>
      <c r="O185" s="9">
        <f>0.47*Table2[[#This Row],[قيمة المحضر]]</f>
        <v>0</v>
      </c>
      <c r="P185" s="9">
        <f>0.17*Table2[[#This Row],[قيمة المحضر]]</f>
        <v>0</v>
      </c>
      <c r="Q185" s="9">
        <f t="shared" ca="1" si="18"/>
        <v>12800</v>
      </c>
      <c r="R185" s="3"/>
      <c r="S185" s="3"/>
      <c r="T185" s="9" t="str">
        <f t="shared" si="21"/>
        <v>-</v>
      </c>
      <c r="U185" s="3" t="s">
        <v>25</v>
      </c>
      <c r="V185" s="9" t="str">
        <f t="shared" si="22"/>
        <v>-</v>
      </c>
      <c r="W185" s="4"/>
      <c r="X185" s="38"/>
      <c r="Y185" s="1">
        <f t="shared" ca="1" si="16"/>
        <v>46162</v>
      </c>
      <c r="Z185" s="1" cm="1">
        <f t="array" ref="Z185">IF(D185&gt;DATE(2015,5,16),0,
K185*
(
INT((MIN(Y185,DATE(2015,5,16))-D185)/365)
+
CEILING(MOD((MIN(Y185,DATE(2015,5,16))-D185)/365,1),0.25)
)
*
_xlfn.SWITCH(J185,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85" s="1" cm="1">
        <f t="array" aca="1" ref="AA185" ca="1">IF(Y185&lt;DATE(2015,5,17),0,
K185*
(
INT((MIN(Y185,DATE(2018,9,23))-MAX(D185,DATE(2015,5,17)))/365)
+
CEILING(MOD((MIN(Y185,DATE(2018,9,23))-MAX(D185,DATE(2015,5,17)))/365,1),0.25)
)
*
_xlfn.SWITCH(J185,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880</v>
      </c>
      <c r="AB185" s="1" cm="1">
        <f t="array" aca="1" ref="AB185" ca="1">IF(Y185&lt;DATE(2018,9,24),0,
IF(J185="زراعة",
K185*
(
INT((MIN(Y185,DATE(2023,4,30))-MAX(D185,DATE(2018,9,24)))/365)
+
CEILING(MOD((MIN(Y185,DATE(2023,4,30))-MAX(D185,DATE(2018,9,24)))/365,1),0.25)
)
*1,
K185*
(
DATEDIF(MAX(D185,DATE(2018,9,24)),MIN(Y185,DATE(2023,4,30)),"m")+1
)
*
_xlfn.SWITCH(J185,
"موقف/تندة",IF(D185&lt;DATE(2019,11,30),6,30),
"تشوينات",IF(D185&lt;DATE(2019,11,30),4,20),
"مشاتل",IF(D185&lt;DATE(2019,11,30),2,10),
"كافيتيريا",IF(D185&lt;DATE(2019,11,30),30,150),
"نوادي",IF(D185&lt;DATE(2019,11,30),6,30),
"رسو مراكب",IF(D185&lt;DATE(2019,11,30),2,10),
"مباني",IF(D185&lt;DATE(2018,9,24),2,10),
"عشش",IF(D185&lt;DATE(2019,11,30),2,10),
"كشك (تجاري/صناعي)",IF(D185&lt;DATE(2019,11,30),10,50),
"ردم",20,
0)))</f>
        <v>8960</v>
      </c>
      <c r="AC185" s="1" cm="1">
        <f t="array" aca="1" ref="AC185" ca="1">IF(Y185&lt;DATE(2023,5,1),0,
IF(J185="زراعة",
K185*
(
INT((Y185-MAX(DATE(2023,5,1),D185))/365)
+
CEILING(MOD((Y185-MAX(DATE(2023,5,1),D185))/365,1),0.25)
)
*3,
IF(J185="ردم",
K185*20,
K185*
(
DATEDIF(MAX(DATE(2023,5,1),D185),Y185,"m")+1
)
*
_xlfn.SWITCH(J185,
"موقف/تندة",6,
"تشوينات",4,
"مشاتل",2,
"رسو مراكب",6,
"مباني",3,
"عشش",1,
"كشك (تجاري/صناعي)",20,
"مواسير صرف صحي (&lt;1م)",16,
"مواسير صرف صحي (&gt;1م)",18,
0))))</f>
        <v>2960</v>
      </c>
      <c r="AD185" s="1">
        <f t="shared" ca="1" si="17"/>
        <v>55</v>
      </c>
    </row>
    <row r="186" spans="1:30" ht="18.75" x14ac:dyDescent="0.25">
      <c r="A186" s="52">
        <v>159</v>
      </c>
      <c r="B186" s="3">
        <v>48</v>
      </c>
      <c r="C186" s="3">
        <v>2016</v>
      </c>
      <c r="D186" s="7">
        <v>42423</v>
      </c>
      <c r="E186" s="11"/>
      <c r="F186" s="3"/>
      <c r="G186" s="3" t="s">
        <v>282</v>
      </c>
      <c r="H186" s="3"/>
      <c r="I186" s="3" t="s">
        <v>297</v>
      </c>
      <c r="J186" s="3" t="s">
        <v>77</v>
      </c>
      <c r="K186" s="3">
        <v>80</v>
      </c>
      <c r="L186" s="3" t="s">
        <v>88</v>
      </c>
      <c r="M186" s="2"/>
      <c r="N186" s="3"/>
      <c r="O186" s="9">
        <f>0.47*Table2[[#This Row],[قيمة المحضر]]</f>
        <v>0</v>
      </c>
      <c r="P186" s="9">
        <f>0.17*Table2[[#This Row],[قيمة المحضر]]</f>
        <v>0</v>
      </c>
      <c r="Q186" s="9">
        <f t="shared" ca="1" si="18"/>
        <v>95600</v>
      </c>
      <c r="R186" s="3"/>
      <c r="S186" s="3"/>
      <c r="T186" s="9" t="str">
        <f t="shared" si="21"/>
        <v>-</v>
      </c>
      <c r="U186" s="3" t="s">
        <v>25</v>
      </c>
      <c r="V186" s="9" t="str">
        <f t="shared" si="22"/>
        <v>-</v>
      </c>
      <c r="W186" s="4"/>
      <c r="X186" s="38"/>
      <c r="Y186" s="1">
        <f t="shared" ca="1" si="16"/>
        <v>46162</v>
      </c>
      <c r="Z186" s="1" cm="1">
        <f t="array" ref="Z186">IF(D186&gt;DATE(2015,5,16),0,
K186*
(
INT((MIN(Y186,DATE(2015,5,16))-D186)/365)
+
CEILING(MOD((MIN(Y186,DATE(2015,5,16))-D186)/365,1),0.25)
)
*
_xlfn.SWITCH(J186,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86" s="1" cm="1">
        <f t="array" aca="1" ref="AA186" ca="1">IF(Y186&lt;DATE(2015,5,17),0,
K186*
(
INT((MIN(Y186,DATE(2018,9,23))-MAX(D186,DATE(2015,5,17)))/365)
+
CEILING(MOD((MIN(Y186,DATE(2018,9,23))-MAX(D186,DATE(2015,5,17)))/365,1),0.25)
)
*
_xlfn.SWITCH(J186,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4400</v>
      </c>
      <c r="AB186" s="1" cm="1">
        <f t="array" aca="1" ref="AB186" ca="1">IF(Y186&lt;DATE(2018,9,24),0,
IF(J186="زراعة",
K186*
(
INT((MIN(Y186,DATE(2023,4,30))-MAX(D186,DATE(2018,9,24)))/365)
+
CEILING(MOD((MIN(Y186,DATE(2023,4,30))-MAX(D186,DATE(2018,9,24)))/365,1),0.25)
)
*1,
K186*
(
DATEDIF(MAX(D186,DATE(2018,9,24)),MIN(Y186,DATE(2023,4,30)),"m")+1
)
*
_xlfn.SWITCH(J186,
"موقف/تندة",IF(D186&lt;DATE(2019,11,30),6,30),
"تشوينات",IF(D186&lt;DATE(2019,11,30),4,20),
"مشاتل",IF(D186&lt;DATE(2019,11,30),2,10),
"كافيتيريا",IF(D186&lt;DATE(2019,11,30),30,150),
"نوادي",IF(D186&lt;DATE(2019,11,30),6,30),
"رسو مراكب",IF(D186&lt;DATE(2019,11,30),2,10),
"مباني",IF(D186&lt;DATE(2018,9,24),2,10),
"عشش",IF(D186&lt;DATE(2019,11,30),2,10),
"كشك (تجاري/صناعي)",IF(D186&lt;DATE(2019,11,30),10,50),
"ردم",20,
0)))</f>
        <v>89600</v>
      </c>
      <c r="AC186" s="1" cm="1">
        <f t="array" aca="1" ref="AC186" ca="1">IF(Y186&lt;DATE(2023,5,1),0,
IF(J186="زراعة",
K186*
(
INT((Y186-MAX(DATE(2023,5,1),D186))/365)
+
CEILING(MOD((Y186-MAX(DATE(2023,5,1),D186))/365,1),0.25)
)
*3,
IF(J186="ردم",
K186*20,
K186*
(
DATEDIF(MAX(DATE(2023,5,1),D186),Y186,"m")+1
)
*
_xlfn.SWITCH(J186,
"موقف/تندة",6,
"تشوينات",4,
"مشاتل",2,
"رسو مراكب",6,
"مباني",3,
"عشش",1,
"كشك (تجاري/صناعي)",20,
"مواسير صرف صحي (&lt;1م)",16,
"مواسير صرف صحي (&gt;1م)",18,
0))))</f>
        <v>1600</v>
      </c>
      <c r="AD186" s="1">
        <f t="shared" ca="1" si="17"/>
        <v>55</v>
      </c>
    </row>
    <row r="187" spans="1:30" ht="18.75" x14ac:dyDescent="0.25">
      <c r="A187" s="52">
        <v>160</v>
      </c>
      <c r="B187" s="3">
        <v>49</v>
      </c>
      <c r="C187" s="3">
        <v>2016</v>
      </c>
      <c r="D187" s="7">
        <v>42423</v>
      </c>
      <c r="E187" s="11"/>
      <c r="F187" s="3"/>
      <c r="G187" s="3" t="s">
        <v>283</v>
      </c>
      <c r="H187" s="3"/>
      <c r="I187" s="3" t="s">
        <v>297</v>
      </c>
      <c r="J187" s="3" t="s">
        <v>28</v>
      </c>
      <c r="K187" s="3">
        <v>24</v>
      </c>
      <c r="L187" s="3" t="s">
        <v>88</v>
      </c>
      <c r="M187" s="2"/>
      <c r="N187" s="3"/>
      <c r="O187" s="9">
        <f>0.47*Table2[[#This Row],[قيمة المحضر]]</f>
        <v>0</v>
      </c>
      <c r="P187" s="9">
        <f>0.17*Table2[[#This Row],[قيمة المحضر]]</f>
        <v>0</v>
      </c>
      <c r="Q187" s="9">
        <f t="shared" ca="1" si="18"/>
        <v>3840</v>
      </c>
      <c r="R187" s="3"/>
      <c r="S187" s="3"/>
      <c r="T187" s="9" t="str">
        <f t="shared" si="21"/>
        <v>-</v>
      </c>
      <c r="U187" s="3" t="s">
        <v>25</v>
      </c>
      <c r="V187" s="9" t="str">
        <f t="shared" si="22"/>
        <v>-</v>
      </c>
      <c r="W187" s="4"/>
      <c r="X187" s="38"/>
      <c r="Y187" s="1">
        <f t="shared" ca="1" si="16"/>
        <v>46162</v>
      </c>
      <c r="Z187" s="1" cm="1">
        <f t="array" ref="Z187">IF(D187&gt;DATE(2015,5,16),0,
K187*
(
INT((MIN(Y187,DATE(2015,5,16))-D187)/365)
+
CEILING(MOD((MIN(Y187,DATE(2015,5,16))-D187)/365,1),0.25)
)
*
_xlfn.SWITCH(J187,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87" s="1" cm="1">
        <f t="array" aca="1" ref="AA187" ca="1">IF(Y187&lt;DATE(2015,5,17),0,
K187*
(
INT((MIN(Y187,DATE(2018,9,23))-MAX(D187,DATE(2015,5,17)))/365)
+
CEILING(MOD((MIN(Y187,DATE(2018,9,23))-MAX(D187,DATE(2015,5,17)))/365,1),0.25)
)
*
_xlfn.SWITCH(J187,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264</v>
      </c>
      <c r="AB187" s="1" cm="1">
        <f t="array" aca="1" ref="AB187" ca="1">IF(Y187&lt;DATE(2018,9,24),0,
IF(J187="زراعة",
K187*
(
INT((MIN(Y187,DATE(2023,4,30))-MAX(D187,DATE(2018,9,24)))/365)
+
CEILING(MOD((MIN(Y187,DATE(2023,4,30))-MAX(D187,DATE(2018,9,24)))/365,1),0.25)
)
*1,
K187*
(
DATEDIF(MAX(D187,DATE(2018,9,24)),MIN(Y187,DATE(2023,4,30)),"m")+1
)
*
_xlfn.SWITCH(J187,
"موقف/تندة",IF(D187&lt;DATE(2019,11,30),6,30),
"تشوينات",IF(D187&lt;DATE(2019,11,30),4,20),
"مشاتل",IF(D187&lt;DATE(2019,11,30),2,10),
"كافيتيريا",IF(D187&lt;DATE(2019,11,30),30,150),
"نوادي",IF(D187&lt;DATE(2019,11,30),6,30),
"رسو مراكب",IF(D187&lt;DATE(2019,11,30),2,10),
"مباني",IF(D187&lt;DATE(2018,9,24),2,10),
"عشش",IF(D187&lt;DATE(2019,11,30),2,10),
"كشك (تجاري/صناعي)",IF(D187&lt;DATE(2019,11,30),10,50),
"ردم",20,
0)))</f>
        <v>2688</v>
      </c>
      <c r="AC187" s="1" cm="1">
        <f t="array" aca="1" ref="AC187" ca="1">IF(Y187&lt;DATE(2023,5,1),0,
IF(J187="زراعة",
K187*
(
INT((Y187-MAX(DATE(2023,5,1),D187))/365)
+
CEILING(MOD((Y187-MAX(DATE(2023,5,1),D187))/365,1),0.25)
)
*3,
IF(J187="ردم",
K187*20,
K187*
(
DATEDIF(MAX(DATE(2023,5,1),D187),Y187,"m")+1
)
*
_xlfn.SWITCH(J187,
"موقف/تندة",6,
"تشوينات",4,
"مشاتل",2,
"رسو مراكب",6,
"مباني",3,
"عشش",1,
"كشك (تجاري/صناعي)",20,
"مواسير صرف صحي (&lt;1م)",16,
"مواسير صرف صحي (&gt;1م)",18,
0))))</f>
        <v>888</v>
      </c>
      <c r="AD187" s="1">
        <f t="shared" ca="1" si="17"/>
        <v>55</v>
      </c>
    </row>
    <row r="188" spans="1:30" ht="18.75" x14ac:dyDescent="0.25">
      <c r="A188" s="37">
        <v>160</v>
      </c>
      <c r="B188" s="3">
        <v>49</v>
      </c>
      <c r="C188" s="3">
        <v>2016</v>
      </c>
      <c r="D188" s="7">
        <v>42423</v>
      </c>
      <c r="E188" s="11"/>
      <c r="F188" s="3"/>
      <c r="G188" s="3" t="s">
        <v>283</v>
      </c>
      <c r="H188" s="3"/>
      <c r="I188" s="3" t="s">
        <v>297</v>
      </c>
      <c r="J188" s="3" t="s">
        <v>77</v>
      </c>
      <c r="K188" s="3">
        <v>24</v>
      </c>
      <c r="L188" s="3" t="s">
        <v>88</v>
      </c>
      <c r="M188" s="2"/>
      <c r="N188" s="3"/>
      <c r="O188" s="9">
        <f>0.47*Table2[[#This Row],[قيمة المحضر]]</f>
        <v>0</v>
      </c>
      <c r="P188" s="9">
        <f>0.17*Table2[[#This Row],[قيمة المحضر]]</f>
        <v>0</v>
      </c>
      <c r="Q188" s="9">
        <f t="shared" ca="1" si="18"/>
        <v>28680</v>
      </c>
      <c r="R188" s="3"/>
      <c r="S188" s="3"/>
      <c r="T188" s="9" t="str">
        <f t="shared" si="21"/>
        <v>-</v>
      </c>
      <c r="U188" s="3" t="s">
        <v>25</v>
      </c>
      <c r="V188" s="9" t="str">
        <f t="shared" si="22"/>
        <v>-</v>
      </c>
      <c r="W188" s="4"/>
      <c r="X188" s="38"/>
      <c r="Y188" s="1">
        <f t="shared" ca="1" si="16"/>
        <v>46162</v>
      </c>
      <c r="Z188" s="1" cm="1">
        <f t="array" ref="Z188">IF(D188&gt;DATE(2015,5,16),0,
K188*
(
INT((MIN(Y188,DATE(2015,5,16))-D188)/365)
+
CEILING(MOD((MIN(Y188,DATE(2015,5,16))-D188)/365,1),0.25)
)
*
_xlfn.SWITCH(J188,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88" s="1" cm="1">
        <f t="array" aca="1" ref="AA188" ca="1">IF(Y188&lt;DATE(2015,5,17),0,
K188*
(
INT((MIN(Y188,DATE(2018,9,23))-MAX(D188,DATE(2015,5,17)))/365)
+
CEILING(MOD((MIN(Y188,DATE(2018,9,23))-MAX(D188,DATE(2015,5,17)))/365,1),0.25)
)
*
_xlfn.SWITCH(J188,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1320</v>
      </c>
      <c r="AB188" s="1" cm="1">
        <f t="array" aca="1" ref="AB188" ca="1">IF(Y188&lt;DATE(2018,9,24),0,
IF(J188="زراعة",
K188*
(
INT((MIN(Y188,DATE(2023,4,30))-MAX(D188,DATE(2018,9,24)))/365)
+
CEILING(MOD((MIN(Y188,DATE(2023,4,30))-MAX(D188,DATE(2018,9,24)))/365,1),0.25)
)
*1,
K188*
(
DATEDIF(MAX(D188,DATE(2018,9,24)),MIN(Y188,DATE(2023,4,30)),"m")+1
)
*
_xlfn.SWITCH(J188,
"موقف/تندة",IF(D188&lt;DATE(2019,11,30),6,30),
"تشوينات",IF(D188&lt;DATE(2019,11,30),4,20),
"مشاتل",IF(D188&lt;DATE(2019,11,30),2,10),
"كافيتيريا",IF(D188&lt;DATE(2019,11,30),30,150),
"نوادي",IF(D188&lt;DATE(2019,11,30),6,30),
"رسو مراكب",IF(D188&lt;DATE(2019,11,30),2,10),
"مباني",IF(D188&lt;DATE(2018,9,24),2,10),
"عشش",IF(D188&lt;DATE(2019,11,30),2,10),
"كشك (تجاري/صناعي)",IF(D188&lt;DATE(2019,11,30),10,50),
"ردم",20,
0)))</f>
        <v>26880</v>
      </c>
      <c r="AC188" s="1" cm="1">
        <f t="array" aca="1" ref="AC188" ca="1">IF(Y188&lt;DATE(2023,5,1),0,
IF(J188="زراعة",
K188*
(
INT((Y188-MAX(DATE(2023,5,1),D188))/365)
+
CEILING(MOD((Y188-MAX(DATE(2023,5,1),D188))/365,1),0.25)
)
*3,
IF(J188="ردم",
K188*20,
K188*
(
DATEDIF(MAX(DATE(2023,5,1),D188),Y188,"m")+1
)
*
_xlfn.SWITCH(J188,
"موقف/تندة",6,
"تشوينات",4,
"مشاتل",2,
"رسو مراكب",6,
"مباني",3,
"عشش",1,
"كشك (تجاري/صناعي)",20,
"مواسير صرف صحي (&lt;1م)",16,
"مواسير صرف صحي (&gt;1م)",18,
0))))</f>
        <v>480</v>
      </c>
      <c r="AD188" s="1">
        <f t="shared" ca="1" si="17"/>
        <v>55</v>
      </c>
    </row>
    <row r="189" spans="1:30" ht="18.75" x14ac:dyDescent="0.25">
      <c r="A189" s="37">
        <v>161</v>
      </c>
      <c r="B189" s="3">
        <v>50</v>
      </c>
      <c r="C189" s="3">
        <v>2016</v>
      </c>
      <c r="D189" s="7">
        <v>42428</v>
      </c>
      <c r="E189" s="11" t="s">
        <v>287</v>
      </c>
      <c r="F189" s="3"/>
      <c r="G189" s="3" t="s">
        <v>284</v>
      </c>
      <c r="H189" s="3"/>
      <c r="I189" s="3" t="s">
        <v>33</v>
      </c>
      <c r="J189" s="3" t="s">
        <v>28</v>
      </c>
      <c r="K189" s="3">
        <v>75</v>
      </c>
      <c r="L189" s="3" t="s">
        <v>88</v>
      </c>
      <c r="M189" s="2"/>
      <c r="N189" s="3"/>
      <c r="O189" s="9">
        <f>0.47*Table2[[#This Row],[قيمة المحضر]]</f>
        <v>0</v>
      </c>
      <c r="P189" s="9">
        <f>0.17*Table2[[#This Row],[قيمة المحضر]]</f>
        <v>0</v>
      </c>
      <c r="Q189" s="9">
        <f t="shared" ca="1" si="18"/>
        <v>12000</v>
      </c>
      <c r="R189" s="3"/>
      <c r="S189" s="3"/>
      <c r="T189" s="9" t="str">
        <f t="shared" si="21"/>
        <v>-</v>
      </c>
      <c r="U189" s="3" t="s">
        <v>25</v>
      </c>
      <c r="V189" s="9" t="str">
        <f t="shared" si="22"/>
        <v>-</v>
      </c>
      <c r="W189" s="4"/>
      <c r="X189" s="38"/>
      <c r="Y189" s="1">
        <f t="shared" ca="1" si="16"/>
        <v>46162</v>
      </c>
      <c r="Z189" s="1" cm="1">
        <f t="array" ref="Z189">IF(D189&gt;DATE(2015,5,16),0,
K189*
(
INT((MIN(Y189,DATE(2015,5,16))-D189)/365)
+
CEILING(MOD((MIN(Y189,DATE(2015,5,16))-D189)/365,1),0.25)
)
*
_xlfn.SWITCH(J189,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89" s="1" cm="1">
        <f t="array" aca="1" ref="AA189" ca="1">IF(Y189&lt;DATE(2015,5,17),0,
K189*
(
INT((MIN(Y189,DATE(2018,9,23))-MAX(D189,DATE(2015,5,17)))/365)
+
CEILING(MOD((MIN(Y189,DATE(2018,9,23))-MAX(D189,DATE(2015,5,17)))/365,1),0.25)
)
*
_xlfn.SWITCH(J189,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825</v>
      </c>
      <c r="AB189" s="1" cm="1">
        <f t="array" aca="1" ref="AB189" ca="1">IF(Y189&lt;DATE(2018,9,24),0,
IF(J189="زراعة",
K189*
(
INT((MIN(Y189,DATE(2023,4,30))-MAX(D189,DATE(2018,9,24)))/365)
+
CEILING(MOD((MIN(Y189,DATE(2023,4,30))-MAX(D189,DATE(2018,9,24)))/365,1),0.25)
)
*1,
K189*
(
DATEDIF(MAX(D189,DATE(2018,9,24)),MIN(Y189,DATE(2023,4,30)),"m")+1
)
*
_xlfn.SWITCH(J189,
"موقف/تندة",IF(D189&lt;DATE(2019,11,30),6,30),
"تشوينات",IF(D189&lt;DATE(2019,11,30),4,20),
"مشاتل",IF(D189&lt;DATE(2019,11,30),2,10),
"كافيتيريا",IF(D189&lt;DATE(2019,11,30),30,150),
"نوادي",IF(D189&lt;DATE(2019,11,30),6,30),
"رسو مراكب",IF(D189&lt;DATE(2019,11,30),2,10),
"مباني",IF(D189&lt;DATE(2018,9,24),2,10),
"عشش",IF(D189&lt;DATE(2019,11,30),2,10),
"كشك (تجاري/صناعي)",IF(D189&lt;DATE(2019,11,30),10,50),
"ردم",20,
0)))</f>
        <v>8400</v>
      </c>
      <c r="AC189" s="1" cm="1">
        <f t="array" aca="1" ref="AC189" ca="1">IF(Y189&lt;DATE(2023,5,1),0,
IF(J189="زراعة",
K189*
(
INT((Y189-MAX(DATE(2023,5,1),D189))/365)
+
CEILING(MOD((Y189-MAX(DATE(2023,5,1),D189))/365,1),0.25)
)
*3,
IF(J189="ردم",
K189*20,
K189*
(
DATEDIF(MAX(DATE(2023,5,1),D189),Y189,"m")+1
)
*
_xlfn.SWITCH(J189,
"موقف/تندة",6,
"تشوينات",4,
"مشاتل",2,
"رسو مراكب",6,
"مباني",3,
"عشش",1,
"كشك (تجاري/صناعي)",20,
"مواسير صرف صحي (&lt;1م)",16,
"مواسير صرف صحي (&gt;1م)",18,
0))))</f>
        <v>2775</v>
      </c>
      <c r="AD189" s="1">
        <f t="shared" ca="1" si="17"/>
        <v>55</v>
      </c>
    </row>
    <row r="190" spans="1:30" ht="18.75" x14ac:dyDescent="0.25">
      <c r="A190" s="37">
        <v>162</v>
      </c>
      <c r="B190" s="3">
        <v>51</v>
      </c>
      <c r="C190" s="3">
        <v>2016</v>
      </c>
      <c r="D190" s="7">
        <v>42428</v>
      </c>
      <c r="E190" s="11" t="s">
        <v>288</v>
      </c>
      <c r="F190" s="3"/>
      <c r="G190" s="3" t="s">
        <v>285</v>
      </c>
      <c r="H190" s="3"/>
      <c r="I190" s="3" t="s">
        <v>33</v>
      </c>
      <c r="J190" s="3" t="s">
        <v>28</v>
      </c>
      <c r="K190" s="3">
        <v>16</v>
      </c>
      <c r="L190" s="3" t="s">
        <v>88</v>
      </c>
      <c r="M190" s="2"/>
      <c r="N190" s="3"/>
      <c r="O190" s="9">
        <f>0.47*Table2[[#This Row],[قيمة المحضر]]</f>
        <v>0</v>
      </c>
      <c r="P190" s="9">
        <f>0.17*Table2[[#This Row],[قيمة المحضر]]</f>
        <v>0</v>
      </c>
      <c r="Q190" s="9">
        <f t="shared" ca="1" si="18"/>
        <v>2560</v>
      </c>
      <c r="R190" s="3"/>
      <c r="S190" s="3"/>
      <c r="T190" s="9" t="str">
        <f t="shared" si="21"/>
        <v>-</v>
      </c>
      <c r="U190" s="3" t="s">
        <v>25</v>
      </c>
      <c r="V190" s="9" t="str">
        <f t="shared" si="22"/>
        <v>-</v>
      </c>
      <c r="W190" s="4"/>
      <c r="X190" s="38"/>
      <c r="Y190" s="1">
        <f t="shared" ca="1" si="16"/>
        <v>46162</v>
      </c>
      <c r="Z190" s="1" cm="1">
        <f t="array" ref="Z190">IF(D190&gt;DATE(2015,5,16),0,
K190*
(
INT((MIN(Y190,DATE(2015,5,16))-D190)/365)
+
CEILING(MOD((MIN(Y190,DATE(2015,5,16))-D190)/365,1),0.25)
)
*
_xlfn.SWITCH(J190,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90" s="1" cm="1">
        <f t="array" aca="1" ref="AA190" ca="1">IF(Y190&lt;DATE(2015,5,17),0,
K190*
(
INT((MIN(Y190,DATE(2018,9,23))-MAX(D190,DATE(2015,5,17)))/365)
+
CEILING(MOD((MIN(Y190,DATE(2018,9,23))-MAX(D190,DATE(2015,5,17)))/365,1),0.25)
)
*
_xlfn.SWITCH(J190,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176</v>
      </c>
      <c r="AB190" s="1" cm="1">
        <f t="array" aca="1" ref="AB190" ca="1">IF(Y190&lt;DATE(2018,9,24),0,
IF(J190="زراعة",
K190*
(
INT((MIN(Y190,DATE(2023,4,30))-MAX(D190,DATE(2018,9,24)))/365)
+
CEILING(MOD((MIN(Y190,DATE(2023,4,30))-MAX(D190,DATE(2018,9,24)))/365,1),0.25)
)
*1,
K190*
(
DATEDIF(MAX(D190,DATE(2018,9,24)),MIN(Y190,DATE(2023,4,30)),"m")+1
)
*
_xlfn.SWITCH(J190,
"موقف/تندة",IF(D190&lt;DATE(2019,11,30),6,30),
"تشوينات",IF(D190&lt;DATE(2019,11,30),4,20),
"مشاتل",IF(D190&lt;DATE(2019,11,30),2,10),
"كافيتيريا",IF(D190&lt;DATE(2019,11,30),30,150),
"نوادي",IF(D190&lt;DATE(2019,11,30),6,30),
"رسو مراكب",IF(D190&lt;DATE(2019,11,30),2,10),
"مباني",IF(D190&lt;DATE(2018,9,24),2,10),
"عشش",IF(D190&lt;DATE(2019,11,30),2,10),
"كشك (تجاري/صناعي)",IF(D190&lt;DATE(2019,11,30),10,50),
"ردم",20,
0)))</f>
        <v>1792</v>
      </c>
      <c r="AC190" s="1" cm="1">
        <f t="array" aca="1" ref="AC190" ca="1">IF(Y190&lt;DATE(2023,5,1),0,
IF(J190="زراعة",
K190*
(
INT((Y190-MAX(DATE(2023,5,1),D190))/365)
+
CEILING(MOD((Y190-MAX(DATE(2023,5,1),D190))/365,1),0.25)
)
*3,
IF(J190="ردم",
K190*20,
K190*
(
DATEDIF(MAX(DATE(2023,5,1),D190),Y190,"m")+1
)
*
_xlfn.SWITCH(J190,
"موقف/تندة",6,
"تشوينات",4,
"مشاتل",2,
"رسو مراكب",6,
"مباني",3,
"عشش",1,
"كشك (تجاري/صناعي)",20,
"مواسير صرف صحي (&lt;1م)",16,
"مواسير صرف صحي (&gt;1م)",18,
0))))</f>
        <v>592</v>
      </c>
      <c r="AD190" s="1">
        <f t="shared" ca="1" si="17"/>
        <v>55</v>
      </c>
    </row>
    <row r="191" spans="1:30" ht="18.75" x14ac:dyDescent="0.25">
      <c r="A191" s="37">
        <v>163</v>
      </c>
      <c r="B191" s="3">
        <v>52</v>
      </c>
      <c r="C191" s="3">
        <v>2016</v>
      </c>
      <c r="D191" s="7">
        <v>42428</v>
      </c>
      <c r="E191" s="11" t="s">
        <v>289</v>
      </c>
      <c r="F191" s="3"/>
      <c r="G191" s="3" t="s">
        <v>286</v>
      </c>
      <c r="H191" s="3"/>
      <c r="I191" s="3" t="s">
        <v>33</v>
      </c>
      <c r="J191" s="3" t="s">
        <v>28</v>
      </c>
      <c r="K191" s="3">
        <v>48</v>
      </c>
      <c r="L191" s="3" t="s">
        <v>88</v>
      </c>
      <c r="M191" s="2"/>
      <c r="N191" s="3"/>
      <c r="O191" s="9">
        <f>0.47*Table2[[#This Row],[قيمة المحضر]]</f>
        <v>0</v>
      </c>
      <c r="P191" s="9">
        <f>0.17*Table2[[#This Row],[قيمة المحضر]]</f>
        <v>0</v>
      </c>
      <c r="Q191" s="9">
        <f t="shared" ca="1" si="18"/>
        <v>7680</v>
      </c>
      <c r="R191" s="3"/>
      <c r="S191" s="3"/>
      <c r="T191" s="9" t="str">
        <f t="shared" si="21"/>
        <v>-</v>
      </c>
      <c r="U191" s="3" t="s">
        <v>25</v>
      </c>
      <c r="V191" s="9" t="str">
        <f t="shared" si="22"/>
        <v>-</v>
      </c>
      <c r="W191" s="4"/>
      <c r="X191" s="38"/>
      <c r="Y191" s="1">
        <f t="shared" ca="1" si="16"/>
        <v>46162</v>
      </c>
      <c r="Z191" s="1" cm="1">
        <f t="array" ref="Z191">IF(D191&gt;DATE(2015,5,16),0,
K191*
(
INT((MIN(Y191,DATE(2015,5,16))-D191)/365)
+
CEILING(MOD((MIN(Y191,DATE(2015,5,16))-D191)/365,1),0.25)
)
*
_xlfn.SWITCH(J191,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91" s="1" cm="1">
        <f t="array" aca="1" ref="AA191" ca="1">IF(Y191&lt;DATE(2015,5,17),0,
K191*
(
INT((MIN(Y191,DATE(2018,9,23))-MAX(D191,DATE(2015,5,17)))/365)
+
CEILING(MOD((MIN(Y191,DATE(2018,9,23))-MAX(D191,DATE(2015,5,17)))/365,1),0.25)
)
*
_xlfn.SWITCH(J191,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528</v>
      </c>
      <c r="AB191" s="1" cm="1">
        <f t="array" aca="1" ref="AB191" ca="1">IF(Y191&lt;DATE(2018,9,24),0,
IF(J191="زراعة",
K191*
(
INT((MIN(Y191,DATE(2023,4,30))-MAX(D191,DATE(2018,9,24)))/365)
+
CEILING(MOD((MIN(Y191,DATE(2023,4,30))-MAX(D191,DATE(2018,9,24)))/365,1),0.25)
)
*1,
K191*
(
DATEDIF(MAX(D191,DATE(2018,9,24)),MIN(Y191,DATE(2023,4,30)),"m")+1
)
*
_xlfn.SWITCH(J191,
"موقف/تندة",IF(D191&lt;DATE(2019,11,30),6,30),
"تشوينات",IF(D191&lt;DATE(2019,11,30),4,20),
"مشاتل",IF(D191&lt;DATE(2019,11,30),2,10),
"كافيتيريا",IF(D191&lt;DATE(2019,11,30),30,150),
"نوادي",IF(D191&lt;DATE(2019,11,30),6,30),
"رسو مراكب",IF(D191&lt;DATE(2019,11,30),2,10),
"مباني",IF(D191&lt;DATE(2018,9,24),2,10),
"عشش",IF(D191&lt;DATE(2019,11,30),2,10),
"كشك (تجاري/صناعي)",IF(D191&lt;DATE(2019,11,30),10,50),
"ردم",20,
0)))</f>
        <v>5376</v>
      </c>
      <c r="AC191" s="1" cm="1">
        <f t="array" aca="1" ref="AC191" ca="1">IF(Y191&lt;DATE(2023,5,1),0,
IF(J191="زراعة",
K191*
(
INT((Y191-MAX(DATE(2023,5,1),D191))/365)
+
CEILING(MOD((Y191-MAX(DATE(2023,5,1),D191))/365,1),0.25)
)
*3,
IF(J191="ردم",
K191*20,
K191*
(
DATEDIF(MAX(DATE(2023,5,1),D191),Y191,"m")+1
)
*
_xlfn.SWITCH(J191,
"موقف/تندة",6,
"تشوينات",4,
"مشاتل",2,
"رسو مراكب",6,
"مباني",3,
"عشش",1,
"كشك (تجاري/صناعي)",20,
"مواسير صرف صحي (&lt;1م)",16,
"مواسير صرف صحي (&gt;1م)",18,
0))))</f>
        <v>1776</v>
      </c>
      <c r="AD191" s="1">
        <f t="shared" ca="1" si="17"/>
        <v>55</v>
      </c>
    </row>
    <row r="192" spans="1:30" ht="18.75" x14ac:dyDescent="0.25">
      <c r="A192" s="37">
        <v>164</v>
      </c>
      <c r="B192" s="3">
        <v>53</v>
      </c>
      <c r="C192" s="3">
        <v>2016</v>
      </c>
      <c r="D192" s="7">
        <v>42428</v>
      </c>
      <c r="E192" s="11" t="s">
        <v>290</v>
      </c>
      <c r="F192" s="3"/>
      <c r="G192" s="3" t="s">
        <v>262</v>
      </c>
      <c r="H192" s="3"/>
      <c r="I192" s="3" t="s">
        <v>33</v>
      </c>
      <c r="J192" s="3" t="s">
        <v>28</v>
      </c>
      <c r="K192" s="3">
        <f>7*4</f>
        <v>28</v>
      </c>
      <c r="L192" s="3" t="s">
        <v>88</v>
      </c>
      <c r="M192" s="2"/>
      <c r="N192" s="3"/>
      <c r="O192" s="9">
        <f>0.47*Table2[[#This Row],[قيمة المحضر]]</f>
        <v>0</v>
      </c>
      <c r="P192" s="9">
        <f>0.17*Table2[[#This Row],[قيمة المحضر]]</f>
        <v>0</v>
      </c>
      <c r="Q192" s="9">
        <f t="shared" ca="1" si="18"/>
        <v>4480</v>
      </c>
      <c r="R192" s="3"/>
      <c r="S192" s="3"/>
      <c r="T192" s="9" t="str">
        <f t="shared" si="21"/>
        <v>-</v>
      </c>
      <c r="U192" s="3" t="s">
        <v>25</v>
      </c>
      <c r="V192" s="9" t="str">
        <f t="shared" si="22"/>
        <v>-</v>
      </c>
      <c r="W192" s="4"/>
      <c r="X192" s="38"/>
      <c r="Y192" s="1">
        <f t="shared" ca="1" si="16"/>
        <v>46162</v>
      </c>
      <c r="Z192" s="1" cm="1">
        <f t="array" ref="Z192">IF(D192&gt;DATE(2015,5,16),0,
K192*
(
INT((MIN(Y192,DATE(2015,5,16))-D192)/365)
+
CEILING(MOD((MIN(Y192,DATE(2015,5,16))-D192)/365,1),0.25)
)
*
_xlfn.SWITCH(J192,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92" s="1" cm="1">
        <f t="array" aca="1" ref="AA192" ca="1">IF(Y192&lt;DATE(2015,5,17),0,
K192*
(
INT((MIN(Y192,DATE(2018,9,23))-MAX(D192,DATE(2015,5,17)))/365)
+
CEILING(MOD((MIN(Y192,DATE(2018,9,23))-MAX(D192,DATE(2015,5,17)))/365,1),0.25)
)
*
_xlfn.SWITCH(J192,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308</v>
      </c>
      <c r="AB192" s="1" cm="1">
        <f t="array" aca="1" ref="AB192" ca="1">IF(Y192&lt;DATE(2018,9,24),0,
IF(J192="زراعة",
K192*
(
INT((MIN(Y192,DATE(2023,4,30))-MAX(D192,DATE(2018,9,24)))/365)
+
CEILING(MOD((MIN(Y192,DATE(2023,4,30))-MAX(D192,DATE(2018,9,24)))/365,1),0.25)
)
*1,
K192*
(
DATEDIF(MAX(D192,DATE(2018,9,24)),MIN(Y192,DATE(2023,4,30)),"m")+1
)
*
_xlfn.SWITCH(J192,
"موقف/تندة",IF(D192&lt;DATE(2019,11,30),6,30),
"تشوينات",IF(D192&lt;DATE(2019,11,30),4,20),
"مشاتل",IF(D192&lt;DATE(2019,11,30),2,10),
"كافيتيريا",IF(D192&lt;DATE(2019,11,30),30,150),
"نوادي",IF(D192&lt;DATE(2019,11,30),6,30),
"رسو مراكب",IF(D192&lt;DATE(2019,11,30),2,10),
"مباني",IF(D192&lt;DATE(2018,9,24),2,10),
"عشش",IF(D192&lt;DATE(2019,11,30),2,10),
"كشك (تجاري/صناعي)",IF(D192&lt;DATE(2019,11,30),10,50),
"ردم",20,
0)))</f>
        <v>3136</v>
      </c>
      <c r="AC192" s="1" cm="1">
        <f t="array" aca="1" ref="AC192" ca="1">IF(Y192&lt;DATE(2023,5,1),0,
IF(J192="زراعة",
K192*
(
INT((Y192-MAX(DATE(2023,5,1),D192))/365)
+
CEILING(MOD((Y192-MAX(DATE(2023,5,1),D192))/365,1),0.25)
)
*3,
IF(J192="ردم",
K192*20,
K192*
(
DATEDIF(MAX(DATE(2023,5,1),D192),Y192,"m")+1
)
*
_xlfn.SWITCH(J192,
"موقف/تندة",6,
"تشوينات",4,
"مشاتل",2,
"رسو مراكب",6,
"مباني",3,
"عشش",1,
"كشك (تجاري/صناعي)",20,
"مواسير صرف صحي (&lt;1م)",16,
"مواسير صرف صحي (&gt;1م)",18,
0))))</f>
        <v>1036</v>
      </c>
      <c r="AD192" s="1">
        <f t="shared" ca="1" si="17"/>
        <v>55</v>
      </c>
    </row>
    <row r="193" spans="1:30" ht="18.75" x14ac:dyDescent="0.25">
      <c r="A193" s="37">
        <v>165</v>
      </c>
      <c r="B193" s="3">
        <v>54</v>
      </c>
      <c r="C193" s="3">
        <v>2016</v>
      </c>
      <c r="D193" s="7">
        <v>42428</v>
      </c>
      <c r="E193" s="11" t="s">
        <v>291</v>
      </c>
      <c r="F193" s="3"/>
      <c r="G193" s="3" t="s">
        <v>263</v>
      </c>
      <c r="H193" s="3"/>
      <c r="I193" s="3" t="s">
        <v>33</v>
      </c>
      <c r="J193" s="3" t="s">
        <v>28</v>
      </c>
      <c r="K193" s="3">
        <v>28</v>
      </c>
      <c r="L193" s="3" t="s">
        <v>88</v>
      </c>
      <c r="M193" s="2"/>
      <c r="N193" s="3"/>
      <c r="O193" s="9">
        <f>0.47*Table2[[#This Row],[قيمة المحضر]]</f>
        <v>0</v>
      </c>
      <c r="P193" s="9">
        <f>0.17*Table2[[#This Row],[قيمة المحضر]]</f>
        <v>0</v>
      </c>
      <c r="Q193" s="9">
        <f t="shared" ca="1" si="18"/>
        <v>4480</v>
      </c>
      <c r="R193" s="3"/>
      <c r="S193" s="3"/>
      <c r="T193" s="9" t="str">
        <f t="shared" si="21"/>
        <v>-</v>
      </c>
      <c r="U193" s="3" t="s">
        <v>25</v>
      </c>
      <c r="V193" s="9" t="str">
        <f t="shared" si="22"/>
        <v>-</v>
      </c>
      <c r="W193" s="4"/>
      <c r="X193" s="38"/>
      <c r="Y193" s="1">
        <f t="shared" ca="1" si="16"/>
        <v>46162</v>
      </c>
      <c r="Z193" s="1" cm="1">
        <f t="array" ref="Z193">IF(D193&gt;DATE(2015,5,16),0,
K193*
(
INT((MIN(Y193,DATE(2015,5,16))-D193)/365)
+
CEILING(MOD((MIN(Y193,DATE(2015,5,16))-D193)/365,1),0.25)
)
*
_xlfn.SWITCH(J193,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93" s="1" cm="1">
        <f t="array" aca="1" ref="AA193" ca="1">IF(Y193&lt;DATE(2015,5,17),0,
K193*
(
INT((MIN(Y193,DATE(2018,9,23))-MAX(D193,DATE(2015,5,17)))/365)
+
CEILING(MOD((MIN(Y193,DATE(2018,9,23))-MAX(D193,DATE(2015,5,17)))/365,1),0.25)
)
*
_xlfn.SWITCH(J193,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308</v>
      </c>
      <c r="AB193" s="1" cm="1">
        <f t="array" aca="1" ref="AB193" ca="1">IF(Y193&lt;DATE(2018,9,24),0,
IF(J193="زراعة",
K193*
(
INT((MIN(Y193,DATE(2023,4,30))-MAX(D193,DATE(2018,9,24)))/365)
+
CEILING(MOD((MIN(Y193,DATE(2023,4,30))-MAX(D193,DATE(2018,9,24)))/365,1),0.25)
)
*1,
K193*
(
DATEDIF(MAX(D193,DATE(2018,9,24)),MIN(Y193,DATE(2023,4,30)),"m")+1
)
*
_xlfn.SWITCH(J193,
"موقف/تندة",IF(D193&lt;DATE(2019,11,30),6,30),
"تشوينات",IF(D193&lt;DATE(2019,11,30),4,20),
"مشاتل",IF(D193&lt;DATE(2019,11,30),2,10),
"كافيتيريا",IF(D193&lt;DATE(2019,11,30),30,150),
"نوادي",IF(D193&lt;DATE(2019,11,30),6,30),
"رسو مراكب",IF(D193&lt;DATE(2019,11,30),2,10),
"مباني",IF(D193&lt;DATE(2018,9,24),2,10),
"عشش",IF(D193&lt;DATE(2019,11,30),2,10),
"كشك (تجاري/صناعي)",IF(D193&lt;DATE(2019,11,30),10,50),
"ردم",20,
0)))</f>
        <v>3136</v>
      </c>
      <c r="AC193" s="1" cm="1">
        <f t="array" aca="1" ref="AC193" ca="1">IF(Y193&lt;DATE(2023,5,1),0,
IF(J193="زراعة",
K193*
(
INT((Y193-MAX(DATE(2023,5,1),D193))/365)
+
CEILING(MOD((Y193-MAX(DATE(2023,5,1),D193))/365,1),0.25)
)
*3,
IF(J193="ردم",
K193*20,
K193*
(
DATEDIF(MAX(DATE(2023,5,1),D193),Y193,"m")+1
)
*
_xlfn.SWITCH(J193,
"موقف/تندة",6,
"تشوينات",4,
"مشاتل",2,
"رسو مراكب",6,
"مباني",3,
"عشش",1,
"كشك (تجاري/صناعي)",20,
"مواسير صرف صحي (&lt;1م)",16,
"مواسير صرف صحي (&gt;1م)",18,
0))))</f>
        <v>1036</v>
      </c>
      <c r="AD193" s="1">
        <f t="shared" ca="1" si="17"/>
        <v>55</v>
      </c>
    </row>
    <row r="194" spans="1:30" ht="18.75" x14ac:dyDescent="0.25">
      <c r="A194" s="37">
        <v>166</v>
      </c>
      <c r="B194" s="3">
        <v>55</v>
      </c>
      <c r="C194" s="3">
        <v>2016</v>
      </c>
      <c r="D194" s="7">
        <v>42428</v>
      </c>
      <c r="E194" s="11"/>
      <c r="F194" s="3"/>
      <c r="G194" s="3" t="s">
        <v>264</v>
      </c>
      <c r="H194" s="3"/>
      <c r="I194" s="3" t="s">
        <v>33</v>
      </c>
      <c r="J194" s="3" t="s">
        <v>27</v>
      </c>
      <c r="K194" s="3">
        <v>25</v>
      </c>
      <c r="L194" s="3" t="s">
        <v>88</v>
      </c>
      <c r="M194" s="2"/>
      <c r="N194" s="3"/>
      <c r="O194" s="9">
        <f>0.47*Table2[[#This Row],[قيمة المحضر]]</f>
        <v>0</v>
      </c>
      <c r="P194" s="9">
        <f>0.17*Table2[[#This Row],[قيمة المحضر]]</f>
        <v>0</v>
      </c>
      <c r="Q194" s="9">
        <f t="shared" ca="1" si="18"/>
        <v>6125</v>
      </c>
      <c r="R194" s="3"/>
      <c r="S194" s="3"/>
      <c r="T194" s="9" t="str">
        <f t="shared" si="21"/>
        <v>-</v>
      </c>
      <c r="U194" s="3" t="s">
        <v>25</v>
      </c>
      <c r="V194" s="9" t="str">
        <f t="shared" si="22"/>
        <v>-</v>
      </c>
      <c r="W194" s="4"/>
      <c r="X194" s="38"/>
      <c r="Y194" s="1">
        <f t="shared" ca="1" si="16"/>
        <v>46162</v>
      </c>
      <c r="Z194" s="1" cm="1">
        <f t="array" ref="Z194">IF(D194&gt;DATE(2015,5,16),0,
K194*
(
INT((MIN(Y194,DATE(2015,5,16))-D194)/365)
+
CEILING(MOD((MIN(Y194,DATE(2015,5,16))-D194)/365,1),0.25)
)
*
_xlfn.SWITCH(J194,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94" s="1" cm="1">
        <f t="array" aca="1" ref="AA194" ca="1">IF(Y194&lt;DATE(2015,5,17),0,
K194*
(
INT((MIN(Y194,DATE(2018,9,23))-MAX(D194,DATE(2015,5,17)))/365)
+
CEILING(MOD((MIN(Y194,DATE(2018,9,23))-MAX(D194,DATE(2015,5,17)))/365,1),0.25)
)
*
_xlfn.SWITCH(J194,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550</v>
      </c>
      <c r="AB194" s="1" cm="1">
        <f t="array" aca="1" ref="AB194" ca="1">IF(Y194&lt;DATE(2018,9,24),0,
IF(J194="زراعة",
K194*
(
INT((MIN(Y194,DATE(2023,4,30))-MAX(D194,DATE(2018,9,24)))/365)
+
CEILING(MOD((MIN(Y194,DATE(2023,4,30))-MAX(D194,DATE(2018,9,24)))/365,1),0.25)
)
*1,
K194*
(
DATEDIF(MAX(D194,DATE(2018,9,24)),MIN(Y194,DATE(2023,4,30)),"m")+1
)
*
_xlfn.SWITCH(J194,
"موقف/تندة",IF(D194&lt;DATE(2019,11,30),6,30),
"تشوينات",IF(D194&lt;DATE(2019,11,30),4,20),
"مشاتل",IF(D194&lt;DATE(2019,11,30),2,10),
"كافيتيريا",IF(D194&lt;DATE(2019,11,30),30,150),
"نوادي",IF(D194&lt;DATE(2019,11,30),6,30),
"رسو مراكب",IF(D194&lt;DATE(2019,11,30),2,10),
"مباني",IF(D194&lt;DATE(2018,9,24),2,10),
"عشش",IF(D194&lt;DATE(2019,11,30),2,10),
"كشك (تجاري/صناعي)",IF(D194&lt;DATE(2019,11,30),10,50),
"ردم",20,
0)))</f>
        <v>2800</v>
      </c>
      <c r="AC194" s="1" cm="1">
        <f t="array" aca="1" ref="AC194" ca="1">IF(Y194&lt;DATE(2023,5,1),0,
IF(J194="زراعة",
K194*
(
INT((Y194-MAX(DATE(2023,5,1),D194))/365)
+
CEILING(MOD((Y194-MAX(DATE(2023,5,1),D194))/365,1),0.25)
)
*3,
IF(J194="ردم",
K194*20,
K194*
(
DATEDIF(MAX(DATE(2023,5,1),D194),Y194,"m")+1
)
*
_xlfn.SWITCH(J194,
"موقف/تندة",6,
"تشوينات",4,
"مشاتل",2,
"رسو مراكب",6,
"مباني",3,
"عشش",1,
"كشك (تجاري/صناعي)",20,
"مواسير صرف صحي (&lt;1م)",16,
"مواسير صرف صحي (&gt;1م)",18,
0))))</f>
        <v>2775</v>
      </c>
      <c r="AD194" s="1">
        <f t="shared" ca="1" si="17"/>
        <v>55</v>
      </c>
    </row>
    <row r="195" spans="1:30" ht="18.75" x14ac:dyDescent="0.25">
      <c r="A195" s="37">
        <v>167</v>
      </c>
      <c r="B195" s="3">
        <v>56</v>
      </c>
      <c r="C195" s="3">
        <v>2016</v>
      </c>
      <c r="D195" s="7">
        <v>42428</v>
      </c>
      <c r="E195" s="11" t="s">
        <v>292</v>
      </c>
      <c r="F195" s="3"/>
      <c r="G195" s="3" t="s">
        <v>265</v>
      </c>
      <c r="H195" s="3"/>
      <c r="I195" s="3" t="s">
        <v>33</v>
      </c>
      <c r="J195" s="3" t="s">
        <v>28</v>
      </c>
      <c r="K195" s="3">
        <v>25</v>
      </c>
      <c r="L195" s="3" t="s">
        <v>88</v>
      </c>
      <c r="M195" s="2"/>
      <c r="N195" s="3"/>
      <c r="O195" s="9">
        <f>0.47*Table2[[#This Row],[قيمة المحضر]]</f>
        <v>0</v>
      </c>
      <c r="P195" s="9">
        <f>0.17*Table2[[#This Row],[قيمة المحضر]]</f>
        <v>0</v>
      </c>
      <c r="Q195" s="9">
        <f t="shared" ca="1" si="18"/>
        <v>4000</v>
      </c>
      <c r="R195" s="3"/>
      <c r="S195" s="3"/>
      <c r="T195" s="9" t="str">
        <f t="shared" si="21"/>
        <v>-</v>
      </c>
      <c r="U195" s="3" t="s">
        <v>25</v>
      </c>
      <c r="V195" s="9" t="str">
        <f t="shared" si="22"/>
        <v>-</v>
      </c>
      <c r="W195" s="4"/>
      <c r="X195" s="38"/>
      <c r="Y195" s="1">
        <f t="shared" ref="Y195:Y258" ca="1" si="23">IF(M195="",TODAY(),M195)</f>
        <v>46162</v>
      </c>
      <c r="Z195" s="1" cm="1">
        <f t="array" ref="Z195">IF(D195&gt;DATE(2015,5,16),0,
K195*
(
INT((MIN(Y195,DATE(2015,5,16))-D195)/365)
+
CEILING(MOD((MIN(Y195,DATE(2015,5,16))-D195)/365,1),0.25)
)
*
_xlfn.SWITCH(J195,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95" s="1" cm="1">
        <f t="array" aca="1" ref="AA195" ca="1">IF(Y195&lt;DATE(2015,5,17),0,
K195*
(
INT((MIN(Y195,DATE(2018,9,23))-MAX(D195,DATE(2015,5,17)))/365)
+
CEILING(MOD((MIN(Y195,DATE(2018,9,23))-MAX(D195,DATE(2015,5,17)))/365,1),0.25)
)
*
_xlfn.SWITCH(J195,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275</v>
      </c>
      <c r="AB195" s="1" cm="1">
        <f t="array" aca="1" ref="AB195" ca="1">IF(Y195&lt;DATE(2018,9,24),0,
IF(J195="زراعة",
K195*
(
INT((MIN(Y195,DATE(2023,4,30))-MAX(D195,DATE(2018,9,24)))/365)
+
CEILING(MOD((MIN(Y195,DATE(2023,4,30))-MAX(D195,DATE(2018,9,24)))/365,1),0.25)
)
*1,
K195*
(
DATEDIF(MAX(D195,DATE(2018,9,24)),MIN(Y195,DATE(2023,4,30)),"m")+1
)
*
_xlfn.SWITCH(J195,
"موقف/تندة",IF(D195&lt;DATE(2019,11,30),6,30),
"تشوينات",IF(D195&lt;DATE(2019,11,30),4,20),
"مشاتل",IF(D195&lt;DATE(2019,11,30),2,10),
"كافيتيريا",IF(D195&lt;DATE(2019,11,30),30,150),
"نوادي",IF(D195&lt;DATE(2019,11,30),6,30),
"رسو مراكب",IF(D195&lt;DATE(2019,11,30),2,10),
"مباني",IF(D195&lt;DATE(2018,9,24),2,10),
"عشش",IF(D195&lt;DATE(2019,11,30),2,10),
"كشك (تجاري/صناعي)",IF(D195&lt;DATE(2019,11,30),10,50),
"ردم",20,
0)))</f>
        <v>2800</v>
      </c>
      <c r="AC195" s="1" cm="1">
        <f t="array" aca="1" ref="AC195" ca="1">IF(Y195&lt;DATE(2023,5,1),0,
IF(J195="زراعة",
K195*
(
INT((Y195-MAX(DATE(2023,5,1),D195))/365)
+
CEILING(MOD((Y195-MAX(DATE(2023,5,1),D195))/365,1),0.25)
)
*3,
IF(J195="ردم",
K195*20,
K195*
(
DATEDIF(MAX(DATE(2023,5,1),D195),Y195,"m")+1
)
*
_xlfn.SWITCH(J195,
"موقف/تندة",6,
"تشوينات",4,
"مشاتل",2,
"رسو مراكب",6,
"مباني",3,
"عشش",1,
"كشك (تجاري/صناعي)",20,
"مواسير صرف صحي (&lt;1م)",16,
"مواسير صرف صحي (&gt;1م)",18,
0))))</f>
        <v>925</v>
      </c>
      <c r="AD195" s="1">
        <f t="shared" ref="AD195:AD258" ca="1" si="24">DATEDIF(MAX(D195,DATE(2018,9,24)),MIN(Y195,DATE(2023,4,30)),"m")</f>
        <v>55</v>
      </c>
    </row>
    <row r="196" spans="1:30" ht="18.75" x14ac:dyDescent="0.25">
      <c r="A196" s="37">
        <v>168</v>
      </c>
      <c r="B196" s="3">
        <v>57</v>
      </c>
      <c r="C196" s="3">
        <v>2016</v>
      </c>
      <c r="D196" s="7">
        <v>42428</v>
      </c>
      <c r="E196" s="11"/>
      <c r="F196" s="3"/>
      <c r="G196" s="3" t="s">
        <v>266</v>
      </c>
      <c r="H196" s="3"/>
      <c r="I196" s="3" t="s">
        <v>33</v>
      </c>
      <c r="J196" s="3" t="s">
        <v>28</v>
      </c>
      <c r="K196" s="3">
        <v>40</v>
      </c>
      <c r="L196" s="3" t="s">
        <v>88</v>
      </c>
      <c r="M196" s="2"/>
      <c r="N196" s="3"/>
      <c r="O196" s="9">
        <f>0.47*Table2[[#This Row],[قيمة المحضر]]</f>
        <v>0</v>
      </c>
      <c r="P196" s="9">
        <f>0.17*Table2[[#This Row],[قيمة المحضر]]</f>
        <v>0</v>
      </c>
      <c r="Q196" s="9">
        <f t="shared" ca="1" si="18"/>
        <v>6400</v>
      </c>
      <c r="R196" s="3"/>
      <c r="S196" s="3"/>
      <c r="T196" s="9" t="str">
        <f t="shared" si="21"/>
        <v>-</v>
      </c>
      <c r="U196" s="3" t="s">
        <v>25</v>
      </c>
      <c r="V196" s="9" t="str">
        <f t="shared" si="22"/>
        <v>-</v>
      </c>
      <c r="W196" s="4"/>
      <c r="X196" s="38"/>
      <c r="Y196" s="1">
        <f t="shared" ca="1" si="23"/>
        <v>46162</v>
      </c>
      <c r="Z196" s="1" cm="1">
        <f t="array" ref="Z196">IF(D196&gt;DATE(2015,5,16),0,
K196*
(
INT((MIN(Y196,DATE(2015,5,16))-D196)/365)
+
CEILING(MOD((MIN(Y196,DATE(2015,5,16))-D196)/365,1),0.25)
)
*
_xlfn.SWITCH(J196,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96" s="1" cm="1">
        <f t="array" aca="1" ref="AA196" ca="1">IF(Y196&lt;DATE(2015,5,17),0,
K196*
(
INT((MIN(Y196,DATE(2018,9,23))-MAX(D196,DATE(2015,5,17)))/365)
+
CEILING(MOD((MIN(Y196,DATE(2018,9,23))-MAX(D196,DATE(2015,5,17)))/365,1),0.25)
)
*
_xlfn.SWITCH(J196,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440</v>
      </c>
      <c r="AB196" s="1" cm="1">
        <f t="array" aca="1" ref="AB196" ca="1">IF(Y196&lt;DATE(2018,9,24),0,
IF(J196="زراعة",
K196*
(
INT((MIN(Y196,DATE(2023,4,30))-MAX(D196,DATE(2018,9,24)))/365)
+
CEILING(MOD((MIN(Y196,DATE(2023,4,30))-MAX(D196,DATE(2018,9,24)))/365,1),0.25)
)
*1,
K196*
(
DATEDIF(MAX(D196,DATE(2018,9,24)),MIN(Y196,DATE(2023,4,30)),"m")+1
)
*
_xlfn.SWITCH(J196,
"موقف/تندة",IF(D196&lt;DATE(2019,11,30),6,30),
"تشوينات",IF(D196&lt;DATE(2019,11,30),4,20),
"مشاتل",IF(D196&lt;DATE(2019,11,30),2,10),
"كافيتيريا",IF(D196&lt;DATE(2019,11,30),30,150),
"نوادي",IF(D196&lt;DATE(2019,11,30),6,30),
"رسو مراكب",IF(D196&lt;DATE(2019,11,30),2,10),
"مباني",IF(D196&lt;DATE(2018,9,24),2,10),
"عشش",IF(D196&lt;DATE(2019,11,30),2,10),
"كشك (تجاري/صناعي)",IF(D196&lt;DATE(2019,11,30),10,50),
"ردم",20,
0)))</f>
        <v>4480</v>
      </c>
      <c r="AC196" s="1" cm="1">
        <f t="array" aca="1" ref="AC196" ca="1">IF(Y196&lt;DATE(2023,5,1),0,
IF(J196="زراعة",
K196*
(
INT((Y196-MAX(DATE(2023,5,1),D196))/365)
+
CEILING(MOD((Y196-MAX(DATE(2023,5,1),D196))/365,1),0.25)
)
*3,
IF(J196="ردم",
K196*20,
K196*
(
DATEDIF(MAX(DATE(2023,5,1),D196),Y196,"m")+1
)
*
_xlfn.SWITCH(J196,
"موقف/تندة",6,
"تشوينات",4,
"مشاتل",2,
"رسو مراكب",6,
"مباني",3,
"عشش",1,
"كشك (تجاري/صناعي)",20,
"مواسير صرف صحي (&lt;1م)",16,
"مواسير صرف صحي (&gt;1م)",18,
0))))</f>
        <v>1480</v>
      </c>
      <c r="AD196" s="1">
        <f t="shared" ca="1" si="24"/>
        <v>55</v>
      </c>
    </row>
    <row r="197" spans="1:30" ht="18.75" x14ac:dyDescent="0.25">
      <c r="A197" s="37">
        <v>169</v>
      </c>
      <c r="B197" s="3">
        <v>58</v>
      </c>
      <c r="C197" s="3">
        <v>2016</v>
      </c>
      <c r="D197" s="7">
        <v>42428</v>
      </c>
      <c r="E197" s="11"/>
      <c r="F197" s="3"/>
      <c r="G197" s="3" t="s">
        <v>267</v>
      </c>
      <c r="H197" s="3"/>
      <c r="I197" s="3" t="s">
        <v>33</v>
      </c>
      <c r="J197" s="3" t="s">
        <v>28</v>
      </c>
      <c r="K197" s="3">
        <v>16</v>
      </c>
      <c r="L197" s="3" t="s">
        <v>88</v>
      </c>
      <c r="M197" s="2"/>
      <c r="N197" s="3"/>
      <c r="O197" s="9">
        <f>0.47*Table2[[#This Row],[قيمة المحضر]]</f>
        <v>0</v>
      </c>
      <c r="P197" s="9">
        <f>0.17*Table2[[#This Row],[قيمة المحضر]]</f>
        <v>0</v>
      </c>
      <c r="Q197" s="9">
        <f t="shared" ca="1" si="18"/>
        <v>2560</v>
      </c>
      <c r="R197" s="3"/>
      <c r="S197" s="3"/>
      <c r="T197" s="9" t="str">
        <f t="shared" si="21"/>
        <v>-</v>
      </c>
      <c r="U197" s="3" t="s">
        <v>25</v>
      </c>
      <c r="V197" s="9" t="str">
        <f t="shared" si="22"/>
        <v>-</v>
      </c>
      <c r="W197" s="4"/>
      <c r="X197" s="38"/>
      <c r="Y197" s="1">
        <f t="shared" ca="1" si="23"/>
        <v>46162</v>
      </c>
      <c r="Z197" s="1" cm="1">
        <f t="array" ref="Z197">IF(D197&gt;DATE(2015,5,16),0,
K197*
(
INT((MIN(Y197,DATE(2015,5,16))-D197)/365)
+
CEILING(MOD((MIN(Y197,DATE(2015,5,16))-D197)/365,1),0.25)
)
*
_xlfn.SWITCH(J197,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97" s="1" cm="1">
        <f t="array" aca="1" ref="AA197" ca="1">IF(Y197&lt;DATE(2015,5,17),0,
K197*
(
INT((MIN(Y197,DATE(2018,9,23))-MAX(D197,DATE(2015,5,17)))/365)
+
CEILING(MOD((MIN(Y197,DATE(2018,9,23))-MAX(D197,DATE(2015,5,17)))/365,1),0.25)
)
*
_xlfn.SWITCH(J197,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176</v>
      </c>
      <c r="AB197" s="1" cm="1">
        <f t="array" aca="1" ref="AB197" ca="1">IF(Y197&lt;DATE(2018,9,24),0,
IF(J197="زراعة",
K197*
(
INT((MIN(Y197,DATE(2023,4,30))-MAX(D197,DATE(2018,9,24)))/365)
+
CEILING(MOD((MIN(Y197,DATE(2023,4,30))-MAX(D197,DATE(2018,9,24)))/365,1),0.25)
)
*1,
K197*
(
DATEDIF(MAX(D197,DATE(2018,9,24)),MIN(Y197,DATE(2023,4,30)),"m")+1
)
*
_xlfn.SWITCH(J197,
"موقف/تندة",IF(D197&lt;DATE(2019,11,30),6,30),
"تشوينات",IF(D197&lt;DATE(2019,11,30),4,20),
"مشاتل",IF(D197&lt;DATE(2019,11,30),2,10),
"كافيتيريا",IF(D197&lt;DATE(2019,11,30),30,150),
"نوادي",IF(D197&lt;DATE(2019,11,30),6,30),
"رسو مراكب",IF(D197&lt;DATE(2019,11,30),2,10),
"مباني",IF(D197&lt;DATE(2018,9,24),2,10),
"عشش",IF(D197&lt;DATE(2019,11,30),2,10),
"كشك (تجاري/صناعي)",IF(D197&lt;DATE(2019,11,30),10,50),
"ردم",20,
0)))</f>
        <v>1792</v>
      </c>
      <c r="AC197" s="1" cm="1">
        <f t="array" aca="1" ref="AC197" ca="1">IF(Y197&lt;DATE(2023,5,1),0,
IF(J197="زراعة",
K197*
(
INT((Y197-MAX(DATE(2023,5,1),D197))/365)
+
CEILING(MOD((Y197-MAX(DATE(2023,5,1),D197))/365,1),0.25)
)
*3,
IF(J197="ردم",
K197*20,
K197*
(
DATEDIF(MAX(DATE(2023,5,1),D197),Y197,"m")+1
)
*
_xlfn.SWITCH(J197,
"موقف/تندة",6,
"تشوينات",4,
"مشاتل",2,
"رسو مراكب",6,
"مباني",3,
"عشش",1,
"كشك (تجاري/صناعي)",20,
"مواسير صرف صحي (&lt;1م)",16,
"مواسير صرف صحي (&gt;1م)",18,
0))))</f>
        <v>592</v>
      </c>
      <c r="AD197" s="1">
        <f t="shared" ca="1" si="24"/>
        <v>55</v>
      </c>
    </row>
    <row r="198" spans="1:30" ht="18.75" x14ac:dyDescent="0.25">
      <c r="A198" s="37">
        <v>170</v>
      </c>
      <c r="B198" s="3">
        <v>59</v>
      </c>
      <c r="C198" s="3">
        <v>2016</v>
      </c>
      <c r="D198" s="7">
        <v>42428</v>
      </c>
      <c r="E198" s="11"/>
      <c r="F198" s="3"/>
      <c r="G198" s="3" t="s">
        <v>268</v>
      </c>
      <c r="H198" s="3"/>
      <c r="I198" s="3" t="s">
        <v>33</v>
      </c>
      <c r="J198" s="3" t="s">
        <v>28</v>
      </c>
      <c r="K198" s="3">
        <v>16</v>
      </c>
      <c r="L198" s="3" t="s">
        <v>88</v>
      </c>
      <c r="M198" s="2"/>
      <c r="N198" s="3"/>
      <c r="O198" s="9">
        <f>0.47*Table2[[#This Row],[قيمة المحضر]]</f>
        <v>0</v>
      </c>
      <c r="P198" s="9">
        <f>0.17*Table2[[#This Row],[قيمة المحضر]]</f>
        <v>0</v>
      </c>
      <c r="Q198" s="9">
        <f t="shared" ca="1" si="18"/>
        <v>2560</v>
      </c>
      <c r="R198" s="3"/>
      <c r="S198" s="3"/>
      <c r="T198" s="9" t="str">
        <f t="shared" si="21"/>
        <v>-</v>
      </c>
      <c r="U198" s="3" t="s">
        <v>25</v>
      </c>
      <c r="V198" s="9" t="str">
        <f t="shared" si="22"/>
        <v>-</v>
      </c>
      <c r="W198" s="4"/>
      <c r="X198" s="38"/>
      <c r="Y198" s="1">
        <f t="shared" ca="1" si="23"/>
        <v>46162</v>
      </c>
      <c r="Z198" s="1" cm="1">
        <f t="array" ref="Z198">IF(D198&gt;DATE(2015,5,16),0,
K198*
(
INT((MIN(Y198,DATE(2015,5,16))-D198)/365)
+
CEILING(MOD((MIN(Y198,DATE(2015,5,16))-D198)/365,1),0.25)
)
*
_xlfn.SWITCH(J198,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98" s="1" cm="1">
        <f t="array" aca="1" ref="AA198" ca="1">IF(Y198&lt;DATE(2015,5,17),0,
K198*
(
INT((MIN(Y198,DATE(2018,9,23))-MAX(D198,DATE(2015,5,17)))/365)
+
CEILING(MOD((MIN(Y198,DATE(2018,9,23))-MAX(D198,DATE(2015,5,17)))/365,1),0.25)
)
*
_xlfn.SWITCH(J198,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176</v>
      </c>
      <c r="AB198" s="1" cm="1">
        <f t="array" aca="1" ref="AB198" ca="1">IF(Y198&lt;DATE(2018,9,24),0,
IF(J198="زراعة",
K198*
(
INT((MIN(Y198,DATE(2023,4,30))-MAX(D198,DATE(2018,9,24)))/365)
+
CEILING(MOD((MIN(Y198,DATE(2023,4,30))-MAX(D198,DATE(2018,9,24)))/365,1),0.25)
)
*1,
K198*
(
DATEDIF(MAX(D198,DATE(2018,9,24)),MIN(Y198,DATE(2023,4,30)),"m")+1
)
*
_xlfn.SWITCH(J198,
"موقف/تندة",IF(D198&lt;DATE(2019,11,30),6,30),
"تشوينات",IF(D198&lt;DATE(2019,11,30),4,20),
"مشاتل",IF(D198&lt;DATE(2019,11,30),2,10),
"كافيتيريا",IF(D198&lt;DATE(2019,11,30),30,150),
"نوادي",IF(D198&lt;DATE(2019,11,30),6,30),
"رسو مراكب",IF(D198&lt;DATE(2019,11,30),2,10),
"مباني",IF(D198&lt;DATE(2018,9,24),2,10),
"عشش",IF(D198&lt;DATE(2019,11,30),2,10),
"كشك (تجاري/صناعي)",IF(D198&lt;DATE(2019,11,30),10,50),
"ردم",20,
0)))</f>
        <v>1792</v>
      </c>
      <c r="AC198" s="1" cm="1">
        <f t="array" aca="1" ref="AC198" ca="1">IF(Y198&lt;DATE(2023,5,1),0,
IF(J198="زراعة",
K198*
(
INT((Y198-MAX(DATE(2023,5,1),D198))/365)
+
CEILING(MOD((Y198-MAX(DATE(2023,5,1),D198))/365,1),0.25)
)
*3,
IF(J198="ردم",
K198*20,
K198*
(
DATEDIF(MAX(DATE(2023,5,1),D198),Y198,"m")+1
)
*
_xlfn.SWITCH(J198,
"موقف/تندة",6,
"تشوينات",4,
"مشاتل",2,
"رسو مراكب",6,
"مباني",3,
"عشش",1,
"كشك (تجاري/صناعي)",20,
"مواسير صرف صحي (&lt;1م)",16,
"مواسير صرف صحي (&gt;1م)",18,
0))))</f>
        <v>592</v>
      </c>
      <c r="AD198" s="1">
        <f t="shared" ca="1" si="24"/>
        <v>55</v>
      </c>
    </row>
    <row r="199" spans="1:30" ht="18.75" x14ac:dyDescent="0.25">
      <c r="A199" s="37">
        <v>171</v>
      </c>
      <c r="B199" s="3">
        <v>60</v>
      </c>
      <c r="C199" s="3">
        <v>2016</v>
      </c>
      <c r="D199" s="7">
        <v>42428</v>
      </c>
      <c r="E199" s="11"/>
      <c r="F199" s="3"/>
      <c r="G199" s="3" t="s">
        <v>269</v>
      </c>
      <c r="H199" s="3"/>
      <c r="I199" s="3" t="s">
        <v>298</v>
      </c>
      <c r="J199" s="3" t="s">
        <v>28</v>
      </c>
      <c r="K199" s="3">
        <f>16*6</f>
        <v>96</v>
      </c>
      <c r="L199" s="3" t="s">
        <v>90</v>
      </c>
      <c r="M199" s="2"/>
      <c r="N199" s="3"/>
      <c r="O199" s="9">
        <f>0.47*Table2[[#This Row],[قيمة المحضر]]</f>
        <v>0</v>
      </c>
      <c r="P199" s="9">
        <f>0.17*Table2[[#This Row],[قيمة المحضر]]</f>
        <v>0</v>
      </c>
      <c r="Q199" s="9">
        <f t="shared" ca="1" si="18"/>
        <v>15360</v>
      </c>
      <c r="R199" s="3"/>
      <c r="S199" s="3"/>
      <c r="T199" s="9" t="str">
        <f t="shared" si="21"/>
        <v>-</v>
      </c>
      <c r="U199" s="3" t="s">
        <v>25</v>
      </c>
      <c r="V199" s="9" t="str">
        <f t="shared" si="22"/>
        <v>-</v>
      </c>
      <c r="W199" s="4"/>
      <c r="X199" s="38"/>
      <c r="Y199" s="1">
        <f t="shared" ca="1" si="23"/>
        <v>46162</v>
      </c>
      <c r="Z199" s="1" cm="1">
        <f t="array" ref="Z199">IF(D199&gt;DATE(2015,5,16),0,
K199*
(
INT((MIN(Y199,DATE(2015,5,16))-D199)/365)
+
CEILING(MOD((MIN(Y199,DATE(2015,5,16))-D199)/365,1),0.25)
)
*
_xlfn.SWITCH(J199,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199" s="1" cm="1">
        <f t="array" aca="1" ref="AA199" ca="1">IF(Y199&lt;DATE(2015,5,17),0,
K199*
(
INT((MIN(Y199,DATE(2018,9,23))-MAX(D199,DATE(2015,5,17)))/365)
+
CEILING(MOD((MIN(Y199,DATE(2018,9,23))-MAX(D199,DATE(2015,5,17)))/365,1),0.25)
)
*
_xlfn.SWITCH(J199,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1056</v>
      </c>
      <c r="AB199" s="1" cm="1">
        <f t="array" aca="1" ref="AB199" ca="1">IF(Y199&lt;DATE(2018,9,24),0,
IF(J199="زراعة",
K199*
(
INT((MIN(Y199,DATE(2023,4,30))-MAX(D199,DATE(2018,9,24)))/365)
+
CEILING(MOD((MIN(Y199,DATE(2023,4,30))-MAX(D199,DATE(2018,9,24)))/365,1),0.25)
)
*1,
K199*
(
DATEDIF(MAX(D199,DATE(2018,9,24)),MIN(Y199,DATE(2023,4,30)),"m")+1
)
*
_xlfn.SWITCH(J199,
"موقف/تندة",IF(D199&lt;DATE(2019,11,30),6,30),
"تشوينات",IF(D199&lt;DATE(2019,11,30),4,20),
"مشاتل",IF(D199&lt;DATE(2019,11,30),2,10),
"كافيتيريا",IF(D199&lt;DATE(2019,11,30),30,150),
"نوادي",IF(D199&lt;DATE(2019,11,30),6,30),
"رسو مراكب",IF(D199&lt;DATE(2019,11,30),2,10),
"مباني",IF(D199&lt;DATE(2018,9,24),2,10),
"عشش",IF(D199&lt;DATE(2019,11,30),2,10),
"كشك (تجاري/صناعي)",IF(D199&lt;DATE(2019,11,30),10,50),
"ردم",20,
0)))</f>
        <v>10752</v>
      </c>
      <c r="AC199" s="1" cm="1">
        <f t="array" aca="1" ref="AC199" ca="1">IF(Y199&lt;DATE(2023,5,1),0,
IF(J199="زراعة",
K199*
(
INT((Y199-MAX(DATE(2023,5,1),D199))/365)
+
CEILING(MOD((Y199-MAX(DATE(2023,5,1),D199))/365,1),0.25)
)
*3,
IF(J199="ردم",
K199*20,
K199*
(
DATEDIF(MAX(DATE(2023,5,1),D199),Y199,"m")+1
)
*
_xlfn.SWITCH(J199,
"موقف/تندة",6,
"تشوينات",4,
"مشاتل",2,
"رسو مراكب",6,
"مباني",3,
"عشش",1,
"كشك (تجاري/صناعي)",20,
"مواسير صرف صحي (&lt;1م)",16,
"مواسير صرف صحي (&gt;1م)",18,
0))))</f>
        <v>3552</v>
      </c>
      <c r="AD199" s="1">
        <f t="shared" ca="1" si="24"/>
        <v>55</v>
      </c>
    </row>
    <row r="200" spans="1:30" ht="18.75" x14ac:dyDescent="0.25">
      <c r="A200" s="37">
        <v>172</v>
      </c>
      <c r="B200" s="3">
        <v>61</v>
      </c>
      <c r="C200" s="3">
        <v>2016</v>
      </c>
      <c r="D200" s="7">
        <v>42449</v>
      </c>
      <c r="E200" s="11" t="s">
        <v>293</v>
      </c>
      <c r="F200" s="3"/>
      <c r="G200" s="3" t="s">
        <v>270</v>
      </c>
      <c r="H200" s="3"/>
      <c r="I200" s="3" t="s">
        <v>298</v>
      </c>
      <c r="J200" s="3" t="s">
        <v>27</v>
      </c>
      <c r="K200" s="3">
        <v>70</v>
      </c>
      <c r="L200" s="3" t="s">
        <v>90</v>
      </c>
      <c r="M200" s="2"/>
      <c r="N200" s="3"/>
      <c r="O200" s="9">
        <f>0.47*Table2[[#This Row],[قيمة المحضر]]</f>
        <v>0</v>
      </c>
      <c r="P200" s="9">
        <f>0.17*Table2[[#This Row],[قيمة المحضر]]</f>
        <v>0</v>
      </c>
      <c r="Q200" s="9">
        <f t="shared" ca="1" si="18"/>
        <v>17150</v>
      </c>
      <c r="R200" s="3"/>
      <c r="S200" s="3"/>
      <c r="T200" s="9" t="str">
        <f t="shared" si="21"/>
        <v>-</v>
      </c>
      <c r="U200" s="3" t="s">
        <v>25</v>
      </c>
      <c r="V200" s="9" t="str">
        <f t="shared" si="22"/>
        <v>-</v>
      </c>
      <c r="W200" s="4"/>
      <c r="X200" s="38"/>
      <c r="Y200" s="1">
        <f t="shared" ca="1" si="23"/>
        <v>46162</v>
      </c>
      <c r="Z200" s="1" cm="1">
        <f t="array" ref="Z200">IF(D200&gt;DATE(2015,5,16),0,
K200*
(
INT((MIN(Y200,DATE(2015,5,16))-D200)/365)
+
CEILING(MOD((MIN(Y200,DATE(2015,5,16))-D200)/365,1),0.25)
)
*
_xlfn.SWITCH(J200,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00" s="1" cm="1">
        <f t="array" aca="1" ref="AA200" ca="1">IF(Y200&lt;DATE(2015,5,17),0,
K200*
(
INT((MIN(Y200,DATE(2018,9,23))-MAX(D200,DATE(2015,5,17)))/365)
+
CEILING(MOD((MIN(Y200,DATE(2018,9,23))-MAX(D200,DATE(2015,5,17)))/365,1),0.25)
)
*
_xlfn.SWITCH(J200,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1540</v>
      </c>
      <c r="AB200" s="1" cm="1">
        <f t="array" aca="1" ref="AB200" ca="1">IF(Y200&lt;DATE(2018,9,24),0,
IF(J200="زراعة",
K200*
(
INT((MIN(Y200,DATE(2023,4,30))-MAX(D200,DATE(2018,9,24)))/365)
+
CEILING(MOD((MIN(Y200,DATE(2023,4,30))-MAX(D200,DATE(2018,9,24)))/365,1),0.25)
)
*1,
K200*
(
DATEDIF(MAX(D200,DATE(2018,9,24)),MIN(Y200,DATE(2023,4,30)),"m")+1
)
*
_xlfn.SWITCH(J200,
"موقف/تندة",IF(D200&lt;DATE(2019,11,30),6,30),
"تشوينات",IF(D200&lt;DATE(2019,11,30),4,20),
"مشاتل",IF(D200&lt;DATE(2019,11,30),2,10),
"كافيتيريا",IF(D200&lt;DATE(2019,11,30),30,150),
"نوادي",IF(D200&lt;DATE(2019,11,30),6,30),
"رسو مراكب",IF(D200&lt;DATE(2019,11,30),2,10),
"مباني",IF(D200&lt;DATE(2018,9,24),2,10),
"عشش",IF(D200&lt;DATE(2019,11,30),2,10),
"كشك (تجاري/صناعي)",IF(D200&lt;DATE(2019,11,30),10,50),
"ردم",20,
0)))</f>
        <v>7840</v>
      </c>
      <c r="AC200" s="1" cm="1">
        <f t="array" aca="1" ref="AC200" ca="1">IF(Y200&lt;DATE(2023,5,1),0,
IF(J200="زراعة",
K200*
(
INT((Y200-MAX(DATE(2023,5,1),D200))/365)
+
CEILING(MOD((Y200-MAX(DATE(2023,5,1),D200))/365,1),0.25)
)
*3,
IF(J200="ردم",
K200*20,
K200*
(
DATEDIF(MAX(DATE(2023,5,1),D200),Y200,"m")+1
)
*
_xlfn.SWITCH(J200,
"موقف/تندة",6,
"تشوينات",4,
"مشاتل",2,
"رسو مراكب",6,
"مباني",3,
"عشش",1,
"كشك (تجاري/صناعي)",20,
"مواسير صرف صحي (&lt;1م)",16,
"مواسير صرف صحي (&gt;1م)",18,
0))))</f>
        <v>7770</v>
      </c>
      <c r="AD200" s="1">
        <f t="shared" ca="1" si="24"/>
        <v>55</v>
      </c>
    </row>
    <row r="201" spans="1:30" ht="18.75" x14ac:dyDescent="0.25">
      <c r="A201" s="37">
        <v>173</v>
      </c>
      <c r="B201" s="3">
        <v>62</v>
      </c>
      <c r="C201" s="3">
        <v>2016</v>
      </c>
      <c r="D201" s="7">
        <v>42449</v>
      </c>
      <c r="E201" s="11" t="s">
        <v>294</v>
      </c>
      <c r="F201" s="3"/>
      <c r="G201" s="3" t="s">
        <v>271</v>
      </c>
      <c r="H201" s="3"/>
      <c r="I201" s="3" t="s">
        <v>298</v>
      </c>
      <c r="J201" s="3" t="s">
        <v>27</v>
      </c>
      <c r="K201" s="3">
        <v>84</v>
      </c>
      <c r="L201" s="3" t="s">
        <v>90</v>
      </c>
      <c r="M201" s="2"/>
      <c r="N201" s="3"/>
      <c r="O201" s="9">
        <f>0.47*Table2[[#This Row],[قيمة المحضر]]</f>
        <v>0</v>
      </c>
      <c r="P201" s="9">
        <f>0.17*Table2[[#This Row],[قيمة المحضر]]</f>
        <v>0</v>
      </c>
      <c r="Q201" s="9">
        <f t="shared" ca="1" si="18"/>
        <v>20580</v>
      </c>
      <c r="R201" s="3"/>
      <c r="S201" s="3"/>
      <c r="T201" s="9" t="str">
        <f t="shared" si="21"/>
        <v>-</v>
      </c>
      <c r="U201" s="3" t="s">
        <v>25</v>
      </c>
      <c r="V201" s="9" t="str">
        <f t="shared" si="22"/>
        <v>-</v>
      </c>
      <c r="W201" s="4"/>
      <c r="X201" s="38"/>
      <c r="Y201" s="1">
        <f t="shared" ca="1" si="23"/>
        <v>46162</v>
      </c>
      <c r="Z201" s="1" cm="1">
        <f t="array" ref="Z201">IF(D201&gt;DATE(2015,5,16),0,
K201*
(
INT((MIN(Y201,DATE(2015,5,16))-D201)/365)
+
CEILING(MOD((MIN(Y201,DATE(2015,5,16))-D201)/365,1),0.25)
)
*
_xlfn.SWITCH(J201,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01" s="1" cm="1">
        <f t="array" aca="1" ref="AA201" ca="1">IF(Y201&lt;DATE(2015,5,17),0,
K201*
(
INT((MIN(Y201,DATE(2018,9,23))-MAX(D201,DATE(2015,5,17)))/365)
+
CEILING(MOD((MIN(Y201,DATE(2018,9,23))-MAX(D201,DATE(2015,5,17)))/365,1),0.25)
)
*
_xlfn.SWITCH(J201,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1848</v>
      </c>
      <c r="AB201" s="1" cm="1">
        <f t="array" aca="1" ref="AB201" ca="1">IF(Y201&lt;DATE(2018,9,24),0,
IF(J201="زراعة",
K201*
(
INT((MIN(Y201,DATE(2023,4,30))-MAX(D201,DATE(2018,9,24)))/365)
+
CEILING(MOD((MIN(Y201,DATE(2023,4,30))-MAX(D201,DATE(2018,9,24)))/365,1),0.25)
)
*1,
K201*
(
DATEDIF(MAX(D201,DATE(2018,9,24)),MIN(Y201,DATE(2023,4,30)),"m")+1
)
*
_xlfn.SWITCH(J201,
"موقف/تندة",IF(D201&lt;DATE(2019,11,30),6,30),
"تشوينات",IF(D201&lt;DATE(2019,11,30),4,20),
"مشاتل",IF(D201&lt;DATE(2019,11,30),2,10),
"كافيتيريا",IF(D201&lt;DATE(2019,11,30),30,150),
"نوادي",IF(D201&lt;DATE(2019,11,30),6,30),
"رسو مراكب",IF(D201&lt;DATE(2019,11,30),2,10),
"مباني",IF(D201&lt;DATE(2018,9,24),2,10),
"عشش",IF(D201&lt;DATE(2019,11,30),2,10),
"كشك (تجاري/صناعي)",IF(D201&lt;DATE(2019,11,30),10,50),
"ردم",20,
0)))</f>
        <v>9408</v>
      </c>
      <c r="AC201" s="1" cm="1">
        <f t="array" aca="1" ref="AC201" ca="1">IF(Y201&lt;DATE(2023,5,1),0,
IF(J201="زراعة",
K201*
(
INT((Y201-MAX(DATE(2023,5,1),D201))/365)
+
CEILING(MOD((Y201-MAX(DATE(2023,5,1),D201))/365,1),0.25)
)
*3,
IF(J201="ردم",
K201*20,
K201*
(
DATEDIF(MAX(DATE(2023,5,1),D201),Y201,"m")+1
)
*
_xlfn.SWITCH(J201,
"موقف/تندة",6,
"تشوينات",4,
"مشاتل",2,
"رسو مراكب",6,
"مباني",3,
"عشش",1,
"كشك (تجاري/صناعي)",20,
"مواسير صرف صحي (&lt;1م)",16,
"مواسير صرف صحي (&gt;1م)",18,
0))))</f>
        <v>9324</v>
      </c>
      <c r="AD201" s="1">
        <f t="shared" ca="1" si="24"/>
        <v>55</v>
      </c>
    </row>
    <row r="202" spans="1:30" ht="18.75" x14ac:dyDescent="0.25">
      <c r="A202" s="37">
        <v>174</v>
      </c>
      <c r="B202" s="3">
        <v>63</v>
      </c>
      <c r="C202" s="3">
        <v>2016</v>
      </c>
      <c r="D202" s="7">
        <v>42449</v>
      </c>
      <c r="E202" s="11" t="s">
        <v>295</v>
      </c>
      <c r="F202" s="3"/>
      <c r="G202" s="14" t="s">
        <v>272</v>
      </c>
      <c r="H202" s="3"/>
      <c r="I202" s="3" t="s">
        <v>298</v>
      </c>
      <c r="J202" s="3" t="s">
        <v>27</v>
      </c>
      <c r="K202" s="3">
        <v>75</v>
      </c>
      <c r="L202" s="3" t="s">
        <v>90</v>
      </c>
      <c r="M202" s="2"/>
      <c r="N202" s="3"/>
      <c r="O202" s="9">
        <f>0.47*Table2[[#This Row],[قيمة المحضر]]</f>
        <v>0</v>
      </c>
      <c r="P202" s="9">
        <f>0.17*Table2[[#This Row],[قيمة المحضر]]</f>
        <v>0</v>
      </c>
      <c r="Q202" s="9">
        <f t="shared" ca="1" si="18"/>
        <v>18375</v>
      </c>
      <c r="R202" s="3"/>
      <c r="S202" s="3"/>
      <c r="T202" s="9" t="str">
        <f t="shared" si="21"/>
        <v>-</v>
      </c>
      <c r="U202" s="3" t="s">
        <v>25</v>
      </c>
      <c r="V202" s="9" t="str">
        <f t="shared" si="22"/>
        <v>-</v>
      </c>
      <c r="W202" s="4"/>
      <c r="X202" s="38"/>
      <c r="Y202" s="1">
        <f t="shared" ca="1" si="23"/>
        <v>46162</v>
      </c>
      <c r="Z202" s="1" cm="1">
        <f t="array" ref="Z202">IF(D202&gt;DATE(2015,5,16),0,
K202*
(
INT((MIN(Y202,DATE(2015,5,16))-D202)/365)
+
CEILING(MOD((MIN(Y202,DATE(2015,5,16))-D202)/365,1),0.25)
)
*
_xlfn.SWITCH(J202,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02" s="1" cm="1">
        <f t="array" aca="1" ref="AA202" ca="1">IF(Y202&lt;DATE(2015,5,17),0,
K202*
(
INT((MIN(Y202,DATE(2018,9,23))-MAX(D202,DATE(2015,5,17)))/365)
+
CEILING(MOD((MIN(Y202,DATE(2018,9,23))-MAX(D202,DATE(2015,5,17)))/365,1),0.25)
)
*
_xlfn.SWITCH(J202,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1650</v>
      </c>
      <c r="AB202" s="1" cm="1">
        <f t="array" aca="1" ref="AB202" ca="1">IF(Y202&lt;DATE(2018,9,24),0,
IF(J202="زراعة",
K202*
(
INT((MIN(Y202,DATE(2023,4,30))-MAX(D202,DATE(2018,9,24)))/365)
+
CEILING(MOD((MIN(Y202,DATE(2023,4,30))-MAX(D202,DATE(2018,9,24)))/365,1),0.25)
)
*1,
K202*
(
DATEDIF(MAX(D202,DATE(2018,9,24)),MIN(Y202,DATE(2023,4,30)),"m")+1
)
*
_xlfn.SWITCH(J202,
"موقف/تندة",IF(D202&lt;DATE(2019,11,30),6,30),
"تشوينات",IF(D202&lt;DATE(2019,11,30),4,20),
"مشاتل",IF(D202&lt;DATE(2019,11,30),2,10),
"كافيتيريا",IF(D202&lt;DATE(2019,11,30),30,150),
"نوادي",IF(D202&lt;DATE(2019,11,30),6,30),
"رسو مراكب",IF(D202&lt;DATE(2019,11,30),2,10),
"مباني",IF(D202&lt;DATE(2018,9,24),2,10),
"عشش",IF(D202&lt;DATE(2019,11,30),2,10),
"كشك (تجاري/صناعي)",IF(D202&lt;DATE(2019,11,30),10,50),
"ردم",20,
0)))</f>
        <v>8400</v>
      </c>
      <c r="AC202" s="1" cm="1">
        <f t="array" aca="1" ref="AC202" ca="1">IF(Y202&lt;DATE(2023,5,1),0,
IF(J202="زراعة",
K202*
(
INT((Y202-MAX(DATE(2023,5,1),D202))/365)
+
CEILING(MOD((Y202-MAX(DATE(2023,5,1),D202))/365,1),0.25)
)
*3,
IF(J202="ردم",
K202*20,
K202*
(
DATEDIF(MAX(DATE(2023,5,1),D202),Y202,"m")+1
)
*
_xlfn.SWITCH(J202,
"موقف/تندة",6,
"تشوينات",4,
"مشاتل",2,
"رسو مراكب",6,
"مباني",3,
"عشش",1,
"كشك (تجاري/صناعي)",20,
"مواسير صرف صحي (&lt;1م)",16,
"مواسير صرف صحي (&gt;1م)",18,
0))))</f>
        <v>8325</v>
      </c>
      <c r="AD202" s="1">
        <f t="shared" ca="1" si="24"/>
        <v>55</v>
      </c>
    </row>
    <row r="203" spans="1:30" ht="18.75" x14ac:dyDescent="0.25">
      <c r="A203" s="37">
        <v>175</v>
      </c>
      <c r="B203" s="3">
        <v>64</v>
      </c>
      <c r="C203" s="3">
        <v>2016</v>
      </c>
      <c r="D203" s="7">
        <v>42449</v>
      </c>
      <c r="E203" s="11" t="s">
        <v>296</v>
      </c>
      <c r="F203" s="3"/>
      <c r="G203" s="3" t="s">
        <v>273</v>
      </c>
      <c r="H203" s="3"/>
      <c r="I203" s="3" t="s">
        <v>298</v>
      </c>
      <c r="J203" s="3" t="s">
        <v>27</v>
      </c>
      <c r="K203" s="3">
        <v>75</v>
      </c>
      <c r="L203" s="3" t="s">
        <v>90</v>
      </c>
      <c r="M203" s="2"/>
      <c r="N203" s="3"/>
      <c r="O203" s="9">
        <f>0.47*Table2[[#This Row],[قيمة المحضر]]</f>
        <v>0</v>
      </c>
      <c r="P203" s="9">
        <f>0.17*Table2[[#This Row],[قيمة المحضر]]</f>
        <v>0</v>
      </c>
      <c r="Q203" s="9">
        <f t="shared" ca="1" si="18"/>
        <v>18375</v>
      </c>
      <c r="R203" s="3"/>
      <c r="S203" s="3"/>
      <c r="T203" s="9" t="str">
        <f t="shared" si="21"/>
        <v>-</v>
      </c>
      <c r="U203" s="3" t="s">
        <v>25</v>
      </c>
      <c r="V203" s="9" t="str">
        <f t="shared" si="22"/>
        <v>-</v>
      </c>
      <c r="W203" s="4"/>
      <c r="X203" s="38"/>
      <c r="Y203" s="1">
        <f t="shared" ca="1" si="23"/>
        <v>46162</v>
      </c>
      <c r="Z203" s="1" cm="1">
        <f t="array" ref="Z203">IF(D203&gt;DATE(2015,5,16),0,
K203*
(
INT((MIN(Y203,DATE(2015,5,16))-D203)/365)
+
CEILING(MOD((MIN(Y203,DATE(2015,5,16))-D203)/365,1),0.25)
)
*
_xlfn.SWITCH(J203,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03" s="1" cm="1">
        <f t="array" aca="1" ref="AA203" ca="1">IF(Y203&lt;DATE(2015,5,17),0,
K203*
(
INT((MIN(Y203,DATE(2018,9,23))-MAX(D203,DATE(2015,5,17)))/365)
+
CEILING(MOD((MIN(Y203,DATE(2018,9,23))-MAX(D203,DATE(2015,5,17)))/365,1),0.25)
)
*
_xlfn.SWITCH(J203,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1650</v>
      </c>
      <c r="AB203" s="1" cm="1">
        <f t="array" aca="1" ref="AB203" ca="1">IF(Y203&lt;DATE(2018,9,24),0,
IF(J203="زراعة",
K203*
(
INT((MIN(Y203,DATE(2023,4,30))-MAX(D203,DATE(2018,9,24)))/365)
+
CEILING(MOD((MIN(Y203,DATE(2023,4,30))-MAX(D203,DATE(2018,9,24)))/365,1),0.25)
)
*1,
K203*
(
DATEDIF(MAX(D203,DATE(2018,9,24)),MIN(Y203,DATE(2023,4,30)),"m")+1
)
*
_xlfn.SWITCH(J203,
"موقف/تندة",IF(D203&lt;DATE(2019,11,30),6,30),
"تشوينات",IF(D203&lt;DATE(2019,11,30),4,20),
"مشاتل",IF(D203&lt;DATE(2019,11,30),2,10),
"كافيتيريا",IF(D203&lt;DATE(2019,11,30),30,150),
"نوادي",IF(D203&lt;DATE(2019,11,30),6,30),
"رسو مراكب",IF(D203&lt;DATE(2019,11,30),2,10),
"مباني",IF(D203&lt;DATE(2018,9,24),2,10),
"عشش",IF(D203&lt;DATE(2019,11,30),2,10),
"كشك (تجاري/صناعي)",IF(D203&lt;DATE(2019,11,30),10,50),
"ردم",20,
0)))</f>
        <v>8400</v>
      </c>
      <c r="AC203" s="1" cm="1">
        <f t="array" aca="1" ref="AC203" ca="1">IF(Y203&lt;DATE(2023,5,1),0,
IF(J203="زراعة",
K203*
(
INT((Y203-MAX(DATE(2023,5,1),D203))/365)
+
CEILING(MOD((Y203-MAX(DATE(2023,5,1),D203))/365,1),0.25)
)
*3,
IF(J203="ردم",
K203*20,
K203*
(
DATEDIF(MAX(DATE(2023,5,1),D203),Y203,"m")+1
)
*
_xlfn.SWITCH(J203,
"موقف/تندة",6,
"تشوينات",4,
"مشاتل",2,
"رسو مراكب",6,
"مباني",3,
"عشش",1,
"كشك (تجاري/صناعي)",20,
"مواسير صرف صحي (&lt;1م)",16,
"مواسير صرف صحي (&gt;1م)",18,
0))))</f>
        <v>8325</v>
      </c>
      <c r="AD203" s="1">
        <f t="shared" ca="1" si="24"/>
        <v>55</v>
      </c>
    </row>
    <row r="204" spans="1:30" ht="18.75" x14ac:dyDescent="0.25">
      <c r="A204" s="37">
        <v>176</v>
      </c>
      <c r="B204" s="3">
        <v>65</v>
      </c>
      <c r="C204" s="3">
        <v>2016</v>
      </c>
      <c r="D204" s="7">
        <v>42449</v>
      </c>
      <c r="E204" s="11"/>
      <c r="F204" s="3"/>
      <c r="G204" s="3" t="s">
        <v>299</v>
      </c>
      <c r="H204" s="3"/>
      <c r="I204" s="3" t="s">
        <v>211</v>
      </c>
      <c r="J204" s="3" t="s">
        <v>27</v>
      </c>
      <c r="K204" s="3">
        <v>60</v>
      </c>
      <c r="L204" s="3" t="s">
        <v>368</v>
      </c>
      <c r="M204" s="2"/>
      <c r="N204" s="3"/>
      <c r="O204" s="9">
        <f>0.47*Table2[[#This Row],[قيمة المحضر]]</f>
        <v>0</v>
      </c>
      <c r="P204" s="9">
        <f>0.17*Table2[[#This Row],[قيمة المحضر]]</f>
        <v>0</v>
      </c>
      <c r="Q204" s="9">
        <f t="shared" ca="1" si="18"/>
        <v>14700</v>
      </c>
      <c r="R204" s="3"/>
      <c r="S204" s="3"/>
      <c r="T204" s="9" t="str">
        <f t="shared" si="21"/>
        <v>-</v>
      </c>
      <c r="U204" s="3" t="s">
        <v>25</v>
      </c>
      <c r="V204" s="9" t="str">
        <f t="shared" si="22"/>
        <v>-</v>
      </c>
      <c r="W204" s="4"/>
      <c r="X204" s="38"/>
      <c r="Y204" s="1">
        <f t="shared" ca="1" si="23"/>
        <v>46162</v>
      </c>
      <c r="Z204" s="1" cm="1">
        <f t="array" ref="Z204">IF(D204&gt;DATE(2015,5,16),0,
K204*
(
INT((MIN(Y204,DATE(2015,5,16))-D204)/365)
+
CEILING(MOD((MIN(Y204,DATE(2015,5,16))-D204)/365,1),0.25)
)
*
_xlfn.SWITCH(J204,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04" s="1" cm="1">
        <f t="array" aca="1" ref="AA204" ca="1">IF(Y204&lt;DATE(2015,5,17),0,
K204*
(
INT((MIN(Y204,DATE(2018,9,23))-MAX(D204,DATE(2015,5,17)))/365)
+
CEILING(MOD((MIN(Y204,DATE(2018,9,23))-MAX(D204,DATE(2015,5,17)))/365,1),0.25)
)
*
_xlfn.SWITCH(J204,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1320</v>
      </c>
      <c r="AB204" s="1" cm="1">
        <f t="array" aca="1" ref="AB204" ca="1">IF(Y204&lt;DATE(2018,9,24),0,
IF(J204="زراعة",
K204*
(
INT((MIN(Y204,DATE(2023,4,30))-MAX(D204,DATE(2018,9,24)))/365)
+
CEILING(MOD((MIN(Y204,DATE(2023,4,30))-MAX(D204,DATE(2018,9,24)))/365,1),0.25)
)
*1,
K204*
(
DATEDIF(MAX(D204,DATE(2018,9,24)),MIN(Y204,DATE(2023,4,30)),"m")+1
)
*
_xlfn.SWITCH(J204,
"موقف/تندة",IF(D204&lt;DATE(2019,11,30),6,30),
"تشوينات",IF(D204&lt;DATE(2019,11,30),4,20),
"مشاتل",IF(D204&lt;DATE(2019,11,30),2,10),
"كافيتيريا",IF(D204&lt;DATE(2019,11,30),30,150),
"نوادي",IF(D204&lt;DATE(2019,11,30),6,30),
"رسو مراكب",IF(D204&lt;DATE(2019,11,30),2,10),
"مباني",IF(D204&lt;DATE(2018,9,24),2,10),
"عشش",IF(D204&lt;DATE(2019,11,30),2,10),
"كشك (تجاري/صناعي)",IF(D204&lt;DATE(2019,11,30),10,50),
"ردم",20,
0)))</f>
        <v>6720</v>
      </c>
      <c r="AC204" s="1" cm="1">
        <f t="array" aca="1" ref="AC204" ca="1">IF(Y204&lt;DATE(2023,5,1),0,
IF(J204="زراعة",
K204*
(
INT((Y204-MAX(DATE(2023,5,1),D204))/365)
+
CEILING(MOD((Y204-MAX(DATE(2023,5,1),D204))/365,1),0.25)
)
*3,
IF(J204="ردم",
K204*20,
K204*
(
DATEDIF(MAX(DATE(2023,5,1),D204),Y204,"m")+1
)
*
_xlfn.SWITCH(J204,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204" s="1">
        <f t="shared" ca="1" si="24"/>
        <v>55</v>
      </c>
    </row>
    <row r="205" spans="1:30" ht="18.75" x14ac:dyDescent="0.25">
      <c r="A205" s="37">
        <v>177</v>
      </c>
      <c r="B205" s="3">
        <v>66</v>
      </c>
      <c r="C205" s="3">
        <v>2016</v>
      </c>
      <c r="D205" s="7">
        <v>42449</v>
      </c>
      <c r="E205" s="11"/>
      <c r="F205" s="3"/>
      <c r="G205" s="3" t="s">
        <v>300</v>
      </c>
      <c r="H205" s="3"/>
      <c r="I205" s="3" t="s">
        <v>211</v>
      </c>
      <c r="J205" s="3" t="s">
        <v>28</v>
      </c>
      <c r="K205" s="3">
        <v>20</v>
      </c>
      <c r="L205" s="3" t="s">
        <v>368</v>
      </c>
      <c r="M205" s="2"/>
      <c r="N205" s="3"/>
      <c r="O205" s="9">
        <f>0.47*Table2[[#This Row],[قيمة المحضر]]</f>
        <v>0</v>
      </c>
      <c r="P205" s="9">
        <f>0.17*Table2[[#This Row],[قيمة المحضر]]</f>
        <v>0</v>
      </c>
      <c r="Q205" s="9">
        <f t="shared" ca="1" si="18"/>
        <v>3200</v>
      </c>
      <c r="R205" s="3"/>
      <c r="S205" s="3"/>
      <c r="T205" s="9" t="str">
        <f t="shared" si="21"/>
        <v>-</v>
      </c>
      <c r="U205" s="3" t="s">
        <v>25</v>
      </c>
      <c r="V205" s="9" t="str">
        <f t="shared" si="22"/>
        <v>-</v>
      </c>
      <c r="W205" s="4"/>
      <c r="X205" s="38"/>
      <c r="Y205" s="1">
        <f t="shared" ca="1" si="23"/>
        <v>46162</v>
      </c>
      <c r="Z205" s="1" cm="1">
        <f t="array" ref="Z205">IF(D205&gt;DATE(2015,5,16),0,
K205*
(
INT((MIN(Y205,DATE(2015,5,16))-D205)/365)
+
CEILING(MOD((MIN(Y205,DATE(2015,5,16))-D205)/365,1),0.25)
)
*
_xlfn.SWITCH(J205,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05" s="1" cm="1">
        <f t="array" aca="1" ref="AA205" ca="1">IF(Y205&lt;DATE(2015,5,17),0,
K205*
(
INT((MIN(Y205,DATE(2018,9,23))-MAX(D205,DATE(2015,5,17)))/365)
+
CEILING(MOD((MIN(Y205,DATE(2018,9,23))-MAX(D205,DATE(2015,5,17)))/365,1),0.25)
)
*
_xlfn.SWITCH(J205,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220</v>
      </c>
      <c r="AB205" s="1" cm="1">
        <f t="array" aca="1" ref="AB205" ca="1">IF(Y205&lt;DATE(2018,9,24),0,
IF(J205="زراعة",
K205*
(
INT((MIN(Y205,DATE(2023,4,30))-MAX(D205,DATE(2018,9,24)))/365)
+
CEILING(MOD((MIN(Y205,DATE(2023,4,30))-MAX(D205,DATE(2018,9,24)))/365,1),0.25)
)
*1,
K205*
(
DATEDIF(MAX(D205,DATE(2018,9,24)),MIN(Y205,DATE(2023,4,30)),"m")+1
)
*
_xlfn.SWITCH(J205,
"موقف/تندة",IF(D205&lt;DATE(2019,11,30),6,30),
"تشوينات",IF(D205&lt;DATE(2019,11,30),4,20),
"مشاتل",IF(D205&lt;DATE(2019,11,30),2,10),
"كافيتيريا",IF(D205&lt;DATE(2019,11,30),30,150),
"نوادي",IF(D205&lt;DATE(2019,11,30),6,30),
"رسو مراكب",IF(D205&lt;DATE(2019,11,30),2,10),
"مباني",IF(D205&lt;DATE(2018,9,24),2,10),
"عشش",IF(D205&lt;DATE(2019,11,30),2,10),
"كشك (تجاري/صناعي)",IF(D205&lt;DATE(2019,11,30),10,50),
"ردم",20,
0)))</f>
        <v>2240</v>
      </c>
      <c r="AC205" s="1" cm="1">
        <f t="array" aca="1" ref="AC205" ca="1">IF(Y205&lt;DATE(2023,5,1),0,
IF(J205="زراعة",
K205*
(
INT((Y205-MAX(DATE(2023,5,1),D205))/365)
+
CEILING(MOD((Y205-MAX(DATE(2023,5,1),D205))/365,1),0.25)
)
*3,
IF(J205="ردم",
K205*20,
K205*
(
DATEDIF(MAX(DATE(2023,5,1),D205),Y205,"m")+1
)
*
_xlfn.SWITCH(J205,
"موقف/تندة",6,
"تشوينات",4,
"مشاتل",2,
"رسو مراكب",6,
"مباني",3,
"عشش",1,
"كشك (تجاري/صناعي)",20,
"مواسير صرف صحي (&lt;1م)",16,
"مواسير صرف صحي (&gt;1م)",18,
0))))</f>
        <v>740</v>
      </c>
      <c r="AD205" s="1">
        <f t="shared" ca="1" si="24"/>
        <v>55</v>
      </c>
    </row>
    <row r="206" spans="1:30" ht="18.75" x14ac:dyDescent="0.25">
      <c r="A206" s="37">
        <v>178</v>
      </c>
      <c r="B206" s="3">
        <v>67</v>
      </c>
      <c r="C206" s="3">
        <v>2016</v>
      </c>
      <c r="D206" s="7">
        <v>42449</v>
      </c>
      <c r="E206" s="11"/>
      <c r="F206" s="3"/>
      <c r="G206" s="3" t="s">
        <v>367</v>
      </c>
      <c r="H206" s="6"/>
      <c r="I206" s="6" t="s">
        <v>105</v>
      </c>
      <c r="J206" s="3" t="s">
        <v>28</v>
      </c>
      <c r="K206" s="6">
        <v>16</v>
      </c>
      <c r="L206" s="3" t="s">
        <v>368</v>
      </c>
      <c r="M206" s="7"/>
      <c r="N206" s="6"/>
      <c r="O206" s="9">
        <f>0.47*Table2[[#This Row],[قيمة المحضر]]</f>
        <v>0</v>
      </c>
      <c r="P206" s="9">
        <f>0.17*Table2[[#This Row],[قيمة المحضر]]</f>
        <v>0</v>
      </c>
      <c r="Q206" s="9">
        <f t="shared" ca="1" si="18"/>
        <v>2560</v>
      </c>
      <c r="R206" s="3"/>
      <c r="S206" s="3"/>
      <c r="T206" s="9" t="str">
        <f t="shared" si="19"/>
        <v>-</v>
      </c>
      <c r="U206" s="3" t="s">
        <v>25</v>
      </c>
      <c r="V206" s="9" t="str">
        <f t="shared" si="20"/>
        <v>-</v>
      </c>
      <c r="W206" s="4"/>
      <c r="X206" s="38"/>
      <c r="Y206" s="1">
        <f t="shared" ca="1" si="23"/>
        <v>46162</v>
      </c>
      <c r="Z206" s="1" cm="1">
        <f t="array" ref="Z206">IF(D206&gt;DATE(2015,5,16),0,
K206*
(
INT((MIN(Y206,DATE(2015,5,16))-D206)/365)
+
CEILING(MOD((MIN(Y206,DATE(2015,5,16))-D206)/365,1),0.25)
)
*
_xlfn.SWITCH(J206,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06" s="1" cm="1">
        <f t="array" aca="1" ref="AA206" ca="1">IF(Y206&lt;DATE(2015,5,17),0,
K206*
(
INT((MIN(Y206,DATE(2018,9,23))-MAX(D206,DATE(2015,5,17)))/365)
+
CEILING(MOD((MIN(Y206,DATE(2018,9,23))-MAX(D206,DATE(2015,5,17)))/365,1),0.25)
)
*
_xlfn.SWITCH(J206,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176</v>
      </c>
      <c r="AB206" s="1" cm="1">
        <f t="array" aca="1" ref="AB206" ca="1">IF(Y206&lt;DATE(2018,9,24),0,
IF(J206="زراعة",
K206*
(
INT((MIN(Y206,DATE(2023,4,30))-MAX(D206,DATE(2018,9,24)))/365)
+
CEILING(MOD((MIN(Y206,DATE(2023,4,30))-MAX(D206,DATE(2018,9,24)))/365,1),0.25)
)
*1,
K206*
(
DATEDIF(MAX(D206,DATE(2018,9,24)),MIN(Y206,DATE(2023,4,30)),"m")+1
)
*
_xlfn.SWITCH(J206,
"موقف/تندة",IF(D206&lt;DATE(2019,11,30),6,30),
"تشوينات",IF(D206&lt;DATE(2019,11,30),4,20),
"مشاتل",IF(D206&lt;DATE(2019,11,30),2,10),
"كافيتيريا",IF(D206&lt;DATE(2019,11,30),30,150),
"نوادي",IF(D206&lt;DATE(2019,11,30),6,30),
"رسو مراكب",IF(D206&lt;DATE(2019,11,30),2,10),
"مباني",IF(D206&lt;DATE(2018,9,24),2,10),
"عشش",IF(D206&lt;DATE(2019,11,30),2,10),
"كشك (تجاري/صناعي)",IF(D206&lt;DATE(2019,11,30),10,50),
"ردم",20,
0)))</f>
        <v>1792</v>
      </c>
      <c r="AC206" s="1" cm="1">
        <f t="array" aca="1" ref="AC206" ca="1">IF(Y206&lt;DATE(2023,5,1),0,
IF(J206="زراعة",
K206*
(
INT((Y206-MAX(DATE(2023,5,1),D206))/365)
+
CEILING(MOD((Y206-MAX(DATE(2023,5,1),D206))/365,1),0.25)
)
*3,
IF(J206="ردم",
K206*20,
K206*
(
DATEDIF(MAX(DATE(2023,5,1),D206),Y206,"m")+1
)
*
_xlfn.SWITCH(J206,
"موقف/تندة",6,
"تشوينات",4,
"مشاتل",2,
"رسو مراكب",6,
"مباني",3,
"عشش",1,
"كشك (تجاري/صناعي)",20,
"مواسير صرف صحي (&lt;1م)",16,
"مواسير صرف صحي (&gt;1م)",18,
0))))</f>
        <v>592</v>
      </c>
      <c r="AD206" s="1">
        <f t="shared" ca="1" si="24"/>
        <v>55</v>
      </c>
    </row>
    <row r="207" spans="1:30" ht="18.75" x14ac:dyDescent="0.25">
      <c r="A207" s="37">
        <v>179</v>
      </c>
      <c r="B207" s="3">
        <v>68</v>
      </c>
      <c r="C207" s="3">
        <v>2016</v>
      </c>
      <c r="D207" s="7">
        <v>42449</v>
      </c>
      <c r="E207" s="11"/>
      <c r="F207" s="3"/>
      <c r="G207" s="3" t="s">
        <v>301</v>
      </c>
      <c r="H207" s="6"/>
      <c r="I207" s="6" t="s">
        <v>211</v>
      </c>
      <c r="J207" s="3" t="s">
        <v>145</v>
      </c>
      <c r="K207" s="6"/>
      <c r="L207" s="3" t="s">
        <v>368</v>
      </c>
      <c r="M207" s="7"/>
      <c r="N207" s="6"/>
      <c r="O207" s="9">
        <f>0.47*Table2[[#This Row],[قيمة المحضر]]</f>
        <v>0</v>
      </c>
      <c r="P207" s="9">
        <f>0.17*Table2[[#This Row],[قيمة المحضر]]</f>
        <v>0</v>
      </c>
      <c r="Q207" s="9">
        <f t="shared" ca="1" si="18"/>
        <v>0</v>
      </c>
      <c r="R207" s="3"/>
      <c r="S207" s="3"/>
      <c r="T207" s="9" t="str">
        <f t="shared" si="19"/>
        <v>-</v>
      </c>
      <c r="U207" s="3" t="s">
        <v>25</v>
      </c>
      <c r="V207" s="9" t="str">
        <f t="shared" si="20"/>
        <v>-</v>
      </c>
      <c r="W207" s="4"/>
      <c r="X207" s="38"/>
      <c r="Y207" s="1">
        <f t="shared" ca="1" si="23"/>
        <v>46162</v>
      </c>
      <c r="Z207" s="1" cm="1">
        <f t="array" ref="Z207">IF(D207&gt;DATE(2015,5,16),0,
K207*
(
INT((MIN(Y207,DATE(2015,5,16))-D207)/365)
+
CEILING(MOD((MIN(Y207,DATE(2015,5,16))-D207)/365,1),0.25)
)
*
_xlfn.SWITCH(J207,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07" s="1" cm="1">
        <f t="array" aca="1" ref="AA207" ca="1">IF(Y207&lt;DATE(2015,5,17),0,
K207*
(
INT((MIN(Y207,DATE(2018,9,23))-MAX(D207,DATE(2015,5,17)))/365)
+
CEILING(MOD((MIN(Y207,DATE(2018,9,23))-MAX(D207,DATE(2015,5,17)))/365,1),0.25)
)
*
_xlfn.SWITCH(J207,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07" s="1" cm="1">
        <f t="array" aca="1" ref="AB207" ca="1">IF(Y207&lt;DATE(2018,9,24),0,
IF(J207="زراعة",
K207*
(
INT((MIN(Y207,DATE(2023,4,30))-MAX(D207,DATE(2018,9,24)))/365)
+
CEILING(MOD((MIN(Y207,DATE(2023,4,30))-MAX(D207,DATE(2018,9,24)))/365,1),0.25)
)
*1,
K207*
(
DATEDIF(MAX(D207,DATE(2018,9,24)),MIN(Y207,DATE(2023,4,30)),"m")+1
)
*
_xlfn.SWITCH(J207,
"موقف/تندة",IF(D207&lt;DATE(2019,11,30),6,30),
"تشوينات",IF(D207&lt;DATE(2019,11,30),4,20),
"مشاتل",IF(D207&lt;DATE(2019,11,30),2,10),
"كافيتيريا",IF(D207&lt;DATE(2019,11,30),30,150),
"نوادي",IF(D207&lt;DATE(2019,11,30),6,30),
"رسو مراكب",IF(D207&lt;DATE(2019,11,30),2,10),
"مباني",IF(D207&lt;DATE(2018,9,24),2,10),
"عشش",IF(D207&lt;DATE(2019,11,30),2,10),
"كشك (تجاري/صناعي)",IF(D207&lt;DATE(2019,11,30),10,50),
"ردم",20,
0)))</f>
        <v>0</v>
      </c>
      <c r="AC207" s="1" cm="1">
        <f t="array" aca="1" ref="AC207" ca="1">IF(Y207&lt;DATE(2023,5,1),0,
IF(J207="زراعة",
K207*
(
INT((Y207-MAX(DATE(2023,5,1),D207))/365)
+
CEILING(MOD((Y207-MAX(DATE(2023,5,1),D207))/365,1),0.25)
)
*3,
IF(J207="ردم",
K207*20,
K207*
(
DATEDIF(MAX(DATE(2023,5,1),D207),Y207,"m")+1
)
*
_xlfn.SWITCH(J207,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07" s="1">
        <f t="shared" ca="1" si="24"/>
        <v>55</v>
      </c>
    </row>
    <row r="208" spans="1:30" ht="18.75" x14ac:dyDescent="0.25">
      <c r="A208" s="37">
        <v>180</v>
      </c>
      <c r="B208" s="3">
        <v>69</v>
      </c>
      <c r="C208" s="3">
        <v>2016</v>
      </c>
      <c r="D208" s="7">
        <v>42449</v>
      </c>
      <c r="E208" s="11"/>
      <c r="F208" s="3"/>
      <c r="G208" s="3" t="s">
        <v>302</v>
      </c>
      <c r="H208" s="6"/>
      <c r="I208" s="6" t="s">
        <v>192</v>
      </c>
      <c r="J208" s="3" t="s">
        <v>29</v>
      </c>
      <c r="K208" s="6">
        <v>9</v>
      </c>
      <c r="L208" s="3" t="s">
        <v>369</v>
      </c>
      <c r="M208" s="7"/>
      <c r="N208" s="6"/>
      <c r="O208" s="9">
        <f>0.47*Table2[[#This Row],[قيمة المحضر]]</f>
        <v>0</v>
      </c>
      <c r="P208" s="9">
        <f>0.17*Table2[[#This Row],[قيمة المحضر]]</f>
        <v>0</v>
      </c>
      <c r="Q208" s="9">
        <f t="shared" ca="1" si="18"/>
        <v>14670</v>
      </c>
      <c r="R208" s="3"/>
      <c r="S208" s="3"/>
      <c r="T208" s="9" t="str">
        <f t="shared" si="19"/>
        <v>-</v>
      </c>
      <c r="U208" s="3" t="s">
        <v>25</v>
      </c>
      <c r="V208" s="9" t="str">
        <f t="shared" si="20"/>
        <v>-</v>
      </c>
      <c r="W208" s="4"/>
      <c r="X208" s="38"/>
      <c r="Y208" s="1">
        <f t="shared" ca="1" si="23"/>
        <v>46162</v>
      </c>
      <c r="Z208" s="1" cm="1">
        <f t="array" ref="Z208">IF(D208&gt;DATE(2015,5,16),0,
K208*
(
INT((MIN(Y208,DATE(2015,5,16))-D208)/365)
+
CEILING(MOD((MIN(Y208,DATE(2015,5,16))-D208)/365,1),0.25)
)
*
_xlfn.SWITCH(J208,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08" s="1" cm="1">
        <f t="array" aca="1" ref="AA208" ca="1">IF(Y208&lt;DATE(2015,5,17),0,
K208*
(
INT((MIN(Y208,DATE(2018,9,23))-MAX(D208,DATE(2015,5,17)))/365)
+
CEILING(MOD((MIN(Y208,DATE(2018,9,23))-MAX(D208,DATE(2015,5,17)))/365,1),0.25)
)
*
_xlfn.SWITCH(J208,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2970</v>
      </c>
      <c r="AB208" s="1" cm="1">
        <f t="array" aca="1" ref="AB208" ca="1">IF(Y208&lt;DATE(2018,9,24),0,
IF(J208="زراعة",
K208*
(
INT((MIN(Y208,DATE(2023,4,30))-MAX(D208,DATE(2018,9,24)))/365)
+
CEILING(MOD((MIN(Y208,DATE(2023,4,30))-MAX(D208,DATE(2018,9,24)))/365,1),0.25)
)
*1,
K208*
(
DATEDIF(MAX(D208,DATE(2018,9,24)),MIN(Y208,DATE(2023,4,30)),"m")+1
)
*
_xlfn.SWITCH(J208,
"موقف/تندة",IF(D208&lt;DATE(2019,11,30),6,30),
"تشوينات",IF(D208&lt;DATE(2019,11,30),4,20),
"مشاتل",IF(D208&lt;DATE(2019,11,30),2,10),
"كافيتيريا",IF(D208&lt;DATE(2019,11,30),30,150),
"نوادي",IF(D208&lt;DATE(2019,11,30),6,30),
"رسو مراكب",IF(D208&lt;DATE(2019,11,30),2,10),
"مباني",IF(D208&lt;DATE(2018,9,24),2,10),
"عشش",IF(D208&lt;DATE(2019,11,30),2,10),
"كشك (تجاري/صناعي)",IF(D208&lt;DATE(2019,11,30),10,50),
"ردم",20,
0)))</f>
        <v>5040</v>
      </c>
      <c r="AC208" s="1" cm="1">
        <f t="array" aca="1" ref="AC208" ca="1">IF(Y208&lt;DATE(2023,5,1),0,
IF(J208="زراعة",
K208*
(
INT((Y208-MAX(DATE(2023,5,1),D208))/365)
+
CEILING(MOD((Y208-MAX(DATE(2023,5,1),D208))/365,1),0.25)
)
*3,
IF(J208="ردم",
K208*20,
K208*
(
DATEDIF(MAX(DATE(2023,5,1),D208),Y208,"m")+1
)
*
_xlfn.SWITCH(J208,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208" s="1">
        <f t="shared" ca="1" si="24"/>
        <v>55</v>
      </c>
    </row>
    <row r="209" spans="1:30" ht="18.75" x14ac:dyDescent="0.25">
      <c r="A209" s="37">
        <v>181</v>
      </c>
      <c r="B209" s="3">
        <v>70</v>
      </c>
      <c r="C209" s="3">
        <v>2016</v>
      </c>
      <c r="D209" s="7">
        <v>42449</v>
      </c>
      <c r="E209" s="11"/>
      <c r="F209" s="3"/>
      <c r="G209" s="3" t="s">
        <v>303</v>
      </c>
      <c r="H209" s="6"/>
      <c r="I209" s="6" t="s">
        <v>192</v>
      </c>
      <c r="J209" s="3" t="s">
        <v>29</v>
      </c>
      <c r="K209" s="6">
        <v>24</v>
      </c>
      <c r="L209" s="3" t="s">
        <v>369</v>
      </c>
      <c r="M209" s="7"/>
      <c r="N209" s="6"/>
      <c r="O209" s="9">
        <f>0.47*Table2[[#This Row],[قيمة المحضر]]</f>
        <v>0</v>
      </c>
      <c r="P209" s="9">
        <f>0.17*Table2[[#This Row],[قيمة المحضر]]</f>
        <v>0</v>
      </c>
      <c r="Q209" s="9">
        <f t="shared" ca="1" si="18"/>
        <v>39120</v>
      </c>
      <c r="R209" s="3"/>
      <c r="S209" s="3"/>
      <c r="T209" s="9" t="str">
        <f t="shared" si="19"/>
        <v>-</v>
      </c>
      <c r="U209" s="3" t="s">
        <v>25</v>
      </c>
      <c r="V209" s="9" t="str">
        <f t="shared" si="20"/>
        <v>-</v>
      </c>
      <c r="W209" s="4"/>
      <c r="X209" s="38"/>
      <c r="Y209" s="1">
        <f t="shared" ca="1" si="23"/>
        <v>46162</v>
      </c>
      <c r="Z209" s="1" cm="1">
        <f t="array" ref="Z209">IF(D209&gt;DATE(2015,5,16),0,
K209*
(
INT((MIN(Y209,DATE(2015,5,16))-D209)/365)
+
CEILING(MOD((MIN(Y209,DATE(2015,5,16))-D209)/365,1),0.25)
)
*
_xlfn.SWITCH(J209,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09" s="1" cm="1">
        <f t="array" aca="1" ref="AA209" ca="1">IF(Y209&lt;DATE(2015,5,17),0,
K209*
(
INT((MIN(Y209,DATE(2018,9,23))-MAX(D209,DATE(2015,5,17)))/365)
+
CEILING(MOD((MIN(Y209,DATE(2018,9,23))-MAX(D209,DATE(2015,5,17)))/365,1),0.25)
)
*
_xlfn.SWITCH(J209,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7920</v>
      </c>
      <c r="AB209" s="1" cm="1">
        <f t="array" aca="1" ref="AB209" ca="1">IF(Y209&lt;DATE(2018,9,24),0,
IF(J209="زراعة",
K209*
(
INT((MIN(Y209,DATE(2023,4,30))-MAX(D209,DATE(2018,9,24)))/365)
+
CEILING(MOD((MIN(Y209,DATE(2023,4,30))-MAX(D209,DATE(2018,9,24)))/365,1),0.25)
)
*1,
K209*
(
DATEDIF(MAX(D209,DATE(2018,9,24)),MIN(Y209,DATE(2023,4,30)),"m")+1
)
*
_xlfn.SWITCH(J209,
"موقف/تندة",IF(D209&lt;DATE(2019,11,30),6,30),
"تشوينات",IF(D209&lt;DATE(2019,11,30),4,20),
"مشاتل",IF(D209&lt;DATE(2019,11,30),2,10),
"كافيتيريا",IF(D209&lt;DATE(2019,11,30),30,150),
"نوادي",IF(D209&lt;DATE(2019,11,30),6,30),
"رسو مراكب",IF(D209&lt;DATE(2019,11,30),2,10),
"مباني",IF(D209&lt;DATE(2018,9,24),2,10),
"عشش",IF(D209&lt;DATE(2019,11,30),2,10),
"كشك (تجاري/صناعي)",IF(D209&lt;DATE(2019,11,30),10,50),
"ردم",20,
0)))</f>
        <v>13440</v>
      </c>
      <c r="AC209" s="1" cm="1">
        <f t="array" aca="1" ref="AC209" ca="1">IF(Y209&lt;DATE(2023,5,1),0,
IF(J209="زراعة",
K209*
(
INT((Y209-MAX(DATE(2023,5,1),D209))/365)
+
CEILING(MOD((Y209-MAX(DATE(2023,5,1),D209))/365,1),0.25)
)
*3,
IF(J209="ردم",
K209*20,
K209*
(
DATEDIF(MAX(DATE(2023,5,1),D209),Y209,"m")+1
)
*
_xlfn.SWITCH(J209,
"موقف/تندة",6,
"تشوينات",4,
"مشاتل",2,
"رسو مراكب",6,
"مباني",3,
"عشش",1,
"كشك (تجاري/صناعي)",20,
"مواسير صرف صحي (&lt;1م)",16,
"مواسير صرف صحي (&gt;1م)",18,
0))))</f>
        <v>17760</v>
      </c>
      <c r="AD209" s="1">
        <f t="shared" ca="1" si="24"/>
        <v>55</v>
      </c>
    </row>
    <row r="210" spans="1:30" ht="18.75" x14ac:dyDescent="0.25">
      <c r="A210" s="37">
        <v>182</v>
      </c>
      <c r="B210" s="3">
        <v>71</v>
      </c>
      <c r="C210" s="3">
        <v>2016</v>
      </c>
      <c r="D210" s="7">
        <v>42449</v>
      </c>
      <c r="E210" s="11"/>
      <c r="F210" s="3"/>
      <c r="G210" s="3" t="s">
        <v>304</v>
      </c>
      <c r="H210" s="6"/>
      <c r="I210" s="6" t="s">
        <v>192</v>
      </c>
      <c r="J210" s="3" t="s">
        <v>29</v>
      </c>
      <c r="K210" s="6">
        <v>12</v>
      </c>
      <c r="L210" s="3" t="s">
        <v>369</v>
      </c>
      <c r="M210" s="7"/>
      <c r="N210" s="6"/>
      <c r="O210" s="9">
        <f>0.47*Table2[[#This Row],[قيمة المحضر]]</f>
        <v>0</v>
      </c>
      <c r="P210" s="9">
        <f>0.17*Table2[[#This Row],[قيمة المحضر]]</f>
        <v>0</v>
      </c>
      <c r="Q210" s="9">
        <f t="shared" ca="1" si="18"/>
        <v>19560</v>
      </c>
      <c r="R210" s="3"/>
      <c r="S210" s="3"/>
      <c r="T210" s="9" t="str">
        <f t="shared" si="19"/>
        <v>-</v>
      </c>
      <c r="U210" s="3" t="s">
        <v>25</v>
      </c>
      <c r="V210" s="9" t="str">
        <f t="shared" si="20"/>
        <v>-</v>
      </c>
      <c r="W210" s="4"/>
      <c r="X210" s="38"/>
      <c r="Y210" s="1">
        <f t="shared" ca="1" si="23"/>
        <v>46162</v>
      </c>
      <c r="Z210" s="1" cm="1">
        <f t="array" ref="Z210">IF(D210&gt;DATE(2015,5,16),0,
K210*
(
INT((MIN(Y210,DATE(2015,5,16))-D210)/365)
+
CEILING(MOD((MIN(Y210,DATE(2015,5,16))-D210)/365,1),0.25)
)
*
_xlfn.SWITCH(J210,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10" s="1" cm="1">
        <f t="array" aca="1" ref="AA210" ca="1">IF(Y210&lt;DATE(2015,5,17),0,
K210*
(
INT((MIN(Y210,DATE(2018,9,23))-MAX(D210,DATE(2015,5,17)))/365)
+
CEILING(MOD((MIN(Y210,DATE(2018,9,23))-MAX(D210,DATE(2015,5,17)))/365,1),0.25)
)
*
_xlfn.SWITCH(J210,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3960</v>
      </c>
      <c r="AB210" s="1" cm="1">
        <f t="array" aca="1" ref="AB210" ca="1">IF(Y210&lt;DATE(2018,9,24),0,
IF(J210="زراعة",
K210*
(
INT((MIN(Y210,DATE(2023,4,30))-MAX(D210,DATE(2018,9,24)))/365)
+
CEILING(MOD((MIN(Y210,DATE(2023,4,30))-MAX(D210,DATE(2018,9,24)))/365,1),0.25)
)
*1,
K210*
(
DATEDIF(MAX(D210,DATE(2018,9,24)),MIN(Y210,DATE(2023,4,30)),"m")+1
)
*
_xlfn.SWITCH(J210,
"موقف/تندة",IF(D210&lt;DATE(2019,11,30),6,30),
"تشوينات",IF(D210&lt;DATE(2019,11,30),4,20),
"مشاتل",IF(D210&lt;DATE(2019,11,30),2,10),
"كافيتيريا",IF(D210&lt;DATE(2019,11,30),30,150),
"نوادي",IF(D210&lt;DATE(2019,11,30),6,30),
"رسو مراكب",IF(D210&lt;DATE(2019,11,30),2,10),
"مباني",IF(D210&lt;DATE(2018,9,24),2,10),
"عشش",IF(D210&lt;DATE(2019,11,30),2,10),
"كشك (تجاري/صناعي)",IF(D210&lt;DATE(2019,11,30),10,50),
"ردم",20,
0)))</f>
        <v>6720</v>
      </c>
      <c r="AC210" s="1" cm="1">
        <f t="array" aca="1" ref="AC210" ca="1">IF(Y210&lt;DATE(2023,5,1),0,
IF(J210="زراعة",
K210*
(
INT((Y210-MAX(DATE(2023,5,1),D210))/365)
+
CEILING(MOD((Y210-MAX(DATE(2023,5,1),D210))/365,1),0.25)
)
*3,
IF(J210="ردم",
K210*20,
K210*
(
DATEDIF(MAX(DATE(2023,5,1),D210),Y210,"m")+1
)
*
_xlfn.SWITCH(J210,
"موقف/تندة",6,
"تشوينات",4,
"مشاتل",2,
"رسو مراكب",6,
"مباني",3,
"عشش",1,
"كشك (تجاري/صناعي)",20,
"مواسير صرف صحي (&lt;1م)",16,
"مواسير صرف صحي (&gt;1م)",18,
0))))</f>
        <v>8880</v>
      </c>
      <c r="AD210" s="1">
        <f t="shared" ca="1" si="24"/>
        <v>55</v>
      </c>
    </row>
    <row r="211" spans="1:30" ht="18.75" x14ac:dyDescent="0.25">
      <c r="A211" s="37">
        <v>183</v>
      </c>
      <c r="B211" s="3">
        <v>72</v>
      </c>
      <c r="C211" s="3">
        <v>2016</v>
      </c>
      <c r="D211" s="7">
        <v>42449</v>
      </c>
      <c r="E211" s="11"/>
      <c r="F211" s="3"/>
      <c r="G211" s="3" t="s">
        <v>305</v>
      </c>
      <c r="H211" s="6"/>
      <c r="I211" s="6" t="s">
        <v>192</v>
      </c>
      <c r="J211" s="3" t="s">
        <v>29</v>
      </c>
      <c r="K211" s="6">
        <v>9</v>
      </c>
      <c r="L211" s="3" t="s">
        <v>369</v>
      </c>
      <c r="M211" s="7"/>
      <c r="N211" s="6"/>
      <c r="O211" s="9">
        <f>0.47*Table2[[#This Row],[قيمة المحضر]]</f>
        <v>0</v>
      </c>
      <c r="P211" s="9">
        <f>0.17*Table2[[#This Row],[قيمة المحضر]]</f>
        <v>0</v>
      </c>
      <c r="Q211" s="9">
        <f t="shared" ca="1" si="18"/>
        <v>14670</v>
      </c>
      <c r="R211" s="3"/>
      <c r="S211" s="3"/>
      <c r="T211" s="9" t="str">
        <f t="shared" si="19"/>
        <v>-</v>
      </c>
      <c r="U211" s="3" t="s">
        <v>25</v>
      </c>
      <c r="V211" s="9" t="str">
        <f t="shared" si="20"/>
        <v>-</v>
      </c>
      <c r="W211" s="4"/>
      <c r="X211" s="38"/>
      <c r="Y211" s="1">
        <f t="shared" ca="1" si="23"/>
        <v>46162</v>
      </c>
      <c r="Z211" s="1" cm="1">
        <f t="array" ref="Z211">IF(D211&gt;DATE(2015,5,16),0,
K211*
(
INT((MIN(Y211,DATE(2015,5,16))-D211)/365)
+
CEILING(MOD((MIN(Y211,DATE(2015,5,16))-D211)/365,1),0.25)
)
*
_xlfn.SWITCH(J211,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11" s="1" cm="1">
        <f t="array" aca="1" ref="AA211" ca="1">IF(Y211&lt;DATE(2015,5,17),0,
K211*
(
INT((MIN(Y211,DATE(2018,9,23))-MAX(D211,DATE(2015,5,17)))/365)
+
CEILING(MOD((MIN(Y211,DATE(2018,9,23))-MAX(D211,DATE(2015,5,17)))/365,1),0.25)
)
*
_xlfn.SWITCH(J211,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2970</v>
      </c>
      <c r="AB211" s="1" cm="1">
        <f t="array" aca="1" ref="AB211" ca="1">IF(Y211&lt;DATE(2018,9,24),0,
IF(J211="زراعة",
K211*
(
INT((MIN(Y211,DATE(2023,4,30))-MAX(D211,DATE(2018,9,24)))/365)
+
CEILING(MOD((MIN(Y211,DATE(2023,4,30))-MAX(D211,DATE(2018,9,24)))/365,1),0.25)
)
*1,
K211*
(
DATEDIF(MAX(D211,DATE(2018,9,24)),MIN(Y211,DATE(2023,4,30)),"m")+1
)
*
_xlfn.SWITCH(J211,
"موقف/تندة",IF(D211&lt;DATE(2019,11,30),6,30),
"تشوينات",IF(D211&lt;DATE(2019,11,30),4,20),
"مشاتل",IF(D211&lt;DATE(2019,11,30),2,10),
"كافيتيريا",IF(D211&lt;DATE(2019,11,30),30,150),
"نوادي",IF(D211&lt;DATE(2019,11,30),6,30),
"رسو مراكب",IF(D211&lt;DATE(2019,11,30),2,10),
"مباني",IF(D211&lt;DATE(2018,9,24),2,10),
"عشش",IF(D211&lt;DATE(2019,11,30),2,10),
"كشك (تجاري/صناعي)",IF(D211&lt;DATE(2019,11,30),10,50),
"ردم",20,
0)))</f>
        <v>5040</v>
      </c>
      <c r="AC211" s="1" cm="1">
        <f t="array" aca="1" ref="AC211" ca="1">IF(Y211&lt;DATE(2023,5,1),0,
IF(J211="زراعة",
K211*
(
INT((Y211-MAX(DATE(2023,5,1),D211))/365)
+
CEILING(MOD((Y211-MAX(DATE(2023,5,1),D211))/365,1),0.25)
)
*3,
IF(J211="ردم",
K211*20,
K211*
(
DATEDIF(MAX(DATE(2023,5,1),D211),Y211,"m")+1
)
*
_xlfn.SWITCH(J211,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211" s="1">
        <f t="shared" ca="1" si="24"/>
        <v>55</v>
      </c>
    </row>
    <row r="212" spans="1:30" ht="18.75" x14ac:dyDescent="0.25">
      <c r="A212" s="37">
        <v>184</v>
      </c>
      <c r="B212" s="3">
        <v>73</v>
      </c>
      <c r="C212" s="3">
        <v>2016</v>
      </c>
      <c r="D212" s="7">
        <v>42449</v>
      </c>
      <c r="E212" s="11"/>
      <c r="F212" s="3"/>
      <c r="G212" s="3" t="s">
        <v>306</v>
      </c>
      <c r="H212" s="6"/>
      <c r="I212" s="6" t="s">
        <v>192</v>
      </c>
      <c r="J212" s="3" t="s">
        <v>29</v>
      </c>
      <c r="K212" s="6">
        <v>9</v>
      </c>
      <c r="L212" s="3" t="s">
        <v>369</v>
      </c>
      <c r="M212" s="7"/>
      <c r="N212" s="6"/>
      <c r="O212" s="9">
        <f>0.47*Table2[[#This Row],[قيمة المحضر]]</f>
        <v>0</v>
      </c>
      <c r="P212" s="9">
        <f>0.17*Table2[[#This Row],[قيمة المحضر]]</f>
        <v>0</v>
      </c>
      <c r="Q212" s="9">
        <f t="shared" ca="1" si="18"/>
        <v>14670</v>
      </c>
      <c r="R212" s="3"/>
      <c r="S212" s="3"/>
      <c r="T212" s="9" t="str">
        <f t="shared" si="19"/>
        <v>-</v>
      </c>
      <c r="U212" s="3" t="s">
        <v>25</v>
      </c>
      <c r="V212" s="9" t="str">
        <f t="shared" si="20"/>
        <v>-</v>
      </c>
      <c r="W212" s="4"/>
      <c r="X212" s="38"/>
      <c r="Y212" s="1">
        <f t="shared" ca="1" si="23"/>
        <v>46162</v>
      </c>
      <c r="Z212" s="1" cm="1">
        <f t="array" ref="Z212">IF(D212&gt;DATE(2015,5,16),0,
K212*
(
INT((MIN(Y212,DATE(2015,5,16))-D212)/365)
+
CEILING(MOD((MIN(Y212,DATE(2015,5,16))-D212)/365,1),0.25)
)
*
_xlfn.SWITCH(J212,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12" s="1" cm="1">
        <f t="array" aca="1" ref="AA212" ca="1">IF(Y212&lt;DATE(2015,5,17),0,
K212*
(
INT((MIN(Y212,DATE(2018,9,23))-MAX(D212,DATE(2015,5,17)))/365)
+
CEILING(MOD((MIN(Y212,DATE(2018,9,23))-MAX(D212,DATE(2015,5,17)))/365,1),0.25)
)
*
_xlfn.SWITCH(J212,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2970</v>
      </c>
      <c r="AB212" s="1" cm="1">
        <f t="array" aca="1" ref="AB212" ca="1">IF(Y212&lt;DATE(2018,9,24),0,
IF(J212="زراعة",
K212*
(
INT((MIN(Y212,DATE(2023,4,30))-MAX(D212,DATE(2018,9,24)))/365)
+
CEILING(MOD((MIN(Y212,DATE(2023,4,30))-MAX(D212,DATE(2018,9,24)))/365,1),0.25)
)
*1,
K212*
(
DATEDIF(MAX(D212,DATE(2018,9,24)),MIN(Y212,DATE(2023,4,30)),"m")+1
)
*
_xlfn.SWITCH(J212,
"موقف/تندة",IF(D212&lt;DATE(2019,11,30),6,30),
"تشوينات",IF(D212&lt;DATE(2019,11,30),4,20),
"مشاتل",IF(D212&lt;DATE(2019,11,30),2,10),
"كافيتيريا",IF(D212&lt;DATE(2019,11,30),30,150),
"نوادي",IF(D212&lt;DATE(2019,11,30),6,30),
"رسو مراكب",IF(D212&lt;DATE(2019,11,30),2,10),
"مباني",IF(D212&lt;DATE(2018,9,24),2,10),
"عشش",IF(D212&lt;DATE(2019,11,30),2,10),
"كشك (تجاري/صناعي)",IF(D212&lt;DATE(2019,11,30),10,50),
"ردم",20,
0)))</f>
        <v>5040</v>
      </c>
      <c r="AC212" s="1" cm="1">
        <f t="array" aca="1" ref="AC212" ca="1">IF(Y212&lt;DATE(2023,5,1),0,
IF(J212="زراعة",
K212*
(
INT((Y212-MAX(DATE(2023,5,1),D212))/365)
+
CEILING(MOD((Y212-MAX(DATE(2023,5,1),D212))/365,1),0.25)
)
*3,
IF(J212="ردم",
K212*20,
K212*
(
DATEDIF(MAX(DATE(2023,5,1),D212),Y212,"m")+1
)
*
_xlfn.SWITCH(J212,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212" s="1">
        <f t="shared" ca="1" si="24"/>
        <v>55</v>
      </c>
    </row>
    <row r="213" spans="1:30" ht="18.75" x14ac:dyDescent="0.25">
      <c r="A213" s="37">
        <v>185</v>
      </c>
      <c r="B213" s="3">
        <v>74</v>
      </c>
      <c r="C213" s="3">
        <v>2016</v>
      </c>
      <c r="D213" s="7">
        <v>42449</v>
      </c>
      <c r="E213" s="11"/>
      <c r="F213" s="3"/>
      <c r="G213" s="3" t="s">
        <v>307</v>
      </c>
      <c r="H213" s="6"/>
      <c r="I213" s="6" t="s">
        <v>192</v>
      </c>
      <c r="J213" s="3" t="s">
        <v>29</v>
      </c>
      <c r="K213" s="6">
        <v>24</v>
      </c>
      <c r="L213" s="3" t="s">
        <v>369</v>
      </c>
      <c r="M213" s="7"/>
      <c r="N213" s="6"/>
      <c r="O213" s="9">
        <f>0.47*Table2[[#This Row],[قيمة المحضر]]</f>
        <v>0</v>
      </c>
      <c r="P213" s="9">
        <f>0.17*Table2[[#This Row],[قيمة المحضر]]</f>
        <v>0</v>
      </c>
      <c r="Q213" s="9">
        <f t="shared" ca="1" si="18"/>
        <v>39120</v>
      </c>
      <c r="R213" s="3"/>
      <c r="S213" s="3"/>
      <c r="T213" s="9" t="str">
        <f t="shared" si="19"/>
        <v>-</v>
      </c>
      <c r="U213" s="3" t="s">
        <v>25</v>
      </c>
      <c r="V213" s="9" t="str">
        <f t="shared" si="20"/>
        <v>-</v>
      </c>
      <c r="W213" s="4"/>
      <c r="X213" s="38"/>
      <c r="Y213" s="1">
        <f t="shared" ca="1" si="23"/>
        <v>46162</v>
      </c>
      <c r="Z213" s="1" cm="1">
        <f t="array" ref="Z213">IF(D213&gt;DATE(2015,5,16),0,
K213*
(
INT((MIN(Y213,DATE(2015,5,16))-D213)/365)
+
CEILING(MOD((MIN(Y213,DATE(2015,5,16))-D213)/365,1),0.25)
)
*
_xlfn.SWITCH(J213,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13" s="1" cm="1">
        <f t="array" aca="1" ref="AA213" ca="1">IF(Y213&lt;DATE(2015,5,17),0,
K213*
(
INT((MIN(Y213,DATE(2018,9,23))-MAX(D213,DATE(2015,5,17)))/365)
+
CEILING(MOD((MIN(Y213,DATE(2018,9,23))-MAX(D213,DATE(2015,5,17)))/365,1),0.25)
)
*
_xlfn.SWITCH(J213,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7920</v>
      </c>
      <c r="AB213" s="1" cm="1">
        <f t="array" aca="1" ref="AB213" ca="1">IF(Y213&lt;DATE(2018,9,24),0,
IF(J213="زراعة",
K213*
(
INT((MIN(Y213,DATE(2023,4,30))-MAX(D213,DATE(2018,9,24)))/365)
+
CEILING(MOD((MIN(Y213,DATE(2023,4,30))-MAX(D213,DATE(2018,9,24)))/365,1),0.25)
)
*1,
K213*
(
DATEDIF(MAX(D213,DATE(2018,9,24)),MIN(Y213,DATE(2023,4,30)),"m")+1
)
*
_xlfn.SWITCH(J213,
"موقف/تندة",IF(D213&lt;DATE(2019,11,30),6,30),
"تشوينات",IF(D213&lt;DATE(2019,11,30),4,20),
"مشاتل",IF(D213&lt;DATE(2019,11,30),2,10),
"كافيتيريا",IF(D213&lt;DATE(2019,11,30),30,150),
"نوادي",IF(D213&lt;DATE(2019,11,30),6,30),
"رسو مراكب",IF(D213&lt;DATE(2019,11,30),2,10),
"مباني",IF(D213&lt;DATE(2018,9,24),2,10),
"عشش",IF(D213&lt;DATE(2019,11,30),2,10),
"كشك (تجاري/صناعي)",IF(D213&lt;DATE(2019,11,30),10,50),
"ردم",20,
0)))</f>
        <v>13440</v>
      </c>
      <c r="AC213" s="1" cm="1">
        <f t="array" aca="1" ref="AC213" ca="1">IF(Y213&lt;DATE(2023,5,1),0,
IF(J213="زراعة",
K213*
(
INT((Y213-MAX(DATE(2023,5,1),D213))/365)
+
CEILING(MOD((Y213-MAX(DATE(2023,5,1),D213))/365,1),0.25)
)
*3,
IF(J213="ردم",
K213*20,
K213*
(
DATEDIF(MAX(DATE(2023,5,1),D213),Y213,"m")+1
)
*
_xlfn.SWITCH(J213,
"موقف/تندة",6,
"تشوينات",4,
"مشاتل",2,
"رسو مراكب",6,
"مباني",3,
"عشش",1,
"كشك (تجاري/صناعي)",20,
"مواسير صرف صحي (&lt;1م)",16,
"مواسير صرف صحي (&gt;1م)",18,
0))))</f>
        <v>17760</v>
      </c>
      <c r="AD213" s="1">
        <f t="shared" ca="1" si="24"/>
        <v>55</v>
      </c>
    </row>
    <row r="214" spans="1:30" ht="18.75" x14ac:dyDescent="0.25">
      <c r="A214" s="37">
        <v>186</v>
      </c>
      <c r="B214" s="3">
        <v>75</v>
      </c>
      <c r="C214" s="3">
        <v>2016</v>
      </c>
      <c r="D214" s="7">
        <v>42449</v>
      </c>
      <c r="E214" s="11"/>
      <c r="F214" s="3"/>
      <c r="G214" s="3" t="s">
        <v>308</v>
      </c>
      <c r="H214" s="6"/>
      <c r="I214" s="6" t="s">
        <v>33</v>
      </c>
      <c r="J214" s="3" t="s">
        <v>106</v>
      </c>
      <c r="K214" s="6"/>
      <c r="L214" s="3" t="s">
        <v>88</v>
      </c>
      <c r="M214" s="7"/>
      <c r="N214" s="6"/>
      <c r="O214" s="9">
        <f>0.47*Table2[[#This Row],[قيمة المحضر]]</f>
        <v>0</v>
      </c>
      <c r="P214" s="9">
        <f>0.17*Table2[[#This Row],[قيمة المحضر]]</f>
        <v>0</v>
      </c>
      <c r="Q214" s="9">
        <f t="shared" ca="1" si="18"/>
        <v>0</v>
      </c>
      <c r="R214" s="3"/>
      <c r="S214" s="3"/>
      <c r="T214" s="9" t="str">
        <f t="shared" si="19"/>
        <v>-</v>
      </c>
      <c r="U214" s="3" t="s">
        <v>25</v>
      </c>
      <c r="V214" s="9" t="str">
        <f t="shared" si="20"/>
        <v>-</v>
      </c>
      <c r="W214" s="4"/>
      <c r="X214" s="38"/>
      <c r="Y214" s="1">
        <f t="shared" ca="1" si="23"/>
        <v>46162</v>
      </c>
      <c r="Z214" s="1" cm="1">
        <f t="array" ref="Z214">IF(D214&gt;DATE(2015,5,16),0,
K214*
(
INT((MIN(Y214,DATE(2015,5,16))-D214)/365)
+
CEILING(MOD((MIN(Y214,DATE(2015,5,16))-D214)/365,1),0.25)
)
*
_xlfn.SWITCH(J214,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14" s="1" cm="1">
        <f t="array" aca="1" ref="AA214" ca="1">IF(Y214&lt;DATE(2015,5,17),0,
K214*
(
INT((MIN(Y214,DATE(2018,9,23))-MAX(D214,DATE(2015,5,17)))/365)
+
CEILING(MOD((MIN(Y214,DATE(2018,9,23))-MAX(D214,DATE(2015,5,17)))/365,1),0.25)
)
*
_xlfn.SWITCH(J214,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14" s="1" cm="1">
        <f t="array" aca="1" ref="AB214" ca="1">IF(Y214&lt;DATE(2018,9,24),0,
IF(J214="زراعة",
K214*
(
INT((MIN(Y214,DATE(2023,4,30))-MAX(D214,DATE(2018,9,24)))/365)
+
CEILING(MOD((MIN(Y214,DATE(2023,4,30))-MAX(D214,DATE(2018,9,24)))/365,1),0.25)
)
*1,
K214*
(
DATEDIF(MAX(D214,DATE(2018,9,24)),MIN(Y214,DATE(2023,4,30)),"m")+1
)
*
_xlfn.SWITCH(J214,
"موقف/تندة",IF(D214&lt;DATE(2019,11,30),6,30),
"تشوينات",IF(D214&lt;DATE(2019,11,30),4,20),
"مشاتل",IF(D214&lt;DATE(2019,11,30),2,10),
"كافيتيريا",IF(D214&lt;DATE(2019,11,30),30,150),
"نوادي",IF(D214&lt;DATE(2019,11,30),6,30),
"رسو مراكب",IF(D214&lt;DATE(2019,11,30),2,10),
"مباني",IF(D214&lt;DATE(2018,9,24),2,10),
"عشش",IF(D214&lt;DATE(2019,11,30),2,10),
"كشك (تجاري/صناعي)",IF(D214&lt;DATE(2019,11,30),10,50),
"ردم",20,
0)))</f>
        <v>0</v>
      </c>
      <c r="AC214" s="1" cm="1">
        <f t="array" aca="1" ref="AC214" ca="1">IF(Y214&lt;DATE(2023,5,1),0,
IF(J214="زراعة",
K214*
(
INT((Y214-MAX(DATE(2023,5,1),D214))/365)
+
CEILING(MOD((Y214-MAX(DATE(2023,5,1),D214))/365,1),0.25)
)
*3,
IF(J214="ردم",
K214*20,
K214*
(
DATEDIF(MAX(DATE(2023,5,1),D214),Y214,"m")+1
)
*
_xlfn.SWITCH(J214,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14" s="1">
        <f t="shared" ca="1" si="24"/>
        <v>55</v>
      </c>
    </row>
    <row r="215" spans="1:30" ht="18.75" x14ac:dyDescent="0.25">
      <c r="A215" s="37">
        <v>186</v>
      </c>
      <c r="B215" s="3">
        <v>75</v>
      </c>
      <c r="C215" s="3">
        <v>2016</v>
      </c>
      <c r="D215" s="7">
        <v>42449</v>
      </c>
      <c r="E215" s="11"/>
      <c r="F215" s="3"/>
      <c r="G215" s="3" t="s">
        <v>309</v>
      </c>
      <c r="H215" s="6"/>
      <c r="I215" s="6" t="s">
        <v>104</v>
      </c>
      <c r="J215" s="3" t="s">
        <v>146</v>
      </c>
      <c r="K215" s="6">
        <f>35*8</f>
        <v>280</v>
      </c>
      <c r="L215" s="3" t="s">
        <v>88</v>
      </c>
      <c r="M215" s="7"/>
      <c r="N215" s="6"/>
      <c r="O215" s="9">
        <f>0.47*Table2[[#This Row],[قيمة المحضر]]</f>
        <v>0</v>
      </c>
      <c r="P215" s="9">
        <f>0.17*Table2[[#This Row],[قيمة المحضر]]</f>
        <v>0</v>
      </c>
      <c r="Q215" s="9">
        <f t="shared" ca="1" si="18"/>
        <v>4291</v>
      </c>
      <c r="R215" s="3"/>
      <c r="S215" s="3"/>
      <c r="T215" s="9" t="str">
        <f t="shared" si="19"/>
        <v>-</v>
      </c>
      <c r="U215" s="3" t="s">
        <v>25</v>
      </c>
      <c r="V215" s="9" t="str">
        <f t="shared" si="20"/>
        <v>-</v>
      </c>
      <c r="W215" s="4"/>
      <c r="X215" s="38"/>
      <c r="Y215" s="1">
        <f t="shared" ca="1" si="23"/>
        <v>46162</v>
      </c>
      <c r="Z215" s="1" cm="1">
        <f t="array" ref="Z215">IF(D215&gt;DATE(2015,5,16),0,
K215*
(
INT((MIN(Y215,DATE(2015,5,16))-D215)/365)
+
CEILING(MOD((MIN(Y215,DATE(2015,5,16))-D215)/365,1),0.25)
)
*
_xlfn.SWITCH(J215,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15" s="1" cm="1">
        <f t="array" aca="1" ref="AA215" ca="1">IF(Y215&lt;DATE(2015,5,17),0,
K215*
(
INT((MIN(Y215,DATE(2018,9,23))-MAX(D215,DATE(2015,5,17)))/365)
+
CEILING(MOD((MIN(Y215,DATE(2018,9,23))-MAX(D215,DATE(2015,5,17)))/365,1),0.25)
)
*
_xlfn.SWITCH(J215,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231</v>
      </c>
      <c r="AB215" s="1" cm="1">
        <f t="array" aca="1" ref="AB215" ca="1">IF(Y215&lt;DATE(2018,9,24),0,
IF(J215="زراعة",
K215*
(
INT((MIN(Y215,DATE(2023,4,30))-MAX(D215,DATE(2018,9,24)))/365)
+
CEILING(MOD((MIN(Y215,DATE(2023,4,30))-MAX(D215,DATE(2018,9,24)))/365,1),0.25)
)
*1,
K215*
(
DATEDIF(MAX(D215,DATE(2018,9,24)),MIN(Y215,DATE(2023,4,30)),"m")+1
)
*
_xlfn.SWITCH(J215,
"موقف/تندة",IF(D215&lt;DATE(2019,11,30),6,30),
"تشوينات",IF(D215&lt;DATE(2019,11,30),4,20),
"مشاتل",IF(D215&lt;DATE(2019,11,30),2,10),
"كافيتيريا",IF(D215&lt;DATE(2019,11,30),30,150),
"نوادي",IF(D215&lt;DATE(2019,11,30),6,30),
"رسو مراكب",IF(D215&lt;DATE(2019,11,30),2,10),
"مباني",IF(D215&lt;DATE(2018,9,24),2,10),
"عشش",IF(D215&lt;DATE(2019,11,30),2,10),
"كشك (تجاري/صناعي)",IF(D215&lt;DATE(2019,11,30),10,50),
"ردم",20,
0)))</f>
        <v>1330</v>
      </c>
      <c r="AC215" s="1" cm="1">
        <f t="array" aca="1" ref="AC215" ca="1">IF(Y215&lt;DATE(2023,5,1),0,
IF(J215="زراعة",
K215*
(
INT((Y215-MAX(DATE(2023,5,1),D215))/365)
+
CEILING(MOD((Y215-MAX(DATE(2023,5,1),D215))/365,1),0.25)
)
*3,
IF(J215="ردم",
K215*20,
K215*
(
DATEDIF(MAX(DATE(2023,5,1),D215),Y215,"m")+1
)
*
_xlfn.SWITCH(J215,
"موقف/تندة",6,
"تشوينات",4,
"مشاتل",2,
"رسو مراكب",6,
"مباني",3,
"عشش",1,
"كشك (تجاري/صناعي)",20,
"مواسير صرف صحي (&lt;1م)",16,
"مواسير صرف صحي (&gt;1م)",18,
0))))</f>
        <v>2730</v>
      </c>
      <c r="AD215" s="1">
        <f t="shared" ca="1" si="24"/>
        <v>55</v>
      </c>
    </row>
    <row r="216" spans="1:30" ht="18.75" x14ac:dyDescent="0.25">
      <c r="A216" s="37">
        <v>187</v>
      </c>
      <c r="B216" s="3">
        <v>76</v>
      </c>
      <c r="C216" s="3">
        <v>2016</v>
      </c>
      <c r="D216" s="7">
        <v>42452</v>
      </c>
      <c r="E216" s="11"/>
      <c r="F216" s="3"/>
      <c r="G216" s="3" t="s">
        <v>309</v>
      </c>
      <c r="H216" s="6"/>
      <c r="I216" s="6" t="s">
        <v>104</v>
      </c>
      <c r="J216" s="3" t="s">
        <v>77</v>
      </c>
      <c r="K216" s="6">
        <v>280</v>
      </c>
      <c r="L216" s="3" t="s">
        <v>88</v>
      </c>
      <c r="M216" s="7"/>
      <c r="N216" s="6"/>
      <c r="O216" s="9">
        <f>0.47*Table2[[#This Row],[قيمة المحضر]]</f>
        <v>0</v>
      </c>
      <c r="P216" s="9">
        <f>0.17*Table2[[#This Row],[قيمة المحضر]]</f>
        <v>0</v>
      </c>
      <c r="Q216" s="9">
        <f t="shared" ca="1" si="18"/>
        <v>334600</v>
      </c>
      <c r="R216" s="3"/>
      <c r="S216" s="3"/>
      <c r="T216" s="9" t="str">
        <f t="shared" si="19"/>
        <v>-</v>
      </c>
      <c r="U216" s="3" t="s">
        <v>25</v>
      </c>
      <c r="V216" s="9" t="str">
        <f t="shared" si="20"/>
        <v>-</v>
      </c>
      <c r="W216" s="4"/>
      <c r="X216" s="38"/>
      <c r="Y216" s="1">
        <f t="shared" ca="1" si="23"/>
        <v>46162</v>
      </c>
      <c r="Z216" s="1" cm="1">
        <f t="array" ref="Z216">IF(D216&gt;DATE(2015,5,16),0,
K216*
(
INT((MIN(Y216,DATE(2015,5,16))-D216)/365)
+
CEILING(MOD((MIN(Y216,DATE(2015,5,16))-D216)/365,1),0.25)
)
*
_xlfn.SWITCH(J216,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16" s="1" cm="1">
        <f t="array" aca="1" ref="AA216" ca="1">IF(Y216&lt;DATE(2015,5,17),0,
K216*
(
INT((MIN(Y216,DATE(2018,9,23))-MAX(D216,DATE(2015,5,17)))/365)
+
CEILING(MOD((MIN(Y216,DATE(2018,9,23))-MAX(D216,DATE(2015,5,17)))/365,1),0.25)
)
*
_xlfn.SWITCH(J216,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15400</v>
      </c>
      <c r="AB216" s="1" cm="1">
        <f t="array" aca="1" ref="AB216" ca="1">IF(Y216&lt;DATE(2018,9,24),0,
IF(J216="زراعة",
K216*
(
INT((MIN(Y216,DATE(2023,4,30))-MAX(D216,DATE(2018,9,24)))/365)
+
CEILING(MOD((MIN(Y216,DATE(2023,4,30))-MAX(D216,DATE(2018,9,24)))/365,1),0.25)
)
*1,
K216*
(
DATEDIF(MAX(D216,DATE(2018,9,24)),MIN(Y216,DATE(2023,4,30)),"m")+1
)
*
_xlfn.SWITCH(J216,
"موقف/تندة",IF(D216&lt;DATE(2019,11,30),6,30),
"تشوينات",IF(D216&lt;DATE(2019,11,30),4,20),
"مشاتل",IF(D216&lt;DATE(2019,11,30),2,10),
"كافيتيريا",IF(D216&lt;DATE(2019,11,30),30,150),
"نوادي",IF(D216&lt;DATE(2019,11,30),6,30),
"رسو مراكب",IF(D216&lt;DATE(2019,11,30),2,10),
"مباني",IF(D216&lt;DATE(2018,9,24),2,10),
"عشش",IF(D216&lt;DATE(2019,11,30),2,10),
"كشك (تجاري/صناعي)",IF(D216&lt;DATE(2019,11,30),10,50),
"ردم",20,
0)))</f>
        <v>313600</v>
      </c>
      <c r="AC216" s="1" cm="1">
        <f t="array" aca="1" ref="AC216" ca="1">IF(Y216&lt;DATE(2023,5,1),0,
IF(J216="زراعة",
K216*
(
INT((Y216-MAX(DATE(2023,5,1),D216))/365)
+
CEILING(MOD((Y216-MAX(DATE(2023,5,1),D216))/365,1),0.25)
)
*3,
IF(J216="ردم",
K216*20,
K216*
(
DATEDIF(MAX(DATE(2023,5,1),D216),Y216,"m")+1
)
*
_xlfn.SWITCH(J216,
"موقف/تندة",6,
"تشوينات",4,
"مشاتل",2,
"رسو مراكب",6,
"مباني",3,
"عشش",1,
"كشك (تجاري/صناعي)",20,
"مواسير صرف صحي (&lt;1م)",16,
"مواسير صرف صحي (&gt;1م)",18,
0))))</f>
        <v>5600</v>
      </c>
      <c r="AD216" s="1">
        <f t="shared" ca="1" si="24"/>
        <v>55</v>
      </c>
    </row>
    <row r="217" spans="1:30" ht="18.75" x14ac:dyDescent="0.25">
      <c r="A217" s="37">
        <v>187</v>
      </c>
      <c r="B217" s="3">
        <v>76</v>
      </c>
      <c r="C217" s="3">
        <v>2016</v>
      </c>
      <c r="D217" s="7">
        <v>42452</v>
      </c>
      <c r="E217" s="11"/>
      <c r="F217" s="3"/>
      <c r="G217" s="3" t="s">
        <v>310</v>
      </c>
      <c r="H217" s="6"/>
      <c r="I217" s="6" t="s">
        <v>104</v>
      </c>
      <c r="J217" s="3" t="s">
        <v>146</v>
      </c>
      <c r="K217" s="6">
        <v>280</v>
      </c>
      <c r="L217" s="3" t="s">
        <v>88</v>
      </c>
      <c r="M217" s="7"/>
      <c r="N217" s="6"/>
      <c r="O217" s="9">
        <f>0.47*Table2[[#This Row],[قيمة المحضر]]</f>
        <v>0</v>
      </c>
      <c r="P217" s="9">
        <f>0.17*Table2[[#This Row],[قيمة المحضر]]</f>
        <v>0</v>
      </c>
      <c r="Q217" s="9">
        <f t="shared" ca="1" si="18"/>
        <v>4291</v>
      </c>
      <c r="R217" s="3"/>
      <c r="S217" s="3"/>
      <c r="T217" s="9" t="str">
        <f t="shared" si="19"/>
        <v>-</v>
      </c>
      <c r="U217" s="3" t="s">
        <v>25</v>
      </c>
      <c r="V217" s="9" t="str">
        <f t="shared" si="20"/>
        <v>-</v>
      </c>
      <c r="W217" s="4"/>
      <c r="X217" s="38"/>
      <c r="Y217" s="1">
        <f t="shared" ca="1" si="23"/>
        <v>46162</v>
      </c>
      <c r="Z217" s="1" cm="1">
        <f t="array" ref="Z217">IF(D217&gt;DATE(2015,5,16),0,
K217*
(
INT((MIN(Y217,DATE(2015,5,16))-D217)/365)
+
CEILING(MOD((MIN(Y217,DATE(2015,5,16))-D217)/365,1),0.25)
)
*
_xlfn.SWITCH(J217,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17" s="1" cm="1">
        <f t="array" aca="1" ref="AA217" ca="1">IF(Y217&lt;DATE(2015,5,17),0,
K217*
(
INT((MIN(Y217,DATE(2018,9,23))-MAX(D217,DATE(2015,5,17)))/365)
+
CEILING(MOD((MIN(Y217,DATE(2018,9,23))-MAX(D217,DATE(2015,5,17)))/365,1),0.25)
)
*
_xlfn.SWITCH(J217,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231</v>
      </c>
      <c r="AB217" s="1" cm="1">
        <f t="array" aca="1" ref="AB217" ca="1">IF(Y217&lt;DATE(2018,9,24),0,
IF(J217="زراعة",
K217*
(
INT((MIN(Y217,DATE(2023,4,30))-MAX(D217,DATE(2018,9,24)))/365)
+
CEILING(MOD((MIN(Y217,DATE(2023,4,30))-MAX(D217,DATE(2018,9,24)))/365,1),0.25)
)
*1,
K217*
(
DATEDIF(MAX(D217,DATE(2018,9,24)),MIN(Y217,DATE(2023,4,30)),"m")+1
)
*
_xlfn.SWITCH(J217,
"موقف/تندة",IF(D217&lt;DATE(2019,11,30),6,30),
"تشوينات",IF(D217&lt;DATE(2019,11,30),4,20),
"مشاتل",IF(D217&lt;DATE(2019,11,30),2,10),
"كافيتيريا",IF(D217&lt;DATE(2019,11,30),30,150),
"نوادي",IF(D217&lt;DATE(2019,11,30),6,30),
"رسو مراكب",IF(D217&lt;DATE(2019,11,30),2,10),
"مباني",IF(D217&lt;DATE(2018,9,24),2,10),
"عشش",IF(D217&lt;DATE(2019,11,30),2,10),
"كشك (تجاري/صناعي)",IF(D217&lt;DATE(2019,11,30),10,50),
"ردم",20,
0)))</f>
        <v>1330</v>
      </c>
      <c r="AC217" s="1" cm="1">
        <f t="array" aca="1" ref="AC217" ca="1">IF(Y217&lt;DATE(2023,5,1),0,
IF(J217="زراعة",
K217*
(
INT((Y217-MAX(DATE(2023,5,1),D217))/365)
+
CEILING(MOD((Y217-MAX(DATE(2023,5,1),D217))/365,1),0.25)
)
*3,
IF(J217="ردم",
K217*20,
K217*
(
DATEDIF(MAX(DATE(2023,5,1),D217),Y217,"m")+1
)
*
_xlfn.SWITCH(J217,
"موقف/تندة",6,
"تشوينات",4,
"مشاتل",2,
"رسو مراكب",6,
"مباني",3,
"عشش",1,
"كشك (تجاري/صناعي)",20,
"مواسير صرف صحي (&lt;1م)",16,
"مواسير صرف صحي (&gt;1م)",18,
0))))</f>
        <v>2730</v>
      </c>
      <c r="AD217" s="1">
        <f t="shared" ca="1" si="24"/>
        <v>55</v>
      </c>
    </row>
    <row r="218" spans="1:30" ht="18.75" x14ac:dyDescent="0.25">
      <c r="A218" s="37">
        <v>188</v>
      </c>
      <c r="B218" s="3">
        <v>77</v>
      </c>
      <c r="C218" s="3">
        <v>2016</v>
      </c>
      <c r="D218" s="7">
        <v>42452</v>
      </c>
      <c r="E218" s="11"/>
      <c r="F218" s="3"/>
      <c r="G218" s="3" t="s">
        <v>310</v>
      </c>
      <c r="H218" s="6"/>
      <c r="I218" s="6" t="s">
        <v>104</v>
      </c>
      <c r="J218" s="3" t="s">
        <v>77</v>
      </c>
      <c r="K218" s="6">
        <v>280</v>
      </c>
      <c r="L218" s="3" t="s">
        <v>88</v>
      </c>
      <c r="M218" s="7"/>
      <c r="N218" s="6"/>
      <c r="O218" s="9">
        <f>0.47*Table2[[#This Row],[قيمة المحضر]]</f>
        <v>0</v>
      </c>
      <c r="P218" s="9">
        <f>0.17*Table2[[#This Row],[قيمة المحضر]]</f>
        <v>0</v>
      </c>
      <c r="Q218" s="9">
        <f t="shared" ca="1" si="18"/>
        <v>334600</v>
      </c>
      <c r="R218" s="3"/>
      <c r="S218" s="3"/>
      <c r="T218" s="9" t="str">
        <f t="shared" si="19"/>
        <v>-</v>
      </c>
      <c r="U218" s="3" t="s">
        <v>25</v>
      </c>
      <c r="V218" s="9" t="str">
        <f t="shared" si="20"/>
        <v>-</v>
      </c>
      <c r="W218" s="4"/>
      <c r="X218" s="38"/>
      <c r="Y218" s="1">
        <f t="shared" ca="1" si="23"/>
        <v>46162</v>
      </c>
      <c r="Z218" s="1" cm="1">
        <f t="array" ref="Z218">IF(D218&gt;DATE(2015,5,16),0,
K218*
(
INT((MIN(Y218,DATE(2015,5,16))-D218)/365)
+
CEILING(MOD((MIN(Y218,DATE(2015,5,16))-D218)/365,1),0.25)
)
*
_xlfn.SWITCH(J218,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18" s="1" cm="1">
        <f t="array" aca="1" ref="AA218" ca="1">IF(Y218&lt;DATE(2015,5,17),0,
K218*
(
INT((MIN(Y218,DATE(2018,9,23))-MAX(D218,DATE(2015,5,17)))/365)
+
CEILING(MOD((MIN(Y218,DATE(2018,9,23))-MAX(D218,DATE(2015,5,17)))/365,1),0.25)
)
*
_xlfn.SWITCH(J218,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15400</v>
      </c>
      <c r="AB218" s="1" cm="1">
        <f t="array" aca="1" ref="AB218" ca="1">IF(Y218&lt;DATE(2018,9,24),0,
IF(J218="زراعة",
K218*
(
INT((MIN(Y218,DATE(2023,4,30))-MAX(D218,DATE(2018,9,24)))/365)
+
CEILING(MOD((MIN(Y218,DATE(2023,4,30))-MAX(D218,DATE(2018,9,24)))/365,1),0.25)
)
*1,
K218*
(
DATEDIF(MAX(D218,DATE(2018,9,24)),MIN(Y218,DATE(2023,4,30)),"m")+1
)
*
_xlfn.SWITCH(J218,
"موقف/تندة",IF(D218&lt;DATE(2019,11,30),6,30),
"تشوينات",IF(D218&lt;DATE(2019,11,30),4,20),
"مشاتل",IF(D218&lt;DATE(2019,11,30),2,10),
"كافيتيريا",IF(D218&lt;DATE(2019,11,30),30,150),
"نوادي",IF(D218&lt;DATE(2019,11,30),6,30),
"رسو مراكب",IF(D218&lt;DATE(2019,11,30),2,10),
"مباني",IF(D218&lt;DATE(2018,9,24),2,10),
"عشش",IF(D218&lt;DATE(2019,11,30),2,10),
"كشك (تجاري/صناعي)",IF(D218&lt;DATE(2019,11,30),10,50),
"ردم",20,
0)))</f>
        <v>313600</v>
      </c>
      <c r="AC218" s="1" cm="1">
        <f t="array" aca="1" ref="AC218" ca="1">IF(Y218&lt;DATE(2023,5,1),0,
IF(J218="زراعة",
K218*
(
INT((Y218-MAX(DATE(2023,5,1),D218))/365)
+
CEILING(MOD((Y218-MAX(DATE(2023,5,1),D218))/365,1),0.25)
)
*3,
IF(J218="ردم",
K218*20,
K218*
(
DATEDIF(MAX(DATE(2023,5,1),D218),Y218,"m")+1
)
*
_xlfn.SWITCH(J218,
"موقف/تندة",6,
"تشوينات",4,
"مشاتل",2,
"رسو مراكب",6,
"مباني",3,
"عشش",1,
"كشك (تجاري/صناعي)",20,
"مواسير صرف صحي (&lt;1م)",16,
"مواسير صرف صحي (&gt;1م)",18,
0))))</f>
        <v>5600</v>
      </c>
      <c r="AD218" s="1">
        <f t="shared" ca="1" si="24"/>
        <v>55</v>
      </c>
    </row>
    <row r="219" spans="1:30" ht="18.75" x14ac:dyDescent="0.25">
      <c r="A219" s="37">
        <v>189</v>
      </c>
      <c r="B219" s="3">
        <v>78</v>
      </c>
      <c r="C219" s="3">
        <v>2016</v>
      </c>
      <c r="D219" s="7">
        <v>42459</v>
      </c>
      <c r="E219" s="11"/>
      <c r="F219" s="3"/>
      <c r="G219" s="3" t="s">
        <v>311</v>
      </c>
      <c r="H219" s="6"/>
      <c r="I219" s="6" t="s">
        <v>370</v>
      </c>
      <c r="J219" s="3" t="s">
        <v>146</v>
      </c>
      <c r="K219" s="6">
        <v>300</v>
      </c>
      <c r="L219" s="3" t="s">
        <v>89</v>
      </c>
      <c r="M219" s="7"/>
      <c r="N219" s="6"/>
      <c r="O219" s="9">
        <f>0.47*Table2[[#This Row],[قيمة المحضر]]</f>
        <v>0</v>
      </c>
      <c r="P219" s="9">
        <f>0.17*Table2[[#This Row],[قيمة المحضر]]</f>
        <v>0</v>
      </c>
      <c r="Q219" s="9">
        <f t="shared" ref="Q219:Q282" ca="1" si="25">Z219+AA219+AB219+AC219</f>
        <v>4575</v>
      </c>
      <c r="R219" s="3"/>
      <c r="S219" s="3"/>
      <c r="T219" s="9" t="str">
        <f t="shared" ref="T219:T282" si="26">IF(R219="تم الحجز",Q219+O219+N219,"-")</f>
        <v>-</v>
      </c>
      <c r="U219" s="3" t="s">
        <v>25</v>
      </c>
      <c r="V219" s="9" t="str">
        <f t="shared" ref="V219:V282" si="27">IF(OR(U219="قائم",U219="قائم و سدد مقابل انتفاع"),"-",
IF(U219="تم رد الشئ لأصله",P219+Q219,
IF(U219="ازالة جبرية",N219+O219+Q219,"")))</f>
        <v>-</v>
      </c>
      <c r="W219" s="4"/>
      <c r="X219" s="38"/>
      <c r="Y219" s="1">
        <f t="shared" ca="1" si="23"/>
        <v>46162</v>
      </c>
      <c r="Z219" s="1" cm="1">
        <f t="array" ref="Z219">IF(D219&gt;DATE(2015,5,16),0,
K219*
(
INT((MIN(Y219,DATE(2015,5,16))-D219)/365)
+
CEILING(MOD((MIN(Y219,DATE(2015,5,16))-D219)/365,1),0.25)
)
*
_xlfn.SWITCH(J219,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19" s="1" cm="1">
        <f t="array" aca="1" ref="AA219" ca="1">IF(Y219&lt;DATE(2015,5,17),0,
K219*
(
INT((MIN(Y219,DATE(2018,9,23))-MAX(D219,DATE(2015,5,17)))/365)
+
CEILING(MOD((MIN(Y219,DATE(2018,9,23))-MAX(D219,DATE(2015,5,17)))/365,1),0.25)
)
*
_xlfn.SWITCH(J219,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225</v>
      </c>
      <c r="AB219" s="1" cm="1">
        <f t="array" aca="1" ref="AB219" ca="1">IF(Y219&lt;DATE(2018,9,24),0,
IF(J219="زراعة",
K219*
(
INT((MIN(Y219,DATE(2023,4,30))-MAX(D219,DATE(2018,9,24)))/365)
+
CEILING(MOD((MIN(Y219,DATE(2023,4,30))-MAX(D219,DATE(2018,9,24)))/365,1),0.25)
)
*1,
K219*
(
DATEDIF(MAX(D219,DATE(2018,9,24)),MIN(Y219,DATE(2023,4,30)),"m")+1
)
*
_xlfn.SWITCH(J219,
"موقف/تندة",IF(D219&lt;DATE(2019,11,30),6,30),
"تشوينات",IF(D219&lt;DATE(2019,11,30),4,20),
"مشاتل",IF(D219&lt;DATE(2019,11,30),2,10),
"كافيتيريا",IF(D219&lt;DATE(2019,11,30),30,150),
"نوادي",IF(D219&lt;DATE(2019,11,30),6,30),
"رسو مراكب",IF(D219&lt;DATE(2019,11,30),2,10),
"مباني",IF(D219&lt;DATE(2018,9,24),2,10),
"عشش",IF(D219&lt;DATE(2019,11,30),2,10),
"كشك (تجاري/صناعي)",IF(D219&lt;DATE(2019,11,30),10,50),
"ردم",20,
0)))</f>
        <v>1425</v>
      </c>
      <c r="AC219" s="1" cm="1">
        <f t="array" aca="1" ref="AC219" ca="1">IF(Y219&lt;DATE(2023,5,1),0,
IF(J219="زراعة",
K219*
(
INT((Y219-MAX(DATE(2023,5,1),D219))/365)
+
CEILING(MOD((Y219-MAX(DATE(2023,5,1),D219))/365,1),0.25)
)
*3,
IF(J219="ردم",
K219*20,
K219*
(
DATEDIF(MAX(DATE(2023,5,1),D219),Y219,"m")+1
)
*
_xlfn.SWITCH(J219,
"موقف/تندة",6,
"تشوينات",4,
"مشاتل",2,
"رسو مراكب",6,
"مباني",3,
"عشش",1,
"كشك (تجاري/صناعي)",20,
"مواسير صرف صحي (&lt;1م)",16,
"مواسير صرف صحي (&gt;1م)",18,
0))))</f>
        <v>2925</v>
      </c>
      <c r="AD219" s="1">
        <f t="shared" ca="1" si="24"/>
        <v>55</v>
      </c>
    </row>
    <row r="220" spans="1:30" ht="18.75" x14ac:dyDescent="0.25">
      <c r="A220" s="37">
        <v>190</v>
      </c>
      <c r="B220" s="3">
        <v>79</v>
      </c>
      <c r="C220" s="3">
        <v>2016</v>
      </c>
      <c r="D220" s="7">
        <v>42459</v>
      </c>
      <c r="E220" s="11"/>
      <c r="F220" s="3"/>
      <c r="G220" s="3" t="s">
        <v>374</v>
      </c>
      <c r="H220" s="6"/>
      <c r="I220" s="6" t="s">
        <v>370</v>
      </c>
      <c r="J220" s="3" t="s">
        <v>146</v>
      </c>
      <c r="K220" s="6">
        <v>300</v>
      </c>
      <c r="L220" s="3" t="s">
        <v>89</v>
      </c>
      <c r="M220" s="7"/>
      <c r="N220" s="6"/>
      <c r="O220" s="9">
        <f>0.47*Table2[[#This Row],[قيمة المحضر]]</f>
        <v>0</v>
      </c>
      <c r="P220" s="9">
        <f>0.17*Table2[[#This Row],[قيمة المحضر]]</f>
        <v>0</v>
      </c>
      <c r="Q220" s="9">
        <f t="shared" ca="1" si="25"/>
        <v>4575</v>
      </c>
      <c r="R220" s="3"/>
      <c r="S220" s="3"/>
      <c r="T220" s="9" t="str">
        <f t="shared" si="26"/>
        <v>-</v>
      </c>
      <c r="U220" s="3" t="s">
        <v>25</v>
      </c>
      <c r="V220" s="9" t="str">
        <f t="shared" si="27"/>
        <v>-</v>
      </c>
      <c r="W220" s="4"/>
      <c r="X220" s="38"/>
      <c r="Y220" s="1">
        <f t="shared" ca="1" si="23"/>
        <v>46162</v>
      </c>
      <c r="Z220" s="1" cm="1">
        <f t="array" ref="Z220">IF(D220&gt;DATE(2015,5,16),0,
K220*
(
INT((MIN(Y220,DATE(2015,5,16))-D220)/365)
+
CEILING(MOD((MIN(Y220,DATE(2015,5,16))-D220)/365,1),0.25)
)
*
_xlfn.SWITCH(J220,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20" s="1" cm="1">
        <f t="array" aca="1" ref="AA220" ca="1">IF(Y220&lt;DATE(2015,5,17),0,
K220*
(
INT((MIN(Y220,DATE(2018,9,23))-MAX(D220,DATE(2015,5,17)))/365)
+
CEILING(MOD((MIN(Y220,DATE(2018,9,23))-MAX(D220,DATE(2015,5,17)))/365,1),0.25)
)
*
_xlfn.SWITCH(J220,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225</v>
      </c>
      <c r="AB220" s="1" cm="1">
        <f t="array" aca="1" ref="AB220" ca="1">IF(Y220&lt;DATE(2018,9,24),0,
IF(J220="زراعة",
K220*
(
INT((MIN(Y220,DATE(2023,4,30))-MAX(D220,DATE(2018,9,24)))/365)
+
CEILING(MOD((MIN(Y220,DATE(2023,4,30))-MAX(D220,DATE(2018,9,24)))/365,1),0.25)
)
*1,
K220*
(
DATEDIF(MAX(D220,DATE(2018,9,24)),MIN(Y220,DATE(2023,4,30)),"m")+1
)
*
_xlfn.SWITCH(J220,
"موقف/تندة",IF(D220&lt;DATE(2019,11,30),6,30),
"تشوينات",IF(D220&lt;DATE(2019,11,30),4,20),
"مشاتل",IF(D220&lt;DATE(2019,11,30),2,10),
"كافيتيريا",IF(D220&lt;DATE(2019,11,30),30,150),
"نوادي",IF(D220&lt;DATE(2019,11,30),6,30),
"رسو مراكب",IF(D220&lt;DATE(2019,11,30),2,10),
"مباني",IF(D220&lt;DATE(2018,9,24),2,10),
"عشش",IF(D220&lt;DATE(2019,11,30),2,10),
"كشك (تجاري/صناعي)",IF(D220&lt;DATE(2019,11,30),10,50),
"ردم",20,
0)))</f>
        <v>1425</v>
      </c>
      <c r="AC220" s="1" cm="1">
        <f t="array" aca="1" ref="AC220" ca="1">IF(Y220&lt;DATE(2023,5,1),0,
IF(J220="زراعة",
K220*
(
INT((Y220-MAX(DATE(2023,5,1),D220))/365)
+
CEILING(MOD((Y220-MAX(DATE(2023,5,1),D220))/365,1),0.25)
)
*3,
IF(J220="ردم",
K220*20,
K220*
(
DATEDIF(MAX(DATE(2023,5,1),D220),Y220,"m")+1
)
*
_xlfn.SWITCH(J220,
"موقف/تندة",6,
"تشوينات",4,
"مشاتل",2,
"رسو مراكب",6,
"مباني",3,
"عشش",1,
"كشك (تجاري/صناعي)",20,
"مواسير صرف صحي (&lt;1م)",16,
"مواسير صرف صحي (&gt;1م)",18,
0))))</f>
        <v>2925</v>
      </c>
      <c r="AD220" s="1">
        <f t="shared" ca="1" si="24"/>
        <v>55</v>
      </c>
    </row>
    <row r="221" spans="1:30" ht="18.75" x14ac:dyDescent="0.25">
      <c r="A221" s="37">
        <v>191</v>
      </c>
      <c r="B221" s="3">
        <v>80</v>
      </c>
      <c r="C221" s="3">
        <v>2016</v>
      </c>
      <c r="D221" s="7">
        <v>42459</v>
      </c>
      <c r="E221" s="11"/>
      <c r="F221" s="3"/>
      <c r="G221" s="3" t="s">
        <v>375</v>
      </c>
      <c r="H221" s="6"/>
      <c r="I221" s="6" t="s">
        <v>370</v>
      </c>
      <c r="J221" s="3" t="s">
        <v>146</v>
      </c>
      <c r="K221" s="6">
        <v>300</v>
      </c>
      <c r="L221" s="3" t="s">
        <v>89</v>
      </c>
      <c r="M221" s="7"/>
      <c r="N221" s="6"/>
      <c r="O221" s="9">
        <f>0.47*Table2[[#This Row],[قيمة المحضر]]</f>
        <v>0</v>
      </c>
      <c r="P221" s="9">
        <f>0.17*Table2[[#This Row],[قيمة المحضر]]</f>
        <v>0</v>
      </c>
      <c r="Q221" s="9">
        <f t="shared" ca="1" si="25"/>
        <v>4575</v>
      </c>
      <c r="R221" s="3"/>
      <c r="S221" s="3"/>
      <c r="T221" s="9" t="str">
        <f t="shared" si="26"/>
        <v>-</v>
      </c>
      <c r="U221" s="3" t="s">
        <v>25</v>
      </c>
      <c r="V221" s="9" t="str">
        <f t="shared" si="27"/>
        <v>-</v>
      </c>
      <c r="W221" s="4"/>
      <c r="X221" s="38"/>
      <c r="Y221" s="1">
        <f t="shared" ca="1" si="23"/>
        <v>46162</v>
      </c>
      <c r="Z221" s="1" cm="1">
        <f t="array" ref="Z221">IF(D221&gt;DATE(2015,5,16),0,
K221*
(
INT((MIN(Y221,DATE(2015,5,16))-D221)/365)
+
CEILING(MOD((MIN(Y221,DATE(2015,5,16))-D221)/365,1),0.25)
)
*
_xlfn.SWITCH(J221,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21" s="1" cm="1">
        <f t="array" aca="1" ref="AA221" ca="1">IF(Y221&lt;DATE(2015,5,17),0,
K221*
(
INT((MIN(Y221,DATE(2018,9,23))-MAX(D221,DATE(2015,5,17)))/365)
+
CEILING(MOD((MIN(Y221,DATE(2018,9,23))-MAX(D221,DATE(2015,5,17)))/365,1),0.25)
)
*
_xlfn.SWITCH(J221,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225</v>
      </c>
      <c r="AB221" s="1" cm="1">
        <f t="array" aca="1" ref="AB221" ca="1">IF(Y221&lt;DATE(2018,9,24),0,
IF(J221="زراعة",
K221*
(
INT((MIN(Y221,DATE(2023,4,30))-MAX(D221,DATE(2018,9,24)))/365)
+
CEILING(MOD((MIN(Y221,DATE(2023,4,30))-MAX(D221,DATE(2018,9,24)))/365,1),0.25)
)
*1,
K221*
(
DATEDIF(MAX(D221,DATE(2018,9,24)),MIN(Y221,DATE(2023,4,30)),"m")+1
)
*
_xlfn.SWITCH(J221,
"موقف/تندة",IF(D221&lt;DATE(2019,11,30),6,30),
"تشوينات",IF(D221&lt;DATE(2019,11,30),4,20),
"مشاتل",IF(D221&lt;DATE(2019,11,30),2,10),
"كافيتيريا",IF(D221&lt;DATE(2019,11,30),30,150),
"نوادي",IF(D221&lt;DATE(2019,11,30),6,30),
"رسو مراكب",IF(D221&lt;DATE(2019,11,30),2,10),
"مباني",IF(D221&lt;DATE(2018,9,24),2,10),
"عشش",IF(D221&lt;DATE(2019,11,30),2,10),
"كشك (تجاري/صناعي)",IF(D221&lt;DATE(2019,11,30),10,50),
"ردم",20,
0)))</f>
        <v>1425</v>
      </c>
      <c r="AC221" s="1" cm="1">
        <f t="array" aca="1" ref="AC221" ca="1">IF(Y221&lt;DATE(2023,5,1),0,
IF(J221="زراعة",
K221*
(
INT((Y221-MAX(DATE(2023,5,1),D221))/365)
+
CEILING(MOD((Y221-MAX(DATE(2023,5,1),D221))/365,1),0.25)
)
*3,
IF(J221="ردم",
K221*20,
K221*
(
DATEDIF(MAX(DATE(2023,5,1),D221),Y221,"m")+1
)
*
_xlfn.SWITCH(J221,
"موقف/تندة",6,
"تشوينات",4,
"مشاتل",2,
"رسو مراكب",6,
"مباني",3,
"عشش",1,
"كشك (تجاري/صناعي)",20,
"مواسير صرف صحي (&lt;1م)",16,
"مواسير صرف صحي (&gt;1م)",18,
0))))</f>
        <v>2925</v>
      </c>
      <c r="AD221" s="1">
        <f t="shared" ca="1" si="24"/>
        <v>55</v>
      </c>
    </row>
    <row r="222" spans="1:30" ht="18.75" x14ac:dyDescent="0.25">
      <c r="A222" s="37">
        <v>192</v>
      </c>
      <c r="B222" s="3">
        <v>81</v>
      </c>
      <c r="C222" s="3">
        <v>2016</v>
      </c>
      <c r="D222" s="7">
        <v>42459</v>
      </c>
      <c r="E222" s="11"/>
      <c r="F222" s="3"/>
      <c r="G222" s="3" t="s">
        <v>312</v>
      </c>
      <c r="H222" s="6"/>
      <c r="I222" s="6" t="s">
        <v>103</v>
      </c>
      <c r="J222" s="3" t="s">
        <v>27</v>
      </c>
      <c r="K222" s="6">
        <v>27</v>
      </c>
      <c r="L222" s="3" t="s">
        <v>89</v>
      </c>
      <c r="M222" s="7"/>
      <c r="N222" s="6"/>
      <c r="O222" s="9">
        <f>0.47*Table2[[#This Row],[قيمة المحضر]]</f>
        <v>0</v>
      </c>
      <c r="P222" s="9">
        <f>0.17*Table2[[#This Row],[قيمة المحضر]]</f>
        <v>0</v>
      </c>
      <c r="Q222" s="9">
        <f t="shared" ca="1" si="25"/>
        <v>6561</v>
      </c>
      <c r="R222" s="3"/>
      <c r="S222" s="3"/>
      <c r="T222" s="9" t="str">
        <f t="shared" si="26"/>
        <v>-</v>
      </c>
      <c r="U222" s="3" t="s">
        <v>25</v>
      </c>
      <c r="V222" s="9" t="str">
        <f t="shared" si="27"/>
        <v>-</v>
      </c>
      <c r="W222" s="4"/>
      <c r="X222" s="38"/>
      <c r="Y222" s="1">
        <f t="shared" ca="1" si="23"/>
        <v>46162</v>
      </c>
      <c r="Z222" s="1" cm="1">
        <f t="array" ref="Z222">IF(D222&gt;DATE(2015,5,16),0,
K222*
(
INT((MIN(Y222,DATE(2015,5,16))-D222)/365)
+
CEILING(MOD((MIN(Y222,DATE(2015,5,16))-D222)/365,1),0.25)
)
*
_xlfn.SWITCH(J222,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22" s="1" cm="1">
        <f t="array" aca="1" ref="AA222" ca="1">IF(Y222&lt;DATE(2015,5,17),0,
K222*
(
INT((MIN(Y222,DATE(2018,9,23))-MAX(D222,DATE(2015,5,17)))/365)
+
CEILING(MOD((MIN(Y222,DATE(2018,9,23))-MAX(D222,DATE(2015,5,17)))/365,1),0.25)
)
*
_xlfn.SWITCH(J222,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540</v>
      </c>
      <c r="AB222" s="1" cm="1">
        <f t="array" aca="1" ref="AB222" ca="1">IF(Y222&lt;DATE(2018,9,24),0,
IF(J222="زراعة",
K222*
(
INT((MIN(Y222,DATE(2023,4,30))-MAX(D222,DATE(2018,9,24)))/365)
+
CEILING(MOD((MIN(Y222,DATE(2023,4,30))-MAX(D222,DATE(2018,9,24)))/365,1),0.25)
)
*1,
K222*
(
DATEDIF(MAX(D222,DATE(2018,9,24)),MIN(Y222,DATE(2023,4,30)),"m")+1
)
*
_xlfn.SWITCH(J222,
"موقف/تندة",IF(D222&lt;DATE(2019,11,30),6,30),
"تشوينات",IF(D222&lt;DATE(2019,11,30),4,20),
"مشاتل",IF(D222&lt;DATE(2019,11,30),2,10),
"كافيتيريا",IF(D222&lt;DATE(2019,11,30),30,150),
"نوادي",IF(D222&lt;DATE(2019,11,30),6,30),
"رسو مراكب",IF(D222&lt;DATE(2019,11,30),2,10),
"مباني",IF(D222&lt;DATE(2018,9,24),2,10),
"عشش",IF(D222&lt;DATE(2019,11,30),2,10),
"كشك (تجاري/صناعي)",IF(D222&lt;DATE(2019,11,30),10,50),
"ردم",20,
0)))</f>
        <v>3024</v>
      </c>
      <c r="AC222" s="1" cm="1">
        <f t="array" aca="1" ref="AC222" ca="1">IF(Y222&lt;DATE(2023,5,1),0,
IF(J222="زراعة",
K222*
(
INT((Y222-MAX(DATE(2023,5,1),D222))/365)
+
CEILING(MOD((Y222-MAX(DATE(2023,5,1),D222))/365,1),0.25)
)
*3,
IF(J222="ردم",
K222*20,
K222*
(
DATEDIF(MAX(DATE(2023,5,1),D222),Y222,"m")+1
)
*
_xlfn.SWITCH(J222,
"موقف/تندة",6,
"تشوينات",4,
"مشاتل",2,
"رسو مراكب",6,
"مباني",3,
"عشش",1,
"كشك (تجاري/صناعي)",20,
"مواسير صرف صحي (&lt;1م)",16,
"مواسير صرف صحي (&gt;1م)",18,
0))))</f>
        <v>2997</v>
      </c>
      <c r="AD222" s="1">
        <f t="shared" ca="1" si="24"/>
        <v>55</v>
      </c>
    </row>
    <row r="223" spans="1:30" ht="18.75" x14ac:dyDescent="0.25">
      <c r="A223" s="37">
        <v>193</v>
      </c>
      <c r="B223" s="3">
        <v>82</v>
      </c>
      <c r="C223" s="3">
        <v>2016</v>
      </c>
      <c r="D223" s="7">
        <v>42459</v>
      </c>
      <c r="E223" s="11" t="s">
        <v>359</v>
      </c>
      <c r="F223" s="3"/>
      <c r="G223" s="3" t="s">
        <v>313</v>
      </c>
      <c r="H223" s="6"/>
      <c r="I223" s="6" t="s">
        <v>103</v>
      </c>
      <c r="J223" s="3" t="s">
        <v>146</v>
      </c>
      <c r="K223" s="6">
        <v>150</v>
      </c>
      <c r="L223" s="3" t="s">
        <v>89</v>
      </c>
      <c r="M223" s="7"/>
      <c r="N223" s="6"/>
      <c r="O223" s="9">
        <f>0.47*Table2[[#This Row],[قيمة المحضر]]</f>
        <v>0</v>
      </c>
      <c r="P223" s="9">
        <f>0.17*Table2[[#This Row],[قيمة المحضر]]</f>
        <v>0</v>
      </c>
      <c r="Q223" s="9">
        <f t="shared" ca="1" si="25"/>
        <v>2287.5</v>
      </c>
      <c r="R223" s="3"/>
      <c r="S223" s="3"/>
      <c r="T223" s="9" t="str">
        <f t="shared" si="26"/>
        <v>-</v>
      </c>
      <c r="U223" s="3" t="s">
        <v>25</v>
      </c>
      <c r="V223" s="9" t="str">
        <f t="shared" si="27"/>
        <v>-</v>
      </c>
      <c r="W223" s="4"/>
      <c r="X223" s="38"/>
      <c r="Y223" s="1">
        <f t="shared" ca="1" si="23"/>
        <v>46162</v>
      </c>
      <c r="Z223" s="1" cm="1">
        <f t="array" ref="Z223">IF(D223&gt;DATE(2015,5,16),0,
K223*
(
INT((MIN(Y223,DATE(2015,5,16))-D223)/365)
+
CEILING(MOD((MIN(Y223,DATE(2015,5,16))-D223)/365,1),0.25)
)
*
_xlfn.SWITCH(J223,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23" s="1" cm="1">
        <f t="array" aca="1" ref="AA223" ca="1">IF(Y223&lt;DATE(2015,5,17),0,
K223*
(
INT((MIN(Y223,DATE(2018,9,23))-MAX(D223,DATE(2015,5,17)))/365)
+
CEILING(MOD((MIN(Y223,DATE(2018,9,23))-MAX(D223,DATE(2015,5,17)))/365,1),0.25)
)
*
_xlfn.SWITCH(J223,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112.5</v>
      </c>
      <c r="AB223" s="1" cm="1">
        <f t="array" aca="1" ref="AB223" ca="1">IF(Y223&lt;DATE(2018,9,24),0,
IF(J223="زراعة",
K223*
(
INT((MIN(Y223,DATE(2023,4,30))-MAX(D223,DATE(2018,9,24)))/365)
+
CEILING(MOD((MIN(Y223,DATE(2023,4,30))-MAX(D223,DATE(2018,9,24)))/365,1),0.25)
)
*1,
K223*
(
DATEDIF(MAX(D223,DATE(2018,9,24)),MIN(Y223,DATE(2023,4,30)),"m")+1
)
*
_xlfn.SWITCH(J223,
"موقف/تندة",IF(D223&lt;DATE(2019,11,30),6,30),
"تشوينات",IF(D223&lt;DATE(2019,11,30),4,20),
"مشاتل",IF(D223&lt;DATE(2019,11,30),2,10),
"كافيتيريا",IF(D223&lt;DATE(2019,11,30),30,150),
"نوادي",IF(D223&lt;DATE(2019,11,30),6,30),
"رسو مراكب",IF(D223&lt;DATE(2019,11,30),2,10),
"مباني",IF(D223&lt;DATE(2018,9,24),2,10),
"عشش",IF(D223&lt;DATE(2019,11,30),2,10),
"كشك (تجاري/صناعي)",IF(D223&lt;DATE(2019,11,30),10,50),
"ردم",20,
0)))</f>
        <v>712.5</v>
      </c>
      <c r="AC223" s="1" cm="1">
        <f t="array" aca="1" ref="AC223" ca="1">IF(Y223&lt;DATE(2023,5,1),0,
IF(J223="زراعة",
K223*
(
INT((Y223-MAX(DATE(2023,5,1),D223))/365)
+
CEILING(MOD((Y223-MAX(DATE(2023,5,1),D223))/365,1),0.25)
)
*3,
IF(J223="ردم",
K223*20,
K223*
(
DATEDIF(MAX(DATE(2023,5,1),D223),Y223,"m")+1
)
*
_xlfn.SWITCH(J223,
"موقف/تندة",6,
"تشوينات",4,
"مشاتل",2,
"رسو مراكب",6,
"مباني",3,
"عشش",1,
"كشك (تجاري/صناعي)",20,
"مواسير صرف صحي (&lt;1م)",16,
"مواسير صرف صحي (&gt;1م)",18,
0))))</f>
        <v>1462.5</v>
      </c>
      <c r="AD223" s="1">
        <f t="shared" ca="1" si="24"/>
        <v>55</v>
      </c>
    </row>
    <row r="224" spans="1:30" ht="18.75" x14ac:dyDescent="0.25">
      <c r="A224" s="37">
        <v>194</v>
      </c>
      <c r="B224" s="3">
        <v>83</v>
      </c>
      <c r="C224" s="3">
        <v>2016</v>
      </c>
      <c r="D224" s="7">
        <v>42459</v>
      </c>
      <c r="E224" s="11"/>
      <c r="F224" s="3"/>
      <c r="G224" s="3" t="s">
        <v>314</v>
      </c>
      <c r="H224" s="6"/>
      <c r="I224" s="6" t="s">
        <v>103</v>
      </c>
      <c r="J224" s="3" t="s">
        <v>146</v>
      </c>
      <c r="K224" s="6">
        <v>150</v>
      </c>
      <c r="L224" s="3" t="s">
        <v>89</v>
      </c>
      <c r="M224" s="7"/>
      <c r="N224" s="6"/>
      <c r="O224" s="9">
        <f>0.47*Table2[[#This Row],[قيمة المحضر]]</f>
        <v>0</v>
      </c>
      <c r="P224" s="9">
        <f>0.17*Table2[[#This Row],[قيمة المحضر]]</f>
        <v>0</v>
      </c>
      <c r="Q224" s="9">
        <f t="shared" ca="1" si="25"/>
        <v>2287.5</v>
      </c>
      <c r="R224" s="3"/>
      <c r="S224" s="3"/>
      <c r="T224" s="9" t="str">
        <f t="shared" si="26"/>
        <v>-</v>
      </c>
      <c r="U224" s="3" t="s">
        <v>25</v>
      </c>
      <c r="V224" s="9" t="str">
        <f t="shared" si="27"/>
        <v>-</v>
      </c>
      <c r="W224" s="4"/>
      <c r="X224" s="38"/>
      <c r="Y224" s="1">
        <f t="shared" ca="1" si="23"/>
        <v>46162</v>
      </c>
      <c r="Z224" s="1" cm="1">
        <f t="array" ref="Z224">IF(D224&gt;DATE(2015,5,16),0,
K224*
(
INT((MIN(Y224,DATE(2015,5,16))-D224)/365)
+
CEILING(MOD((MIN(Y224,DATE(2015,5,16))-D224)/365,1),0.25)
)
*
_xlfn.SWITCH(J224,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24" s="1" cm="1">
        <f t="array" aca="1" ref="AA224" ca="1">IF(Y224&lt;DATE(2015,5,17),0,
K224*
(
INT((MIN(Y224,DATE(2018,9,23))-MAX(D224,DATE(2015,5,17)))/365)
+
CEILING(MOD((MIN(Y224,DATE(2018,9,23))-MAX(D224,DATE(2015,5,17)))/365,1),0.25)
)
*
_xlfn.SWITCH(J224,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112.5</v>
      </c>
      <c r="AB224" s="1" cm="1">
        <f t="array" aca="1" ref="AB224" ca="1">IF(Y224&lt;DATE(2018,9,24),0,
IF(J224="زراعة",
K224*
(
INT((MIN(Y224,DATE(2023,4,30))-MAX(D224,DATE(2018,9,24)))/365)
+
CEILING(MOD((MIN(Y224,DATE(2023,4,30))-MAX(D224,DATE(2018,9,24)))/365,1),0.25)
)
*1,
K224*
(
DATEDIF(MAX(D224,DATE(2018,9,24)),MIN(Y224,DATE(2023,4,30)),"m")+1
)
*
_xlfn.SWITCH(J224,
"موقف/تندة",IF(D224&lt;DATE(2019,11,30),6,30),
"تشوينات",IF(D224&lt;DATE(2019,11,30),4,20),
"مشاتل",IF(D224&lt;DATE(2019,11,30),2,10),
"كافيتيريا",IF(D224&lt;DATE(2019,11,30),30,150),
"نوادي",IF(D224&lt;DATE(2019,11,30),6,30),
"رسو مراكب",IF(D224&lt;DATE(2019,11,30),2,10),
"مباني",IF(D224&lt;DATE(2018,9,24),2,10),
"عشش",IF(D224&lt;DATE(2019,11,30),2,10),
"كشك (تجاري/صناعي)",IF(D224&lt;DATE(2019,11,30),10,50),
"ردم",20,
0)))</f>
        <v>712.5</v>
      </c>
      <c r="AC224" s="1" cm="1">
        <f t="array" aca="1" ref="AC224" ca="1">IF(Y224&lt;DATE(2023,5,1),0,
IF(J224="زراعة",
K224*
(
INT((Y224-MAX(DATE(2023,5,1),D224))/365)
+
CEILING(MOD((Y224-MAX(DATE(2023,5,1),D224))/365,1),0.25)
)
*3,
IF(J224="ردم",
K224*20,
K224*
(
DATEDIF(MAX(DATE(2023,5,1),D224),Y224,"m")+1
)
*
_xlfn.SWITCH(J224,
"موقف/تندة",6,
"تشوينات",4,
"مشاتل",2,
"رسو مراكب",6,
"مباني",3,
"عشش",1,
"كشك (تجاري/صناعي)",20,
"مواسير صرف صحي (&lt;1م)",16,
"مواسير صرف صحي (&gt;1م)",18,
0))))</f>
        <v>1462.5</v>
      </c>
      <c r="AD224" s="1">
        <f t="shared" ca="1" si="24"/>
        <v>55</v>
      </c>
    </row>
    <row r="225" spans="1:30" ht="18.75" x14ac:dyDescent="0.25">
      <c r="A225" s="37">
        <v>195</v>
      </c>
      <c r="B225" s="3">
        <v>84</v>
      </c>
      <c r="C225" s="3">
        <v>2016</v>
      </c>
      <c r="D225" s="7">
        <v>42459</v>
      </c>
      <c r="E225" s="11"/>
      <c r="F225" s="3"/>
      <c r="G225" s="14" t="s">
        <v>315</v>
      </c>
      <c r="H225" s="6"/>
      <c r="I225" s="6" t="s">
        <v>103</v>
      </c>
      <c r="J225" s="3" t="s">
        <v>146</v>
      </c>
      <c r="K225" s="6">
        <v>150</v>
      </c>
      <c r="L225" s="3" t="s">
        <v>89</v>
      </c>
      <c r="M225" s="7"/>
      <c r="N225" s="6"/>
      <c r="O225" s="9">
        <f>0.47*Table2[[#This Row],[قيمة المحضر]]</f>
        <v>0</v>
      </c>
      <c r="P225" s="9">
        <f>0.17*Table2[[#This Row],[قيمة المحضر]]</f>
        <v>0</v>
      </c>
      <c r="Q225" s="9">
        <f t="shared" ca="1" si="25"/>
        <v>2287.5</v>
      </c>
      <c r="R225" s="3"/>
      <c r="S225" s="3"/>
      <c r="T225" s="9" t="str">
        <f t="shared" si="26"/>
        <v>-</v>
      </c>
      <c r="U225" s="3" t="s">
        <v>25</v>
      </c>
      <c r="V225" s="9" t="str">
        <f t="shared" si="27"/>
        <v>-</v>
      </c>
      <c r="W225" s="4"/>
      <c r="X225" s="38"/>
      <c r="Y225" s="1">
        <f t="shared" ca="1" si="23"/>
        <v>46162</v>
      </c>
      <c r="Z225" s="1" cm="1">
        <f t="array" ref="Z225">IF(D225&gt;DATE(2015,5,16),0,
K225*
(
INT((MIN(Y225,DATE(2015,5,16))-D225)/365)
+
CEILING(MOD((MIN(Y225,DATE(2015,5,16))-D225)/365,1),0.25)
)
*
_xlfn.SWITCH(J225,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25" s="1" cm="1">
        <f t="array" aca="1" ref="AA225" ca="1">IF(Y225&lt;DATE(2015,5,17),0,
K225*
(
INT((MIN(Y225,DATE(2018,9,23))-MAX(D225,DATE(2015,5,17)))/365)
+
CEILING(MOD((MIN(Y225,DATE(2018,9,23))-MAX(D225,DATE(2015,5,17)))/365,1),0.25)
)
*
_xlfn.SWITCH(J225,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112.5</v>
      </c>
      <c r="AB225" s="1" cm="1">
        <f t="array" aca="1" ref="AB225" ca="1">IF(Y225&lt;DATE(2018,9,24),0,
IF(J225="زراعة",
K225*
(
INT((MIN(Y225,DATE(2023,4,30))-MAX(D225,DATE(2018,9,24)))/365)
+
CEILING(MOD((MIN(Y225,DATE(2023,4,30))-MAX(D225,DATE(2018,9,24)))/365,1),0.25)
)
*1,
K225*
(
DATEDIF(MAX(D225,DATE(2018,9,24)),MIN(Y225,DATE(2023,4,30)),"m")+1
)
*
_xlfn.SWITCH(J225,
"موقف/تندة",IF(D225&lt;DATE(2019,11,30),6,30),
"تشوينات",IF(D225&lt;DATE(2019,11,30),4,20),
"مشاتل",IF(D225&lt;DATE(2019,11,30),2,10),
"كافيتيريا",IF(D225&lt;DATE(2019,11,30),30,150),
"نوادي",IF(D225&lt;DATE(2019,11,30),6,30),
"رسو مراكب",IF(D225&lt;DATE(2019,11,30),2,10),
"مباني",IF(D225&lt;DATE(2018,9,24),2,10),
"عشش",IF(D225&lt;DATE(2019,11,30),2,10),
"كشك (تجاري/صناعي)",IF(D225&lt;DATE(2019,11,30),10,50),
"ردم",20,
0)))</f>
        <v>712.5</v>
      </c>
      <c r="AC225" s="1" cm="1">
        <f t="array" aca="1" ref="AC225" ca="1">IF(Y225&lt;DATE(2023,5,1),0,
IF(J225="زراعة",
K225*
(
INT((Y225-MAX(DATE(2023,5,1),D225))/365)
+
CEILING(MOD((Y225-MAX(DATE(2023,5,1),D225))/365,1),0.25)
)
*3,
IF(J225="ردم",
K225*20,
K225*
(
DATEDIF(MAX(DATE(2023,5,1),D225),Y225,"m")+1
)
*
_xlfn.SWITCH(J225,
"موقف/تندة",6,
"تشوينات",4,
"مشاتل",2,
"رسو مراكب",6,
"مباني",3,
"عشش",1,
"كشك (تجاري/صناعي)",20,
"مواسير صرف صحي (&lt;1م)",16,
"مواسير صرف صحي (&gt;1م)",18,
0))))</f>
        <v>1462.5</v>
      </c>
      <c r="AD225" s="1">
        <f t="shared" ca="1" si="24"/>
        <v>55</v>
      </c>
    </row>
    <row r="226" spans="1:30" ht="18.75" x14ac:dyDescent="0.25">
      <c r="A226" s="37">
        <v>196</v>
      </c>
      <c r="B226" s="3">
        <v>85</v>
      </c>
      <c r="C226" s="3">
        <v>2016</v>
      </c>
      <c r="D226" s="7">
        <v>42459</v>
      </c>
      <c r="E226" s="11"/>
      <c r="F226" s="3"/>
      <c r="G226" s="3" t="s">
        <v>316</v>
      </c>
      <c r="H226" s="6"/>
      <c r="I226" s="6" t="s">
        <v>103</v>
      </c>
      <c r="J226" s="3" t="s">
        <v>146</v>
      </c>
      <c r="K226" s="6">
        <v>150</v>
      </c>
      <c r="L226" s="3" t="s">
        <v>89</v>
      </c>
      <c r="M226" s="7"/>
      <c r="N226" s="6"/>
      <c r="O226" s="9">
        <f>0.47*Table2[[#This Row],[قيمة المحضر]]</f>
        <v>0</v>
      </c>
      <c r="P226" s="9">
        <f>0.17*Table2[[#This Row],[قيمة المحضر]]</f>
        <v>0</v>
      </c>
      <c r="Q226" s="9">
        <f t="shared" ca="1" si="25"/>
        <v>2287.5</v>
      </c>
      <c r="R226" s="3"/>
      <c r="S226" s="3"/>
      <c r="T226" s="9" t="str">
        <f t="shared" si="26"/>
        <v>-</v>
      </c>
      <c r="U226" s="3" t="s">
        <v>25</v>
      </c>
      <c r="V226" s="9" t="str">
        <f t="shared" si="27"/>
        <v>-</v>
      </c>
      <c r="W226" s="4"/>
      <c r="X226" s="38"/>
      <c r="Y226" s="1">
        <f t="shared" ca="1" si="23"/>
        <v>46162</v>
      </c>
      <c r="Z226" s="1" cm="1">
        <f t="array" ref="Z226">IF(D226&gt;DATE(2015,5,16),0,
K226*
(
INT((MIN(Y226,DATE(2015,5,16))-D226)/365)
+
CEILING(MOD((MIN(Y226,DATE(2015,5,16))-D226)/365,1),0.25)
)
*
_xlfn.SWITCH(J226,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26" s="1" cm="1">
        <f t="array" aca="1" ref="AA226" ca="1">IF(Y226&lt;DATE(2015,5,17),0,
K226*
(
INT((MIN(Y226,DATE(2018,9,23))-MAX(D226,DATE(2015,5,17)))/365)
+
CEILING(MOD((MIN(Y226,DATE(2018,9,23))-MAX(D226,DATE(2015,5,17)))/365,1),0.25)
)
*
_xlfn.SWITCH(J226,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112.5</v>
      </c>
      <c r="AB226" s="1" cm="1">
        <f t="array" aca="1" ref="AB226" ca="1">IF(Y226&lt;DATE(2018,9,24),0,
IF(J226="زراعة",
K226*
(
INT((MIN(Y226,DATE(2023,4,30))-MAX(D226,DATE(2018,9,24)))/365)
+
CEILING(MOD((MIN(Y226,DATE(2023,4,30))-MAX(D226,DATE(2018,9,24)))/365,1),0.25)
)
*1,
K226*
(
DATEDIF(MAX(D226,DATE(2018,9,24)),MIN(Y226,DATE(2023,4,30)),"m")+1
)
*
_xlfn.SWITCH(J226,
"موقف/تندة",IF(D226&lt;DATE(2019,11,30),6,30),
"تشوينات",IF(D226&lt;DATE(2019,11,30),4,20),
"مشاتل",IF(D226&lt;DATE(2019,11,30),2,10),
"كافيتيريا",IF(D226&lt;DATE(2019,11,30),30,150),
"نوادي",IF(D226&lt;DATE(2019,11,30),6,30),
"رسو مراكب",IF(D226&lt;DATE(2019,11,30),2,10),
"مباني",IF(D226&lt;DATE(2018,9,24),2,10),
"عشش",IF(D226&lt;DATE(2019,11,30),2,10),
"كشك (تجاري/صناعي)",IF(D226&lt;DATE(2019,11,30),10,50),
"ردم",20,
0)))</f>
        <v>712.5</v>
      </c>
      <c r="AC226" s="1" cm="1">
        <f t="array" aca="1" ref="AC226" ca="1">IF(Y226&lt;DATE(2023,5,1),0,
IF(J226="زراعة",
K226*
(
INT((Y226-MAX(DATE(2023,5,1),D226))/365)
+
CEILING(MOD((Y226-MAX(DATE(2023,5,1),D226))/365,1),0.25)
)
*3,
IF(J226="ردم",
K226*20,
K226*
(
DATEDIF(MAX(DATE(2023,5,1),D226),Y226,"m")+1
)
*
_xlfn.SWITCH(J226,
"موقف/تندة",6,
"تشوينات",4,
"مشاتل",2,
"رسو مراكب",6,
"مباني",3,
"عشش",1,
"كشك (تجاري/صناعي)",20,
"مواسير صرف صحي (&lt;1م)",16,
"مواسير صرف صحي (&gt;1م)",18,
0))))</f>
        <v>1462.5</v>
      </c>
      <c r="AD226" s="1">
        <f t="shared" ca="1" si="24"/>
        <v>55</v>
      </c>
    </row>
    <row r="227" spans="1:30" ht="18.75" x14ac:dyDescent="0.25">
      <c r="A227" s="37">
        <v>197</v>
      </c>
      <c r="B227" s="3">
        <v>86</v>
      </c>
      <c r="C227" s="3">
        <v>2016</v>
      </c>
      <c r="D227" s="7">
        <v>42472</v>
      </c>
      <c r="E227" s="11"/>
      <c r="F227" s="3"/>
      <c r="G227" s="3" t="s">
        <v>317</v>
      </c>
      <c r="H227" s="6"/>
      <c r="I227" s="6" t="s">
        <v>371</v>
      </c>
      <c r="J227" s="3" t="s">
        <v>145</v>
      </c>
      <c r="K227" s="6"/>
      <c r="L227" s="3" t="s">
        <v>376</v>
      </c>
      <c r="M227" s="7"/>
      <c r="N227" s="6"/>
      <c r="O227" s="9">
        <f>0.47*Table2[[#This Row],[قيمة المحضر]]</f>
        <v>0</v>
      </c>
      <c r="P227" s="9">
        <f>0.17*Table2[[#This Row],[قيمة المحضر]]</f>
        <v>0</v>
      </c>
      <c r="Q227" s="9">
        <f t="shared" ca="1" si="25"/>
        <v>0</v>
      </c>
      <c r="R227" s="3"/>
      <c r="S227" s="3"/>
      <c r="T227" s="9" t="str">
        <f t="shared" si="26"/>
        <v>-</v>
      </c>
      <c r="U227" s="3" t="s">
        <v>25</v>
      </c>
      <c r="V227" s="9" t="str">
        <f t="shared" si="27"/>
        <v>-</v>
      </c>
      <c r="W227" s="4"/>
      <c r="X227" s="38"/>
      <c r="Y227" s="1">
        <f t="shared" ca="1" si="23"/>
        <v>46162</v>
      </c>
      <c r="Z227" s="1" cm="1">
        <f t="array" ref="Z227">IF(D227&gt;DATE(2015,5,16),0,
K227*
(
INT((MIN(Y227,DATE(2015,5,16))-D227)/365)
+
CEILING(MOD((MIN(Y227,DATE(2015,5,16))-D227)/365,1),0.25)
)
*
_xlfn.SWITCH(J227,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27" s="1" cm="1">
        <f t="array" aca="1" ref="AA227" ca="1">IF(Y227&lt;DATE(2015,5,17),0,
K227*
(
INT((MIN(Y227,DATE(2018,9,23))-MAX(D227,DATE(2015,5,17)))/365)
+
CEILING(MOD((MIN(Y227,DATE(2018,9,23))-MAX(D227,DATE(2015,5,17)))/365,1),0.25)
)
*
_xlfn.SWITCH(J227,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27" s="1" cm="1">
        <f t="array" aca="1" ref="AB227" ca="1">IF(Y227&lt;DATE(2018,9,24),0,
IF(J227="زراعة",
K227*
(
INT((MIN(Y227,DATE(2023,4,30))-MAX(D227,DATE(2018,9,24)))/365)
+
CEILING(MOD((MIN(Y227,DATE(2023,4,30))-MAX(D227,DATE(2018,9,24)))/365,1),0.25)
)
*1,
K227*
(
DATEDIF(MAX(D227,DATE(2018,9,24)),MIN(Y227,DATE(2023,4,30)),"m")+1
)
*
_xlfn.SWITCH(J227,
"موقف/تندة",IF(D227&lt;DATE(2019,11,30),6,30),
"تشوينات",IF(D227&lt;DATE(2019,11,30),4,20),
"مشاتل",IF(D227&lt;DATE(2019,11,30),2,10),
"كافيتيريا",IF(D227&lt;DATE(2019,11,30),30,150),
"نوادي",IF(D227&lt;DATE(2019,11,30),6,30),
"رسو مراكب",IF(D227&lt;DATE(2019,11,30),2,10),
"مباني",IF(D227&lt;DATE(2018,9,24),2,10),
"عشش",IF(D227&lt;DATE(2019,11,30),2,10),
"كشك (تجاري/صناعي)",IF(D227&lt;DATE(2019,11,30),10,50),
"ردم",20,
0)))</f>
        <v>0</v>
      </c>
      <c r="AC227" s="1" cm="1">
        <f t="array" aca="1" ref="AC227" ca="1">IF(Y227&lt;DATE(2023,5,1),0,
IF(J227="زراعة",
K227*
(
INT((Y227-MAX(DATE(2023,5,1),D227))/365)
+
CEILING(MOD((Y227-MAX(DATE(2023,5,1),D227))/365,1),0.25)
)
*3,
IF(J227="ردم",
K227*20,
K227*
(
DATEDIF(MAX(DATE(2023,5,1),D227),Y227,"m")+1
)
*
_xlfn.SWITCH(J227,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27" s="1">
        <f t="shared" ca="1" si="24"/>
        <v>55</v>
      </c>
    </row>
    <row r="228" spans="1:30" ht="18.75" x14ac:dyDescent="0.25">
      <c r="A228" s="37">
        <v>198</v>
      </c>
      <c r="B228" s="3">
        <v>87</v>
      </c>
      <c r="C228" s="3">
        <v>2016</v>
      </c>
      <c r="D228" s="7">
        <v>42474</v>
      </c>
      <c r="E228" s="11"/>
      <c r="F228" s="3"/>
      <c r="G228" s="3" t="s">
        <v>317</v>
      </c>
      <c r="H228" s="6"/>
      <c r="I228" s="6" t="s">
        <v>372</v>
      </c>
      <c r="J228" s="3" t="s">
        <v>145</v>
      </c>
      <c r="K228" s="6"/>
      <c r="L228" s="3" t="s">
        <v>376</v>
      </c>
      <c r="M228" s="7"/>
      <c r="N228" s="6"/>
      <c r="O228" s="9">
        <f>0.47*Table2[[#This Row],[قيمة المحضر]]</f>
        <v>0</v>
      </c>
      <c r="P228" s="9">
        <f>0.17*Table2[[#This Row],[قيمة المحضر]]</f>
        <v>0</v>
      </c>
      <c r="Q228" s="9">
        <f t="shared" ca="1" si="25"/>
        <v>0</v>
      </c>
      <c r="R228" s="3"/>
      <c r="S228" s="3"/>
      <c r="T228" s="9" t="str">
        <f t="shared" si="26"/>
        <v>-</v>
      </c>
      <c r="U228" s="3" t="s">
        <v>25</v>
      </c>
      <c r="V228" s="9" t="str">
        <f t="shared" si="27"/>
        <v>-</v>
      </c>
      <c r="W228" s="4"/>
      <c r="X228" s="38"/>
      <c r="Y228" s="1">
        <f t="shared" ca="1" si="23"/>
        <v>46162</v>
      </c>
      <c r="Z228" s="1" cm="1">
        <f t="array" ref="Z228">IF(D228&gt;DATE(2015,5,16),0,
K228*
(
INT((MIN(Y228,DATE(2015,5,16))-D228)/365)
+
CEILING(MOD((MIN(Y228,DATE(2015,5,16))-D228)/365,1),0.25)
)
*
_xlfn.SWITCH(J228,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28" s="1" cm="1">
        <f t="array" aca="1" ref="AA228" ca="1">IF(Y228&lt;DATE(2015,5,17),0,
K228*
(
INT((MIN(Y228,DATE(2018,9,23))-MAX(D228,DATE(2015,5,17)))/365)
+
CEILING(MOD((MIN(Y228,DATE(2018,9,23))-MAX(D228,DATE(2015,5,17)))/365,1),0.25)
)
*
_xlfn.SWITCH(J228,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28" s="1" cm="1">
        <f t="array" aca="1" ref="AB228" ca="1">IF(Y228&lt;DATE(2018,9,24),0,
IF(J228="زراعة",
K228*
(
INT((MIN(Y228,DATE(2023,4,30))-MAX(D228,DATE(2018,9,24)))/365)
+
CEILING(MOD((MIN(Y228,DATE(2023,4,30))-MAX(D228,DATE(2018,9,24)))/365,1),0.25)
)
*1,
K228*
(
DATEDIF(MAX(D228,DATE(2018,9,24)),MIN(Y228,DATE(2023,4,30)),"m")+1
)
*
_xlfn.SWITCH(J228,
"موقف/تندة",IF(D228&lt;DATE(2019,11,30),6,30),
"تشوينات",IF(D228&lt;DATE(2019,11,30),4,20),
"مشاتل",IF(D228&lt;DATE(2019,11,30),2,10),
"كافيتيريا",IF(D228&lt;DATE(2019,11,30),30,150),
"نوادي",IF(D228&lt;DATE(2019,11,30),6,30),
"رسو مراكب",IF(D228&lt;DATE(2019,11,30),2,10),
"مباني",IF(D228&lt;DATE(2018,9,24),2,10),
"عشش",IF(D228&lt;DATE(2019,11,30),2,10),
"كشك (تجاري/صناعي)",IF(D228&lt;DATE(2019,11,30),10,50),
"ردم",20,
0)))</f>
        <v>0</v>
      </c>
      <c r="AC228" s="1" cm="1">
        <f t="array" aca="1" ref="AC228" ca="1">IF(Y228&lt;DATE(2023,5,1),0,
IF(J228="زراعة",
K228*
(
INT((Y228-MAX(DATE(2023,5,1),D228))/365)
+
CEILING(MOD((Y228-MAX(DATE(2023,5,1),D228))/365,1),0.25)
)
*3,
IF(J228="ردم",
K228*20,
K228*
(
DATEDIF(MAX(DATE(2023,5,1),D228),Y228,"m")+1
)
*
_xlfn.SWITCH(J228,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28" s="1">
        <f t="shared" ca="1" si="24"/>
        <v>55</v>
      </c>
    </row>
    <row r="229" spans="1:30" ht="18.75" x14ac:dyDescent="0.25">
      <c r="A229" s="37">
        <v>199</v>
      </c>
      <c r="B229" s="3">
        <v>88</v>
      </c>
      <c r="C229" s="3">
        <v>2016</v>
      </c>
      <c r="D229" s="7">
        <v>42474</v>
      </c>
      <c r="E229" s="11"/>
      <c r="F229" s="3"/>
      <c r="G229" s="3" t="s">
        <v>317</v>
      </c>
      <c r="H229" s="6"/>
      <c r="I229" s="6" t="s">
        <v>373</v>
      </c>
      <c r="J229" s="3" t="s">
        <v>145</v>
      </c>
      <c r="K229" s="6"/>
      <c r="L229" s="3" t="s">
        <v>376</v>
      </c>
      <c r="M229" s="7"/>
      <c r="N229" s="6"/>
      <c r="O229" s="9">
        <f>0.47*Table2[[#This Row],[قيمة المحضر]]</f>
        <v>0</v>
      </c>
      <c r="P229" s="9">
        <f>0.17*Table2[[#This Row],[قيمة المحضر]]</f>
        <v>0</v>
      </c>
      <c r="Q229" s="9">
        <f t="shared" ca="1" si="25"/>
        <v>0</v>
      </c>
      <c r="R229" s="3"/>
      <c r="S229" s="3"/>
      <c r="T229" s="9" t="str">
        <f t="shared" si="26"/>
        <v>-</v>
      </c>
      <c r="U229" s="3" t="s">
        <v>25</v>
      </c>
      <c r="V229" s="9" t="str">
        <f t="shared" si="27"/>
        <v>-</v>
      </c>
      <c r="W229" s="4"/>
      <c r="X229" s="38"/>
      <c r="Y229" s="1">
        <f t="shared" ca="1" si="23"/>
        <v>46162</v>
      </c>
      <c r="Z229" s="1" cm="1">
        <f t="array" ref="Z229">IF(D229&gt;DATE(2015,5,16),0,
K229*
(
INT((MIN(Y229,DATE(2015,5,16))-D229)/365)
+
CEILING(MOD((MIN(Y229,DATE(2015,5,16))-D229)/365,1),0.25)
)
*
_xlfn.SWITCH(J229,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29" s="1" cm="1">
        <f t="array" aca="1" ref="AA229" ca="1">IF(Y229&lt;DATE(2015,5,17),0,
K229*
(
INT((MIN(Y229,DATE(2018,9,23))-MAX(D229,DATE(2015,5,17)))/365)
+
CEILING(MOD((MIN(Y229,DATE(2018,9,23))-MAX(D229,DATE(2015,5,17)))/365,1),0.25)
)
*
_xlfn.SWITCH(J229,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29" s="1" cm="1">
        <f t="array" aca="1" ref="AB229" ca="1">IF(Y229&lt;DATE(2018,9,24),0,
IF(J229="زراعة",
K229*
(
INT((MIN(Y229,DATE(2023,4,30))-MAX(D229,DATE(2018,9,24)))/365)
+
CEILING(MOD((MIN(Y229,DATE(2023,4,30))-MAX(D229,DATE(2018,9,24)))/365,1),0.25)
)
*1,
K229*
(
DATEDIF(MAX(D229,DATE(2018,9,24)),MIN(Y229,DATE(2023,4,30)),"m")+1
)
*
_xlfn.SWITCH(J229,
"موقف/تندة",IF(D229&lt;DATE(2019,11,30),6,30),
"تشوينات",IF(D229&lt;DATE(2019,11,30),4,20),
"مشاتل",IF(D229&lt;DATE(2019,11,30),2,10),
"كافيتيريا",IF(D229&lt;DATE(2019,11,30),30,150),
"نوادي",IF(D229&lt;DATE(2019,11,30),6,30),
"رسو مراكب",IF(D229&lt;DATE(2019,11,30),2,10),
"مباني",IF(D229&lt;DATE(2018,9,24),2,10),
"عشش",IF(D229&lt;DATE(2019,11,30),2,10),
"كشك (تجاري/صناعي)",IF(D229&lt;DATE(2019,11,30),10,50),
"ردم",20,
0)))</f>
        <v>0</v>
      </c>
      <c r="AC229" s="1" cm="1">
        <f t="array" aca="1" ref="AC229" ca="1">IF(Y229&lt;DATE(2023,5,1),0,
IF(J229="زراعة",
K229*
(
INT((Y229-MAX(DATE(2023,5,1),D229))/365)
+
CEILING(MOD((Y229-MAX(DATE(2023,5,1),D229))/365,1),0.25)
)
*3,
IF(J229="ردم",
K229*20,
K229*
(
DATEDIF(MAX(DATE(2023,5,1),D229),Y229,"m")+1
)
*
_xlfn.SWITCH(J229,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29" s="1">
        <f t="shared" ca="1" si="24"/>
        <v>55</v>
      </c>
    </row>
    <row r="230" spans="1:30" ht="18.75" x14ac:dyDescent="0.25">
      <c r="A230" s="37">
        <v>200</v>
      </c>
      <c r="B230" s="3">
        <v>89</v>
      </c>
      <c r="C230" s="3">
        <v>2016</v>
      </c>
      <c r="D230" s="7">
        <v>42477</v>
      </c>
      <c r="E230" s="11"/>
      <c r="F230" s="3"/>
      <c r="G230" s="3" t="s">
        <v>317</v>
      </c>
      <c r="H230" s="6"/>
      <c r="I230" s="6" t="s">
        <v>104</v>
      </c>
      <c r="J230" s="3" t="s">
        <v>145</v>
      </c>
      <c r="K230" s="6"/>
      <c r="L230" s="3" t="s">
        <v>376</v>
      </c>
      <c r="M230" s="7"/>
      <c r="N230" s="6"/>
      <c r="O230" s="9">
        <f>0.47*Table2[[#This Row],[قيمة المحضر]]</f>
        <v>0</v>
      </c>
      <c r="P230" s="9">
        <f>0.17*Table2[[#This Row],[قيمة المحضر]]</f>
        <v>0</v>
      </c>
      <c r="Q230" s="9">
        <f t="shared" ca="1" si="25"/>
        <v>0</v>
      </c>
      <c r="R230" s="3"/>
      <c r="S230" s="3"/>
      <c r="T230" s="9" t="str">
        <f t="shared" si="26"/>
        <v>-</v>
      </c>
      <c r="U230" s="3" t="s">
        <v>25</v>
      </c>
      <c r="V230" s="9" t="str">
        <f t="shared" si="27"/>
        <v>-</v>
      </c>
      <c r="W230" s="4"/>
      <c r="X230" s="38"/>
      <c r="Y230" s="1">
        <f t="shared" ca="1" si="23"/>
        <v>46162</v>
      </c>
      <c r="Z230" s="1" cm="1">
        <f t="array" ref="Z230">IF(D230&gt;DATE(2015,5,16),0,
K230*
(
INT((MIN(Y230,DATE(2015,5,16))-D230)/365)
+
CEILING(MOD((MIN(Y230,DATE(2015,5,16))-D230)/365,1),0.25)
)
*
_xlfn.SWITCH(J230,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30" s="1" cm="1">
        <f t="array" aca="1" ref="AA230" ca="1">IF(Y230&lt;DATE(2015,5,17),0,
K230*
(
INT((MIN(Y230,DATE(2018,9,23))-MAX(D230,DATE(2015,5,17)))/365)
+
CEILING(MOD((MIN(Y230,DATE(2018,9,23))-MAX(D230,DATE(2015,5,17)))/365,1),0.25)
)
*
_xlfn.SWITCH(J230,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30" s="1" cm="1">
        <f t="array" aca="1" ref="AB230" ca="1">IF(Y230&lt;DATE(2018,9,24),0,
IF(J230="زراعة",
K230*
(
INT((MIN(Y230,DATE(2023,4,30))-MAX(D230,DATE(2018,9,24)))/365)
+
CEILING(MOD((MIN(Y230,DATE(2023,4,30))-MAX(D230,DATE(2018,9,24)))/365,1),0.25)
)
*1,
K230*
(
DATEDIF(MAX(D230,DATE(2018,9,24)),MIN(Y230,DATE(2023,4,30)),"m")+1
)
*
_xlfn.SWITCH(J230,
"موقف/تندة",IF(D230&lt;DATE(2019,11,30),6,30),
"تشوينات",IF(D230&lt;DATE(2019,11,30),4,20),
"مشاتل",IF(D230&lt;DATE(2019,11,30),2,10),
"كافيتيريا",IF(D230&lt;DATE(2019,11,30),30,150),
"نوادي",IF(D230&lt;DATE(2019,11,30),6,30),
"رسو مراكب",IF(D230&lt;DATE(2019,11,30),2,10),
"مباني",IF(D230&lt;DATE(2018,9,24),2,10),
"عشش",IF(D230&lt;DATE(2019,11,30),2,10),
"كشك (تجاري/صناعي)",IF(D230&lt;DATE(2019,11,30),10,50),
"ردم",20,
0)))</f>
        <v>0</v>
      </c>
      <c r="AC230" s="1" cm="1">
        <f t="array" aca="1" ref="AC230" ca="1">IF(Y230&lt;DATE(2023,5,1),0,
IF(J230="زراعة",
K230*
(
INT((Y230-MAX(DATE(2023,5,1),D230))/365)
+
CEILING(MOD((Y230-MAX(DATE(2023,5,1),D230))/365,1),0.25)
)
*3,
IF(J230="ردم",
K230*20,
K230*
(
DATEDIF(MAX(DATE(2023,5,1),D230),Y230,"m")+1
)
*
_xlfn.SWITCH(J230,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30" s="1">
        <f t="shared" ca="1" si="24"/>
        <v>55</v>
      </c>
    </row>
    <row r="231" spans="1:30" ht="18.75" x14ac:dyDescent="0.25">
      <c r="A231" s="37">
        <v>201</v>
      </c>
      <c r="B231" s="3">
        <v>90</v>
      </c>
      <c r="C231" s="3">
        <v>2016</v>
      </c>
      <c r="D231" s="7">
        <v>42477</v>
      </c>
      <c r="E231" s="11"/>
      <c r="F231" s="3"/>
      <c r="G231" s="3" t="s">
        <v>317</v>
      </c>
      <c r="H231" s="6"/>
      <c r="I231" s="6" t="s">
        <v>144</v>
      </c>
      <c r="J231" s="3" t="s">
        <v>145</v>
      </c>
      <c r="K231" s="6"/>
      <c r="L231" s="3" t="s">
        <v>88</v>
      </c>
      <c r="M231" s="7"/>
      <c r="N231" s="6"/>
      <c r="O231" s="9">
        <f>0.47*Table2[[#This Row],[قيمة المحضر]]</f>
        <v>0</v>
      </c>
      <c r="P231" s="9">
        <f>0.17*Table2[[#This Row],[قيمة المحضر]]</f>
        <v>0</v>
      </c>
      <c r="Q231" s="9">
        <f t="shared" ca="1" si="25"/>
        <v>0</v>
      </c>
      <c r="R231" s="3"/>
      <c r="S231" s="3"/>
      <c r="T231" s="9" t="str">
        <f t="shared" si="26"/>
        <v>-</v>
      </c>
      <c r="U231" s="3" t="s">
        <v>25</v>
      </c>
      <c r="V231" s="9" t="str">
        <f t="shared" si="27"/>
        <v>-</v>
      </c>
      <c r="W231" s="4"/>
      <c r="X231" s="38"/>
      <c r="Y231" s="1">
        <f t="shared" ca="1" si="23"/>
        <v>46162</v>
      </c>
      <c r="Z231" s="1" cm="1">
        <f t="array" ref="Z231">IF(D231&gt;DATE(2015,5,16),0,
K231*
(
INT((MIN(Y231,DATE(2015,5,16))-D231)/365)
+
CEILING(MOD((MIN(Y231,DATE(2015,5,16))-D231)/365,1),0.25)
)
*
_xlfn.SWITCH(J231,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31" s="1" cm="1">
        <f t="array" aca="1" ref="AA231" ca="1">IF(Y231&lt;DATE(2015,5,17),0,
K231*
(
INT((MIN(Y231,DATE(2018,9,23))-MAX(D231,DATE(2015,5,17)))/365)
+
CEILING(MOD((MIN(Y231,DATE(2018,9,23))-MAX(D231,DATE(2015,5,17)))/365,1),0.25)
)
*
_xlfn.SWITCH(J231,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31" s="1" cm="1">
        <f t="array" aca="1" ref="AB231" ca="1">IF(Y231&lt;DATE(2018,9,24),0,
IF(J231="زراعة",
K231*
(
INT((MIN(Y231,DATE(2023,4,30))-MAX(D231,DATE(2018,9,24)))/365)
+
CEILING(MOD((MIN(Y231,DATE(2023,4,30))-MAX(D231,DATE(2018,9,24)))/365,1),0.25)
)
*1,
K231*
(
DATEDIF(MAX(D231,DATE(2018,9,24)),MIN(Y231,DATE(2023,4,30)),"m")+1
)
*
_xlfn.SWITCH(J231,
"موقف/تندة",IF(D231&lt;DATE(2019,11,30),6,30),
"تشوينات",IF(D231&lt;DATE(2019,11,30),4,20),
"مشاتل",IF(D231&lt;DATE(2019,11,30),2,10),
"كافيتيريا",IF(D231&lt;DATE(2019,11,30),30,150),
"نوادي",IF(D231&lt;DATE(2019,11,30),6,30),
"رسو مراكب",IF(D231&lt;DATE(2019,11,30),2,10),
"مباني",IF(D231&lt;DATE(2018,9,24),2,10),
"عشش",IF(D231&lt;DATE(2019,11,30),2,10),
"كشك (تجاري/صناعي)",IF(D231&lt;DATE(2019,11,30),10,50),
"ردم",20,
0)))</f>
        <v>0</v>
      </c>
      <c r="AC231" s="1" cm="1">
        <f t="array" aca="1" ref="AC231" ca="1">IF(Y231&lt;DATE(2023,5,1),0,
IF(J231="زراعة",
K231*
(
INT((Y231-MAX(DATE(2023,5,1),D231))/365)
+
CEILING(MOD((Y231-MAX(DATE(2023,5,1),D231))/365,1),0.25)
)
*3,
IF(J231="ردم",
K231*20,
K231*
(
DATEDIF(MAX(DATE(2023,5,1),D231),Y231,"m")+1
)
*
_xlfn.SWITCH(J231,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31" s="1">
        <f t="shared" ca="1" si="24"/>
        <v>55</v>
      </c>
    </row>
    <row r="232" spans="1:30" ht="18.75" x14ac:dyDescent="0.25">
      <c r="A232" s="37">
        <v>202</v>
      </c>
      <c r="B232" s="3">
        <v>91</v>
      </c>
      <c r="C232" s="3">
        <v>2016</v>
      </c>
      <c r="D232" s="7">
        <v>42477</v>
      </c>
      <c r="E232" s="11"/>
      <c r="F232" s="3"/>
      <c r="G232" s="3" t="s">
        <v>317</v>
      </c>
      <c r="H232" s="6"/>
      <c r="I232" s="6" t="s">
        <v>102</v>
      </c>
      <c r="J232" s="3" t="s">
        <v>145</v>
      </c>
      <c r="K232" s="6"/>
      <c r="L232" s="3" t="s">
        <v>88</v>
      </c>
      <c r="M232" s="7"/>
      <c r="N232" s="6"/>
      <c r="O232" s="9">
        <f>0.47*Table2[[#This Row],[قيمة المحضر]]</f>
        <v>0</v>
      </c>
      <c r="P232" s="9">
        <f>0.17*Table2[[#This Row],[قيمة المحضر]]</f>
        <v>0</v>
      </c>
      <c r="Q232" s="9">
        <f t="shared" ca="1" si="25"/>
        <v>0</v>
      </c>
      <c r="R232" s="3"/>
      <c r="S232" s="3"/>
      <c r="T232" s="9" t="str">
        <f t="shared" si="26"/>
        <v>-</v>
      </c>
      <c r="U232" s="3" t="s">
        <v>25</v>
      </c>
      <c r="V232" s="9" t="str">
        <f t="shared" si="27"/>
        <v>-</v>
      </c>
      <c r="W232" s="4"/>
      <c r="X232" s="38"/>
      <c r="Y232" s="1">
        <f t="shared" ca="1" si="23"/>
        <v>46162</v>
      </c>
      <c r="Z232" s="1" cm="1">
        <f t="array" ref="Z232">IF(D232&gt;DATE(2015,5,16),0,
K232*
(
INT((MIN(Y232,DATE(2015,5,16))-D232)/365)
+
CEILING(MOD((MIN(Y232,DATE(2015,5,16))-D232)/365,1),0.25)
)
*
_xlfn.SWITCH(J232,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32" s="1" cm="1">
        <f t="array" aca="1" ref="AA232" ca="1">IF(Y232&lt;DATE(2015,5,17),0,
K232*
(
INT((MIN(Y232,DATE(2018,9,23))-MAX(D232,DATE(2015,5,17)))/365)
+
CEILING(MOD((MIN(Y232,DATE(2018,9,23))-MAX(D232,DATE(2015,5,17)))/365,1),0.25)
)
*
_xlfn.SWITCH(J232,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32" s="1" cm="1">
        <f t="array" aca="1" ref="AB232" ca="1">IF(Y232&lt;DATE(2018,9,24),0,
IF(J232="زراعة",
K232*
(
INT((MIN(Y232,DATE(2023,4,30))-MAX(D232,DATE(2018,9,24)))/365)
+
CEILING(MOD((MIN(Y232,DATE(2023,4,30))-MAX(D232,DATE(2018,9,24)))/365,1),0.25)
)
*1,
K232*
(
DATEDIF(MAX(D232,DATE(2018,9,24)),MIN(Y232,DATE(2023,4,30)),"m")+1
)
*
_xlfn.SWITCH(J232,
"موقف/تندة",IF(D232&lt;DATE(2019,11,30),6,30),
"تشوينات",IF(D232&lt;DATE(2019,11,30),4,20),
"مشاتل",IF(D232&lt;DATE(2019,11,30),2,10),
"كافيتيريا",IF(D232&lt;DATE(2019,11,30),30,150),
"نوادي",IF(D232&lt;DATE(2019,11,30),6,30),
"رسو مراكب",IF(D232&lt;DATE(2019,11,30),2,10),
"مباني",IF(D232&lt;DATE(2018,9,24),2,10),
"عشش",IF(D232&lt;DATE(2019,11,30),2,10),
"كشك (تجاري/صناعي)",IF(D232&lt;DATE(2019,11,30),10,50),
"ردم",20,
0)))</f>
        <v>0</v>
      </c>
      <c r="AC232" s="1" cm="1">
        <f t="array" aca="1" ref="AC232" ca="1">IF(Y232&lt;DATE(2023,5,1),0,
IF(J232="زراعة",
K232*
(
INT((Y232-MAX(DATE(2023,5,1),D232))/365)
+
CEILING(MOD((Y232-MAX(DATE(2023,5,1),D232))/365,1),0.25)
)
*3,
IF(J232="ردم",
K232*20,
K232*
(
DATEDIF(MAX(DATE(2023,5,1),D232),Y232,"m")+1
)
*
_xlfn.SWITCH(J232,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32" s="1">
        <f t="shared" ca="1" si="24"/>
        <v>55</v>
      </c>
    </row>
    <row r="233" spans="1:30" ht="18.75" x14ac:dyDescent="0.25">
      <c r="A233" s="37">
        <v>203</v>
      </c>
      <c r="B233" s="3">
        <v>92</v>
      </c>
      <c r="C233" s="3">
        <v>2016</v>
      </c>
      <c r="D233" s="7">
        <v>42479</v>
      </c>
      <c r="E233" s="11"/>
      <c r="F233" s="3"/>
      <c r="G233" s="3" t="s">
        <v>317</v>
      </c>
      <c r="H233" s="6"/>
      <c r="I233" s="6" t="s">
        <v>102</v>
      </c>
      <c r="J233" s="3" t="s">
        <v>145</v>
      </c>
      <c r="K233" s="6"/>
      <c r="L233" s="3" t="s">
        <v>88</v>
      </c>
      <c r="M233" s="7"/>
      <c r="N233" s="6"/>
      <c r="O233" s="9">
        <f>0.47*Table2[[#This Row],[قيمة المحضر]]</f>
        <v>0</v>
      </c>
      <c r="P233" s="9">
        <f>0.17*Table2[[#This Row],[قيمة المحضر]]</f>
        <v>0</v>
      </c>
      <c r="Q233" s="9">
        <f t="shared" ca="1" si="25"/>
        <v>0</v>
      </c>
      <c r="R233" s="3"/>
      <c r="S233" s="3"/>
      <c r="T233" s="9" t="str">
        <f t="shared" si="26"/>
        <v>-</v>
      </c>
      <c r="U233" s="3" t="s">
        <v>25</v>
      </c>
      <c r="V233" s="9" t="str">
        <f t="shared" si="27"/>
        <v>-</v>
      </c>
      <c r="W233" s="4"/>
      <c r="X233" s="38"/>
      <c r="Y233" s="1">
        <f t="shared" ca="1" si="23"/>
        <v>46162</v>
      </c>
      <c r="Z233" s="1" cm="1">
        <f t="array" ref="Z233">IF(D233&gt;DATE(2015,5,16),0,
K233*
(
INT((MIN(Y233,DATE(2015,5,16))-D233)/365)
+
CEILING(MOD((MIN(Y233,DATE(2015,5,16))-D233)/365,1),0.25)
)
*
_xlfn.SWITCH(J233,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33" s="1" cm="1">
        <f t="array" aca="1" ref="AA233" ca="1">IF(Y233&lt;DATE(2015,5,17),0,
K233*
(
INT((MIN(Y233,DATE(2018,9,23))-MAX(D233,DATE(2015,5,17)))/365)
+
CEILING(MOD((MIN(Y233,DATE(2018,9,23))-MAX(D233,DATE(2015,5,17)))/365,1),0.25)
)
*
_xlfn.SWITCH(J233,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33" s="1" cm="1">
        <f t="array" aca="1" ref="AB233" ca="1">IF(Y233&lt;DATE(2018,9,24),0,
IF(J233="زراعة",
K233*
(
INT((MIN(Y233,DATE(2023,4,30))-MAX(D233,DATE(2018,9,24)))/365)
+
CEILING(MOD((MIN(Y233,DATE(2023,4,30))-MAX(D233,DATE(2018,9,24)))/365,1),0.25)
)
*1,
K233*
(
DATEDIF(MAX(D233,DATE(2018,9,24)),MIN(Y233,DATE(2023,4,30)),"m")+1
)
*
_xlfn.SWITCH(J233,
"موقف/تندة",IF(D233&lt;DATE(2019,11,30),6,30),
"تشوينات",IF(D233&lt;DATE(2019,11,30),4,20),
"مشاتل",IF(D233&lt;DATE(2019,11,30),2,10),
"كافيتيريا",IF(D233&lt;DATE(2019,11,30),30,150),
"نوادي",IF(D233&lt;DATE(2019,11,30),6,30),
"رسو مراكب",IF(D233&lt;DATE(2019,11,30),2,10),
"مباني",IF(D233&lt;DATE(2018,9,24),2,10),
"عشش",IF(D233&lt;DATE(2019,11,30),2,10),
"كشك (تجاري/صناعي)",IF(D233&lt;DATE(2019,11,30),10,50),
"ردم",20,
0)))</f>
        <v>0</v>
      </c>
      <c r="AC233" s="1" cm="1">
        <f t="array" aca="1" ref="AC233" ca="1">IF(Y233&lt;DATE(2023,5,1),0,
IF(J233="زراعة",
K233*
(
INT((Y233-MAX(DATE(2023,5,1),D233))/365)
+
CEILING(MOD((Y233-MAX(DATE(2023,5,1),D233))/365,1),0.25)
)
*3,
IF(J233="ردم",
K233*20,
K233*
(
DATEDIF(MAX(DATE(2023,5,1),D233),Y233,"m")+1
)
*
_xlfn.SWITCH(J233,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33" s="1">
        <f t="shared" ca="1" si="24"/>
        <v>55</v>
      </c>
    </row>
    <row r="234" spans="1:30" ht="18.75" x14ac:dyDescent="0.25">
      <c r="A234" s="37">
        <v>204</v>
      </c>
      <c r="B234" s="3">
        <v>93</v>
      </c>
      <c r="C234" s="3">
        <v>2016</v>
      </c>
      <c r="D234" s="7">
        <v>42480</v>
      </c>
      <c r="E234" s="11"/>
      <c r="F234" s="3"/>
      <c r="G234" s="3" t="s">
        <v>317</v>
      </c>
      <c r="H234" s="6"/>
      <c r="I234" s="6" t="s">
        <v>104</v>
      </c>
      <c r="J234" s="3" t="s">
        <v>145</v>
      </c>
      <c r="K234" s="6"/>
      <c r="L234" s="3" t="s">
        <v>88</v>
      </c>
      <c r="M234" s="7"/>
      <c r="N234" s="6"/>
      <c r="O234" s="9">
        <f>0.47*Table2[[#This Row],[قيمة المحضر]]</f>
        <v>0</v>
      </c>
      <c r="P234" s="9">
        <f>0.17*Table2[[#This Row],[قيمة المحضر]]</f>
        <v>0</v>
      </c>
      <c r="Q234" s="9">
        <f t="shared" ca="1" si="25"/>
        <v>0</v>
      </c>
      <c r="R234" s="3"/>
      <c r="S234" s="3"/>
      <c r="T234" s="9" t="str">
        <f t="shared" si="26"/>
        <v>-</v>
      </c>
      <c r="U234" s="3" t="s">
        <v>25</v>
      </c>
      <c r="V234" s="9" t="str">
        <f t="shared" si="27"/>
        <v>-</v>
      </c>
      <c r="W234" s="4"/>
      <c r="X234" s="38"/>
      <c r="Y234" s="1">
        <f t="shared" ca="1" si="23"/>
        <v>46162</v>
      </c>
      <c r="Z234" s="1" cm="1">
        <f t="array" ref="Z234">IF(D234&gt;DATE(2015,5,16),0,
K234*
(
INT((MIN(Y234,DATE(2015,5,16))-D234)/365)
+
CEILING(MOD((MIN(Y234,DATE(2015,5,16))-D234)/365,1),0.25)
)
*
_xlfn.SWITCH(J234,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34" s="1" cm="1">
        <f t="array" aca="1" ref="AA234" ca="1">IF(Y234&lt;DATE(2015,5,17),0,
K234*
(
INT((MIN(Y234,DATE(2018,9,23))-MAX(D234,DATE(2015,5,17)))/365)
+
CEILING(MOD((MIN(Y234,DATE(2018,9,23))-MAX(D234,DATE(2015,5,17)))/365,1),0.25)
)
*
_xlfn.SWITCH(J234,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34" s="1" cm="1">
        <f t="array" aca="1" ref="AB234" ca="1">IF(Y234&lt;DATE(2018,9,24),0,
IF(J234="زراعة",
K234*
(
INT((MIN(Y234,DATE(2023,4,30))-MAX(D234,DATE(2018,9,24)))/365)
+
CEILING(MOD((MIN(Y234,DATE(2023,4,30))-MAX(D234,DATE(2018,9,24)))/365,1),0.25)
)
*1,
K234*
(
DATEDIF(MAX(D234,DATE(2018,9,24)),MIN(Y234,DATE(2023,4,30)),"m")+1
)
*
_xlfn.SWITCH(J234,
"موقف/تندة",IF(D234&lt;DATE(2019,11,30),6,30),
"تشوينات",IF(D234&lt;DATE(2019,11,30),4,20),
"مشاتل",IF(D234&lt;DATE(2019,11,30),2,10),
"كافيتيريا",IF(D234&lt;DATE(2019,11,30),30,150),
"نوادي",IF(D234&lt;DATE(2019,11,30),6,30),
"رسو مراكب",IF(D234&lt;DATE(2019,11,30),2,10),
"مباني",IF(D234&lt;DATE(2018,9,24),2,10),
"عشش",IF(D234&lt;DATE(2019,11,30),2,10),
"كشك (تجاري/صناعي)",IF(D234&lt;DATE(2019,11,30),10,50),
"ردم",20,
0)))</f>
        <v>0</v>
      </c>
      <c r="AC234" s="1" cm="1">
        <f t="array" aca="1" ref="AC234" ca="1">IF(Y234&lt;DATE(2023,5,1),0,
IF(J234="زراعة",
K234*
(
INT((Y234-MAX(DATE(2023,5,1),D234))/365)
+
CEILING(MOD((Y234-MAX(DATE(2023,5,1),D234))/365,1),0.25)
)
*3,
IF(J234="ردم",
K234*20,
K234*
(
DATEDIF(MAX(DATE(2023,5,1),D234),Y234,"m")+1
)
*
_xlfn.SWITCH(J234,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34" s="1">
        <f t="shared" ca="1" si="24"/>
        <v>55</v>
      </c>
    </row>
    <row r="235" spans="1:30" ht="18.75" x14ac:dyDescent="0.25">
      <c r="A235" s="37">
        <v>205</v>
      </c>
      <c r="B235" s="3">
        <v>94</v>
      </c>
      <c r="C235" s="3">
        <v>2016</v>
      </c>
      <c r="D235" s="7">
        <v>42480</v>
      </c>
      <c r="E235" s="11"/>
      <c r="F235" s="3"/>
      <c r="G235" s="3" t="s">
        <v>317</v>
      </c>
      <c r="H235" s="6"/>
      <c r="I235" s="6" t="s">
        <v>372</v>
      </c>
      <c r="J235" s="3" t="s">
        <v>145</v>
      </c>
      <c r="K235" s="6"/>
      <c r="L235" s="3" t="s">
        <v>88</v>
      </c>
      <c r="M235" s="7"/>
      <c r="N235" s="6"/>
      <c r="O235" s="9">
        <f>0.47*Table2[[#This Row],[قيمة المحضر]]</f>
        <v>0</v>
      </c>
      <c r="P235" s="9">
        <f>0.17*Table2[[#This Row],[قيمة المحضر]]</f>
        <v>0</v>
      </c>
      <c r="Q235" s="9">
        <f t="shared" ca="1" si="25"/>
        <v>0</v>
      </c>
      <c r="R235" s="3"/>
      <c r="S235" s="3"/>
      <c r="T235" s="9" t="str">
        <f t="shared" si="26"/>
        <v>-</v>
      </c>
      <c r="U235" s="3" t="s">
        <v>25</v>
      </c>
      <c r="V235" s="9" t="str">
        <f t="shared" si="27"/>
        <v>-</v>
      </c>
      <c r="W235" s="4"/>
      <c r="X235" s="38"/>
      <c r="Y235" s="1">
        <f t="shared" ca="1" si="23"/>
        <v>46162</v>
      </c>
      <c r="Z235" s="1" cm="1">
        <f t="array" ref="Z235">IF(D235&gt;DATE(2015,5,16),0,
K235*
(
INT((MIN(Y235,DATE(2015,5,16))-D235)/365)
+
CEILING(MOD((MIN(Y235,DATE(2015,5,16))-D235)/365,1),0.25)
)
*
_xlfn.SWITCH(J235,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35" s="1" cm="1">
        <f t="array" aca="1" ref="AA235" ca="1">IF(Y235&lt;DATE(2015,5,17),0,
K235*
(
INT((MIN(Y235,DATE(2018,9,23))-MAX(D235,DATE(2015,5,17)))/365)
+
CEILING(MOD((MIN(Y235,DATE(2018,9,23))-MAX(D235,DATE(2015,5,17)))/365,1),0.25)
)
*
_xlfn.SWITCH(J235,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35" s="1" cm="1">
        <f t="array" aca="1" ref="AB235" ca="1">IF(Y235&lt;DATE(2018,9,24),0,
IF(J235="زراعة",
K235*
(
INT((MIN(Y235,DATE(2023,4,30))-MAX(D235,DATE(2018,9,24)))/365)
+
CEILING(MOD((MIN(Y235,DATE(2023,4,30))-MAX(D235,DATE(2018,9,24)))/365,1),0.25)
)
*1,
K235*
(
DATEDIF(MAX(D235,DATE(2018,9,24)),MIN(Y235,DATE(2023,4,30)),"m")+1
)
*
_xlfn.SWITCH(J235,
"موقف/تندة",IF(D235&lt;DATE(2019,11,30),6,30),
"تشوينات",IF(D235&lt;DATE(2019,11,30),4,20),
"مشاتل",IF(D235&lt;DATE(2019,11,30),2,10),
"كافيتيريا",IF(D235&lt;DATE(2019,11,30),30,150),
"نوادي",IF(D235&lt;DATE(2019,11,30),6,30),
"رسو مراكب",IF(D235&lt;DATE(2019,11,30),2,10),
"مباني",IF(D235&lt;DATE(2018,9,24),2,10),
"عشش",IF(D235&lt;DATE(2019,11,30),2,10),
"كشك (تجاري/صناعي)",IF(D235&lt;DATE(2019,11,30),10,50),
"ردم",20,
0)))</f>
        <v>0</v>
      </c>
      <c r="AC235" s="1" cm="1">
        <f t="array" aca="1" ref="AC235" ca="1">IF(Y235&lt;DATE(2023,5,1),0,
IF(J235="زراعة",
K235*
(
INT((Y235-MAX(DATE(2023,5,1),D235))/365)
+
CEILING(MOD((Y235-MAX(DATE(2023,5,1),D235))/365,1),0.25)
)
*3,
IF(J235="ردم",
K235*20,
K235*
(
DATEDIF(MAX(DATE(2023,5,1),D235),Y235,"m")+1
)
*
_xlfn.SWITCH(J235,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35" s="1">
        <f t="shared" ca="1" si="24"/>
        <v>55</v>
      </c>
    </row>
    <row r="236" spans="1:30" ht="18.75" x14ac:dyDescent="0.25">
      <c r="A236" s="37">
        <v>206</v>
      </c>
      <c r="B236" s="3">
        <v>95</v>
      </c>
      <c r="C236" s="3">
        <v>2016</v>
      </c>
      <c r="D236" s="7">
        <v>42480</v>
      </c>
      <c r="E236" s="11"/>
      <c r="F236" s="3"/>
      <c r="G236" s="3" t="s">
        <v>317</v>
      </c>
      <c r="H236" s="6"/>
      <c r="I236" s="6" t="s">
        <v>210</v>
      </c>
      <c r="J236" s="3" t="s">
        <v>145</v>
      </c>
      <c r="K236" s="6"/>
      <c r="L236" s="3" t="s">
        <v>88</v>
      </c>
      <c r="M236" s="7"/>
      <c r="N236" s="6"/>
      <c r="O236" s="9">
        <f>0.47*Table2[[#This Row],[قيمة المحضر]]</f>
        <v>0</v>
      </c>
      <c r="P236" s="9">
        <f>0.17*Table2[[#This Row],[قيمة المحضر]]</f>
        <v>0</v>
      </c>
      <c r="Q236" s="9">
        <f t="shared" ca="1" si="25"/>
        <v>0</v>
      </c>
      <c r="R236" s="3"/>
      <c r="S236" s="3"/>
      <c r="T236" s="9" t="str">
        <f t="shared" si="26"/>
        <v>-</v>
      </c>
      <c r="U236" s="3" t="s">
        <v>25</v>
      </c>
      <c r="V236" s="9" t="str">
        <f t="shared" si="27"/>
        <v>-</v>
      </c>
      <c r="W236" s="4"/>
      <c r="X236" s="38"/>
      <c r="Y236" s="1">
        <f t="shared" ca="1" si="23"/>
        <v>46162</v>
      </c>
      <c r="Z236" s="1" cm="1">
        <f t="array" ref="Z236">IF(D236&gt;DATE(2015,5,16),0,
K236*
(
INT((MIN(Y236,DATE(2015,5,16))-D236)/365)
+
CEILING(MOD((MIN(Y236,DATE(2015,5,16))-D236)/365,1),0.25)
)
*
_xlfn.SWITCH(J236,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36" s="1" cm="1">
        <f t="array" aca="1" ref="AA236" ca="1">IF(Y236&lt;DATE(2015,5,17),0,
K236*
(
INT((MIN(Y236,DATE(2018,9,23))-MAX(D236,DATE(2015,5,17)))/365)
+
CEILING(MOD((MIN(Y236,DATE(2018,9,23))-MAX(D236,DATE(2015,5,17)))/365,1),0.25)
)
*
_xlfn.SWITCH(J236,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36" s="1" cm="1">
        <f t="array" aca="1" ref="AB236" ca="1">IF(Y236&lt;DATE(2018,9,24),0,
IF(J236="زراعة",
K236*
(
INT((MIN(Y236,DATE(2023,4,30))-MAX(D236,DATE(2018,9,24)))/365)
+
CEILING(MOD((MIN(Y236,DATE(2023,4,30))-MAX(D236,DATE(2018,9,24)))/365,1),0.25)
)
*1,
K236*
(
DATEDIF(MAX(D236,DATE(2018,9,24)),MIN(Y236,DATE(2023,4,30)),"m")+1
)
*
_xlfn.SWITCH(J236,
"موقف/تندة",IF(D236&lt;DATE(2019,11,30),6,30),
"تشوينات",IF(D236&lt;DATE(2019,11,30),4,20),
"مشاتل",IF(D236&lt;DATE(2019,11,30),2,10),
"كافيتيريا",IF(D236&lt;DATE(2019,11,30),30,150),
"نوادي",IF(D236&lt;DATE(2019,11,30),6,30),
"رسو مراكب",IF(D236&lt;DATE(2019,11,30),2,10),
"مباني",IF(D236&lt;DATE(2018,9,24),2,10),
"عشش",IF(D236&lt;DATE(2019,11,30),2,10),
"كشك (تجاري/صناعي)",IF(D236&lt;DATE(2019,11,30),10,50),
"ردم",20,
0)))</f>
        <v>0</v>
      </c>
      <c r="AC236" s="1" cm="1">
        <f t="array" aca="1" ref="AC236" ca="1">IF(Y236&lt;DATE(2023,5,1),0,
IF(J236="زراعة",
K236*
(
INT((Y236-MAX(DATE(2023,5,1),D236))/365)
+
CEILING(MOD((Y236-MAX(DATE(2023,5,1),D236))/365,1),0.25)
)
*3,
IF(J236="ردم",
K236*20,
K236*
(
DATEDIF(MAX(DATE(2023,5,1),D236),Y236,"m")+1
)
*
_xlfn.SWITCH(J236,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36" s="1">
        <f t="shared" ca="1" si="24"/>
        <v>55</v>
      </c>
    </row>
    <row r="237" spans="1:30" ht="18.75" x14ac:dyDescent="0.25">
      <c r="A237" s="37">
        <v>207</v>
      </c>
      <c r="B237" s="3">
        <v>96</v>
      </c>
      <c r="C237" s="3">
        <v>2016</v>
      </c>
      <c r="D237" s="7">
        <v>42484</v>
      </c>
      <c r="E237" s="11"/>
      <c r="F237" s="3"/>
      <c r="G237" s="3" t="s">
        <v>317</v>
      </c>
      <c r="H237" s="6"/>
      <c r="I237" s="6" t="s">
        <v>373</v>
      </c>
      <c r="J237" s="3" t="s">
        <v>145</v>
      </c>
      <c r="K237" s="6"/>
      <c r="L237" s="3" t="s">
        <v>88</v>
      </c>
      <c r="M237" s="7"/>
      <c r="N237" s="6"/>
      <c r="O237" s="9">
        <f>0.47*Table2[[#This Row],[قيمة المحضر]]</f>
        <v>0</v>
      </c>
      <c r="P237" s="9">
        <f>0.17*Table2[[#This Row],[قيمة المحضر]]</f>
        <v>0</v>
      </c>
      <c r="Q237" s="9">
        <f t="shared" ca="1" si="25"/>
        <v>0</v>
      </c>
      <c r="R237" s="3"/>
      <c r="S237" s="3"/>
      <c r="T237" s="9" t="str">
        <f t="shared" si="26"/>
        <v>-</v>
      </c>
      <c r="U237" s="3" t="s">
        <v>25</v>
      </c>
      <c r="V237" s="9" t="str">
        <f t="shared" si="27"/>
        <v>-</v>
      </c>
      <c r="W237" s="4"/>
      <c r="X237" s="38"/>
      <c r="Y237" s="1">
        <f t="shared" ca="1" si="23"/>
        <v>46162</v>
      </c>
      <c r="Z237" s="1" cm="1">
        <f t="array" ref="Z237">IF(D237&gt;DATE(2015,5,16),0,
K237*
(
INT((MIN(Y237,DATE(2015,5,16))-D237)/365)
+
CEILING(MOD((MIN(Y237,DATE(2015,5,16))-D237)/365,1),0.25)
)
*
_xlfn.SWITCH(J237,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37" s="1" cm="1">
        <f t="array" aca="1" ref="AA237" ca="1">IF(Y237&lt;DATE(2015,5,17),0,
K237*
(
INT((MIN(Y237,DATE(2018,9,23))-MAX(D237,DATE(2015,5,17)))/365)
+
CEILING(MOD((MIN(Y237,DATE(2018,9,23))-MAX(D237,DATE(2015,5,17)))/365,1),0.25)
)
*
_xlfn.SWITCH(J237,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37" s="1" cm="1">
        <f t="array" aca="1" ref="AB237" ca="1">IF(Y237&lt;DATE(2018,9,24),0,
IF(J237="زراعة",
K237*
(
INT((MIN(Y237,DATE(2023,4,30))-MAX(D237,DATE(2018,9,24)))/365)
+
CEILING(MOD((MIN(Y237,DATE(2023,4,30))-MAX(D237,DATE(2018,9,24)))/365,1),0.25)
)
*1,
K237*
(
DATEDIF(MAX(D237,DATE(2018,9,24)),MIN(Y237,DATE(2023,4,30)),"m")+1
)
*
_xlfn.SWITCH(J237,
"موقف/تندة",IF(D237&lt;DATE(2019,11,30),6,30),
"تشوينات",IF(D237&lt;DATE(2019,11,30),4,20),
"مشاتل",IF(D237&lt;DATE(2019,11,30),2,10),
"كافيتيريا",IF(D237&lt;DATE(2019,11,30),30,150),
"نوادي",IF(D237&lt;DATE(2019,11,30),6,30),
"رسو مراكب",IF(D237&lt;DATE(2019,11,30),2,10),
"مباني",IF(D237&lt;DATE(2018,9,24),2,10),
"عشش",IF(D237&lt;DATE(2019,11,30),2,10),
"كشك (تجاري/صناعي)",IF(D237&lt;DATE(2019,11,30),10,50),
"ردم",20,
0)))</f>
        <v>0</v>
      </c>
      <c r="AC237" s="1" cm="1">
        <f t="array" aca="1" ref="AC237" ca="1">IF(Y237&lt;DATE(2023,5,1),0,
IF(J237="زراعة",
K237*
(
INT((Y237-MAX(DATE(2023,5,1),D237))/365)
+
CEILING(MOD((Y237-MAX(DATE(2023,5,1),D237))/365,1),0.25)
)
*3,
IF(J237="ردم",
K237*20,
K237*
(
DATEDIF(MAX(DATE(2023,5,1),D237),Y237,"m")+1
)
*
_xlfn.SWITCH(J237,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37" s="1">
        <f t="shared" ca="1" si="24"/>
        <v>55</v>
      </c>
    </row>
    <row r="238" spans="1:30" ht="18.75" x14ac:dyDescent="0.25">
      <c r="A238" s="37">
        <v>208</v>
      </c>
      <c r="B238" s="3">
        <v>97</v>
      </c>
      <c r="C238" s="3">
        <v>2016</v>
      </c>
      <c r="D238" s="7">
        <v>42493</v>
      </c>
      <c r="E238" s="11"/>
      <c r="F238" s="3"/>
      <c r="G238" s="3" t="s">
        <v>317</v>
      </c>
      <c r="H238" s="6"/>
      <c r="I238" s="6" t="s">
        <v>102</v>
      </c>
      <c r="J238" s="3" t="s">
        <v>145</v>
      </c>
      <c r="K238" s="6"/>
      <c r="L238" s="3" t="s">
        <v>88</v>
      </c>
      <c r="M238" s="7"/>
      <c r="N238" s="6"/>
      <c r="O238" s="9">
        <f>0.47*Table2[[#This Row],[قيمة المحضر]]</f>
        <v>0</v>
      </c>
      <c r="P238" s="9">
        <f>0.17*Table2[[#This Row],[قيمة المحضر]]</f>
        <v>0</v>
      </c>
      <c r="Q238" s="9">
        <f t="shared" ca="1" si="25"/>
        <v>0</v>
      </c>
      <c r="R238" s="3"/>
      <c r="S238" s="3"/>
      <c r="T238" s="9" t="str">
        <f t="shared" si="26"/>
        <v>-</v>
      </c>
      <c r="U238" s="3" t="s">
        <v>25</v>
      </c>
      <c r="V238" s="9" t="str">
        <f t="shared" si="27"/>
        <v>-</v>
      </c>
      <c r="W238" s="4"/>
      <c r="X238" s="38"/>
      <c r="Y238" s="1">
        <f t="shared" ca="1" si="23"/>
        <v>46162</v>
      </c>
      <c r="Z238" s="1" cm="1">
        <f t="array" ref="Z238">IF(D238&gt;DATE(2015,5,16),0,
K238*
(
INT((MIN(Y238,DATE(2015,5,16))-D238)/365)
+
CEILING(MOD((MIN(Y238,DATE(2015,5,16))-D238)/365,1),0.25)
)
*
_xlfn.SWITCH(J238,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38" s="1" cm="1">
        <f t="array" aca="1" ref="AA238" ca="1">IF(Y238&lt;DATE(2015,5,17),0,
K238*
(
INT((MIN(Y238,DATE(2018,9,23))-MAX(D238,DATE(2015,5,17)))/365)
+
CEILING(MOD((MIN(Y238,DATE(2018,9,23))-MAX(D238,DATE(2015,5,17)))/365,1),0.25)
)
*
_xlfn.SWITCH(J238,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38" s="1" cm="1">
        <f t="array" aca="1" ref="AB238" ca="1">IF(Y238&lt;DATE(2018,9,24),0,
IF(J238="زراعة",
K238*
(
INT((MIN(Y238,DATE(2023,4,30))-MAX(D238,DATE(2018,9,24)))/365)
+
CEILING(MOD((MIN(Y238,DATE(2023,4,30))-MAX(D238,DATE(2018,9,24)))/365,1),0.25)
)
*1,
K238*
(
DATEDIF(MAX(D238,DATE(2018,9,24)),MIN(Y238,DATE(2023,4,30)),"m")+1
)
*
_xlfn.SWITCH(J238,
"موقف/تندة",IF(D238&lt;DATE(2019,11,30),6,30),
"تشوينات",IF(D238&lt;DATE(2019,11,30),4,20),
"مشاتل",IF(D238&lt;DATE(2019,11,30),2,10),
"كافيتيريا",IF(D238&lt;DATE(2019,11,30),30,150),
"نوادي",IF(D238&lt;DATE(2019,11,30),6,30),
"رسو مراكب",IF(D238&lt;DATE(2019,11,30),2,10),
"مباني",IF(D238&lt;DATE(2018,9,24),2,10),
"عشش",IF(D238&lt;DATE(2019,11,30),2,10),
"كشك (تجاري/صناعي)",IF(D238&lt;DATE(2019,11,30),10,50),
"ردم",20,
0)))</f>
        <v>0</v>
      </c>
      <c r="AC238" s="1" cm="1">
        <f t="array" aca="1" ref="AC238" ca="1">IF(Y238&lt;DATE(2023,5,1),0,
IF(J238="زراعة",
K238*
(
INT((Y238-MAX(DATE(2023,5,1),D238))/365)
+
CEILING(MOD((Y238-MAX(DATE(2023,5,1),D238))/365,1),0.25)
)
*3,
IF(J238="ردم",
K238*20,
K238*
(
DATEDIF(MAX(DATE(2023,5,1),D238),Y238,"m")+1
)
*
_xlfn.SWITCH(J238,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38" s="1">
        <f t="shared" ca="1" si="24"/>
        <v>55</v>
      </c>
    </row>
    <row r="239" spans="1:30" ht="18.75" x14ac:dyDescent="0.25">
      <c r="A239" s="37">
        <v>209</v>
      </c>
      <c r="B239" s="3">
        <v>98</v>
      </c>
      <c r="C239" s="3">
        <v>2016</v>
      </c>
      <c r="D239" s="7">
        <v>42498</v>
      </c>
      <c r="E239" s="11"/>
      <c r="F239" s="3"/>
      <c r="G239" s="3" t="s">
        <v>317</v>
      </c>
      <c r="H239" s="6"/>
      <c r="I239" s="6" t="s">
        <v>372</v>
      </c>
      <c r="J239" s="3" t="s">
        <v>145</v>
      </c>
      <c r="K239" s="6"/>
      <c r="L239" s="3" t="s">
        <v>88</v>
      </c>
      <c r="M239" s="7"/>
      <c r="N239" s="6"/>
      <c r="O239" s="9">
        <f>0.47*Table2[[#This Row],[قيمة المحضر]]</f>
        <v>0</v>
      </c>
      <c r="P239" s="9">
        <f>0.17*Table2[[#This Row],[قيمة المحضر]]</f>
        <v>0</v>
      </c>
      <c r="Q239" s="9">
        <f t="shared" ca="1" si="25"/>
        <v>0</v>
      </c>
      <c r="R239" s="3"/>
      <c r="S239" s="3"/>
      <c r="T239" s="9" t="str">
        <f t="shared" si="26"/>
        <v>-</v>
      </c>
      <c r="U239" s="3" t="s">
        <v>25</v>
      </c>
      <c r="V239" s="9" t="str">
        <f t="shared" si="27"/>
        <v>-</v>
      </c>
      <c r="W239" s="4"/>
      <c r="X239" s="38"/>
      <c r="Y239" s="1">
        <f t="shared" ca="1" si="23"/>
        <v>46162</v>
      </c>
      <c r="Z239" s="1" cm="1">
        <f t="array" ref="Z239">IF(D239&gt;DATE(2015,5,16),0,
K239*
(
INT((MIN(Y239,DATE(2015,5,16))-D239)/365)
+
CEILING(MOD((MIN(Y239,DATE(2015,5,16))-D239)/365,1),0.25)
)
*
_xlfn.SWITCH(J239,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39" s="1" cm="1">
        <f t="array" aca="1" ref="AA239" ca="1">IF(Y239&lt;DATE(2015,5,17),0,
K239*
(
INT((MIN(Y239,DATE(2018,9,23))-MAX(D239,DATE(2015,5,17)))/365)
+
CEILING(MOD((MIN(Y239,DATE(2018,9,23))-MAX(D239,DATE(2015,5,17)))/365,1),0.25)
)
*
_xlfn.SWITCH(J239,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39" s="1" cm="1">
        <f t="array" aca="1" ref="AB239" ca="1">IF(Y239&lt;DATE(2018,9,24),0,
IF(J239="زراعة",
K239*
(
INT((MIN(Y239,DATE(2023,4,30))-MAX(D239,DATE(2018,9,24)))/365)
+
CEILING(MOD((MIN(Y239,DATE(2023,4,30))-MAX(D239,DATE(2018,9,24)))/365,1),0.25)
)
*1,
K239*
(
DATEDIF(MAX(D239,DATE(2018,9,24)),MIN(Y239,DATE(2023,4,30)),"m")+1
)
*
_xlfn.SWITCH(J239,
"موقف/تندة",IF(D239&lt;DATE(2019,11,30),6,30),
"تشوينات",IF(D239&lt;DATE(2019,11,30),4,20),
"مشاتل",IF(D239&lt;DATE(2019,11,30),2,10),
"كافيتيريا",IF(D239&lt;DATE(2019,11,30),30,150),
"نوادي",IF(D239&lt;DATE(2019,11,30),6,30),
"رسو مراكب",IF(D239&lt;DATE(2019,11,30),2,10),
"مباني",IF(D239&lt;DATE(2018,9,24),2,10),
"عشش",IF(D239&lt;DATE(2019,11,30),2,10),
"كشك (تجاري/صناعي)",IF(D239&lt;DATE(2019,11,30),10,50),
"ردم",20,
0)))</f>
        <v>0</v>
      </c>
      <c r="AC239" s="1" cm="1">
        <f t="array" aca="1" ref="AC239" ca="1">IF(Y239&lt;DATE(2023,5,1),0,
IF(J239="زراعة",
K239*
(
INT((Y239-MAX(DATE(2023,5,1),D239))/365)
+
CEILING(MOD((Y239-MAX(DATE(2023,5,1),D239))/365,1),0.25)
)
*3,
IF(J239="ردم",
K239*20,
K239*
(
DATEDIF(MAX(DATE(2023,5,1),D239),Y239,"m")+1
)
*
_xlfn.SWITCH(J239,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39" s="1">
        <f t="shared" ca="1" si="24"/>
        <v>55</v>
      </c>
    </row>
    <row r="240" spans="1:30" ht="18.75" x14ac:dyDescent="0.25">
      <c r="A240" s="37">
        <v>210</v>
      </c>
      <c r="B240" s="3">
        <v>99</v>
      </c>
      <c r="C240" s="3">
        <v>2016</v>
      </c>
      <c r="D240" s="7">
        <v>42505</v>
      </c>
      <c r="E240" s="11"/>
      <c r="F240" s="3"/>
      <c r="G240" s="3" t="s">
        <v>317</v>
      </c>
      <c r="H240" s="6"/>
      <c r="I240" s="6" t="s">
        <v>104</v>
      </c>
      <c r="J240" s="3" t="s">
        <v>145</v>
      </c>
      <c r="K240" s="6"/>
      <c r="L240" s="3" t="s">
        <v>88</v>
      </c>
      <c r="M240" s="7"/>
      <c r="N240" s="6"/>
      <c r="O240" s="9">
        <f>0.47*Table2[[#This Row],[قيمة المحضر]]</f>
        <v>0</v>
      </c>
      <c r="P240" s="9">
        <f>0.17*Table2[[#This Row],[قيمة المحضر]]</f>
        <v>0</v>
      </c>
      <c r="Q240" s="9">
        <f t="shared" ca="1" si="25"/>
        <v>0</v>
      </c>
      <c r="R240" s="3"/>
      <c r="S240" s="3"/>
      <c r="T240" s="9" t="str">
        <f t="shared" si="26"/>
        <v>-</v>
      </c>
      <c r="U240" s="3" t="s">
        <v>25</v>
      </c>
      <c r="V240" s="9" t="str">
        <f t="shared" si="27"/>
        <v>-</v>
      </c>
      <c r="W240" s="4"/>
      <c r="X240" s="38"/>
      <c r="Y240" s="1">
        <f t="shared" ca="1" si="23"/>
        <v>46162</v>
      </c>
      <c r="Z240" s="1" cm="1">
        <f t="array" ref="Z240">IF(D240&gt;DATE(2015,5,16),0,
K240*
(
INT((MIN(Y240,DATE(2015,5,16))-D240)/365)
+
CEILING(MOD((MIN(Y240,DATE(2015,5,16))-D240)/365,1),0.25)
)
*
_xlfn.SWITCH(J240,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40" s="1" cm="1">
        <f t="array" aca="1" ref="AA240" ca="1">IF(Y240&lt;DATE(2015,5,17),0,
K240*
(
INT((MIN(Y240,DATE(2018,9,23))-MAX(D240,DATE(2015,5,17)))/365)
+
CEILING(MOD((MIN(Y240,DATE(2018,9,23))-MAX(D240,DATE(2015,5,17)))/365,1),0.25)
)
*
_xlfn.SWITCH(J240,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40" s="1" cm="1">
        <f t="array" aca="1" ref="AB240" ca="1">IF(Y240&lt;DATE(2018,9,24),0,
IF(J240="زراعة",
K240*
(
INT((MIN(Y240,DATE(2023,4,30))-MAX(D240,DATE(2018,9,24)))/365)
+
CEILING(MOD((MIN(Y240,DATE(2023,4,30))-MAX(D240,DATE(2018,9,24)))/365,1),0.25)
)
*1,
K240*
(
DATEDIF(MAX(D240,DATE(2018,9,24)),MIN(Y240,DATE(2023,4,30)),"m")+1
)
*
_xlfn.SWITCH(J240,
"موقف/تندة",IF(D240&lt;DATE(2019,11,30),6,30),
"تشوينات",IF(D240&lt;DATE(2019,11,30),4,20),
"مشاتل",IF(D240&lt;DATE(2019,11,30),2,10),
"كافيتيريا",IF(D240&lt;DATE(2019,11,30),30,150),
"نوادي",IF(D240&lt;DATE(2019,11,30),6,30),
"رسو مراكب",IF(D240&lt;DATE(2019,11,30),2,10),
"مباني",IF(D240&lt;DATE(2018,9,24),2,10),
"عشش",IF(D240&lt;DATE(2019,11,30),2,10),
"كشك (تجاري/صناعي)",IF(D240&lt;DATE(2019,11,30),10,50),
"ردم",20,
0)))</f>
        <v>0</v>
      </c>
      <c r="AC240" s="1" cm="1">
        <f t="array" aca="1" ref="AC240" ca="1">IF(Y240&lt;DATE(2023,5,1),0,
IF(J240="زراعة",
K240*
(
INT((Y240-MAX(DATE(2023,5,1),D240))/365)
+
CEILING(MOD((Y240-MAX(DATE(2023,5,1),D240))/365,1),0.25)
)
*3,
IF(J240="ردم",
K240*20,
K240*
(
DATEDIF(MAX(DATE(2023,5,1),D240),Y240,"m")+1
)
*
_xlfn.SWITCH(J240,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40" s="1">
        <f t="shared" ca="1" si="24"/>
        <v>55</v>
      </c>
    </row>
    <row r="241" spans="1:30" ht="18.75" x14ac:dyDescent="0.25">
      <c r="A241" s="37">
        <v>211</v>
      </c>
      <c r="B241" s="3">
        <v>100</v>
      </c>
      <c r="C241" s="3">
        <v>2016</v>
      </c>
      <c r="D241" s="7">
        <v>42505</v>
      </c>
      <c r="E241" s="11"/>
      <c r="F241" s="3"/>
      <c r="G241" s="3" t="s">
        <v>318</v>
      </c>
      <c r="H241" s="6"/>
      <c r="I241" s="6" t="s">
        <v>33</v>
      </c>
      <c r="J241" s="3" t="s">
        <v>145</v>
      </c>
      <c r="K241" s="6"/>
      <c r="L241" s="3" t="s">
        <v>90</v>
      </c>
      <c r="M241" s="7"/>
      <c r="N241" s="6"/>
      <c r="O241" s="9">
        <f>0.47*Table2[[#This Row],[قيمة المحضر]]</f>
        <v>0</v>
      </c>
      <c r="P241" s="9">
        <f>0.17*Table2[[#This Row],[قيمة المحضر]]</f>
        <v>0</v>
      </c>
      <c r="Q241" s="9">
        <f t="shared" ca="1" si="25"/>
        <v>0</v>
      </c>
      <c r="R241" s="3"/>
      <c r="S241" s="3"/>
      <c r="T241" s="9" t="str">
        <f t="shared" si="26"/>
        <v>-</v>
      </c>
      <c r="U241" s="3" t="s">
        <v>25</v>
      </c>
      <c r="V241" s="9" t="str">
        <f t="shared" si="27"/>
        <v>-</v>
      </c>
      <c r="W241" s="4"/>
      <c r="X241" s="38"/>
      <c r="Y241" s="1">
        <f t="shared" ca="1" si="23"/>
        <v>46162</v>
      </c>
      <c r="Z241" s="1" cm="1">
        <f t="array" ref="Z241">IF(D241&gt;DATE(2015,5,16),0,
K241*
(
INT((MIN(Y241,DATE(2015,5,16))-D241)/365)
+
CEILING(MOD((MIN(Y241,DATE(2015,5,16))-D241)/365,1),0.25)
)
*
_xlfn.SWITCH(J241,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41" s="1" cm="1">
        <f t="array" aca="1" ref="AA241" ca="1">IF(Y241&lt;DATE(2015,5,17),0,
K241*
(
INT((MIN(Y241,DATE(2018,9,23))-MAX(D241,DATE(2015,5,17)))/365)
+
CEILING(MOD((MIN(Y241,DATE(2018,9,23))-MAX(D241,DATE(2015,5,17)))/365,1),0.25)
)
*
_xlfn.SWITCH(J241,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41" s="1" cm="1">
        <f t="array" aca="1" ref="AB241" ca="1">IF(Y241&lt;DATE(2018,9,24),0,
IF(J241="زراعة",
K241*
(
INT((MIN(Y241,DATE(2023,4,30))-MAX(D241,DATE(2018,9,24)))/365)
+
CEILING(MOD((MIN(Y241,DATE(2023,4,30))-MAX(D241,DATE(2018,9,24)))/365,1),0.25)
)
*1,
K241*
(
DATEDIF(MAX(D241,DATE(2018,9,24)),MIN(Y241,DATE(2023,4,30)),"m")+1
)
*
_xlfn.SWITCH(J241,
"موقف/تندة",IF(D241&lt;DATE(2019,11,30),6,30),
"تشوينات",IF(D241&lt;DATE(2019,11,30),4,20),
"مشاتل",IF(D241&lt;DATE(2019,11,30),2,10),
"كافيتيريا",IF(D241&lt;DATE(2019,11,30),30,150),
"نوادي",IF(D241&lt;DATE(2019,11,30),6,30),
"رسو مراكب",IF(D241&lt;DATE(2019,11,30),2,10),
"مباني",IF(D241&lt;DATE(2018,9,24),2,10),
"عشش",IF(D241&lt;DATE(2019,11,30),2,10),
"كشك (تجاري/صناعي)",IF(D241&lt;DATE(2019,11,30),10,50),
"ردم",20,
0)))</f>
        <v>0</v>
      </c>
      <c r="AC241" s="1" cm="1">
        <f t="array" aca="1" ref="AC241" ca="1">IF(Y241&lt;DATE(2023,5,1),0,
IF(J241="زراعة",
K241*
(
INT((Y241-MAX(DATE(2023,5,1),D241))/365)
+
CEILING(MOD((Y241-MAX(DATE(2023,5,1),D241))/365,1),0.25)
)
*3,
IF(J241="ردم",
K241*20,
K241*
(
DATEDIF(MAX(DATE(2023,5,1),D241),Y241,"m")+1
)
*
_xlfn.SWITCH(J241,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41" s="1">
        <f t="shared" ca="1" si="24"/>
        <v>55</v>
      </c>
    </row>
    <row r="242" spans="1:30" ht="18.75" x14ac:dyDescent="0.25">
      <c r="A242" s="37">
        <v>212</v>
      </c>
      <c r="B242" s="3">
        <v>101</v>
      </c>
      <c r="C242" s="3">
        <v>2016</v>
      </c>
      <c r="D242" s="7">
        <v>42505</v>
      </c>
      <c r="E242" s="11" t="s">
        <v>360</v>
      </c>
      <c r="F242" s="3"/>
      <c r="G242" s="3" t="s">
        <v>317</v>
      </c>
      <c r="H242" s="6"/>
      <c r="I242" s="6" t="s">
        <v>33</v>
      </c>
      <c r="J242" s="3" t="s">
        <v>145</v>
      </c>
      <c r="K242" s="6"/>
      <c r="L242" s="3" t="s">
        <v>88</v>
      </c>
      <c r="M242" s="7"/>
      <c r="N242" s="6"/>
      <c r="O242" s="9">
        <f>0.47*Table2[[#This Row],[قيمة المحضر]]</f>
        <v>0</v>
      </c>
      <c r="P242" s="9">
        <f>0.17*Table2[[#This Row],[قيمة المحضر]]</f>
        <v>0</v>
      </c>
      <c r="Q242" s="9">
        <f t="shared" ca="1" si="25"/>
        <v>0</v>
      </c>
      <c r="R242" s="3"/>
      <c r="S242" s="3"/>
      <c r="T242" s="9" t="str">
        <f t="shared" si="26"/>
        <v>-</v>
      </c>
      <c r="U242" s="3" t="s">
        <v>25</v>
      </c>
      <c r="V242" s="9" t="str">
        <f t="shared" si="27"/>
        <v>-</v>
      </c>
      <c r="W242" s="4"/>
      <c r="X242" s="38"/>
      <c r="Y242" s="1">
        <f t="shared" ca="1" si="23"/>
        <v>46162</v>
      </c>
      <c r="Z242" s="1" cm="1">
        <f t="array" ref="Z242">IF(D242&gt;DATE(2015,5,16),0,
K242*
(
INT((MIN(Y242,DATE(2015,5,16))-D242)/365)
+
CEILING(MOD((MIN(Y242,DATE(2015,5,16))-D242)/365,1),0.25)
)
*
_xlfn.SWITCH(J242,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42" s="1" cm="1">
        <f t="array" aca="1" ref="AA242" ca="1">IF(Y242&lt;DATE(2015,5,17),0,
K242*
(
INT((MIN(Y242,DATE(2018,9,23))-MAX(D242,DATE(2015,5,17)))/365)
+
CEILING(MOD((MIN(Y242,DATE(2018,9,23))-MAX(D242,DATE(2015,5,17)))/365,1),0.25)
)
*
_xlfn.SWITCH(J242,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42" s="1" cm="1">
        <f t="array" aca="1" ref="AB242" ca="1">IF(Y242&lt;DATE(2018,9,24),0,
IF(J242="زراعة",
K242*
(
INT((MIN(Y242,DATE(2023,4,30))-MAX(D242,DATE(2018,9,24)))/365)
+
CEILING(MOD((MIN(Y242,DATE(2023,4,30))-MAX(D242,DATE(2018,9,24)))/365,1),0.25)
)
*1,
K242*
(
DATEDIF(MAX(D242,DATE(2018,9,24)),MIN(Y242,DATE(2023,4,30)),"m")+1
)
*
_xlfn.SWITCH(J242,
"موقف/تندة",IF(D242&lt;DATE(2019,11,30),6,30),
"تشوينات",IF(D242&lt;DATE(2019,11,30),4,20),
"مشاتل",IF(D242&lt;DATE(2019,11,30),2,10),
"كافيتيريا",IF(D242&lt;DATE(2019,11,30),30,150),
"نوادي",IF(D242&lt;DATE(2019,11,30),6,30),
"رسو مراكب",IF(D242&lt;DATE(2019,11,30),2,10),
"مباني",IF(D242&lt;DATE(2018,9,24),2,10),
"عشش",IF(D242&lt;DATE(2019,11,30),2,10),
"كشك (تجاري/صناعي)",IF(D242&lt;DATE(2019,11,30),10,50),
"ردم",20,
0)))</f>
        <v>0</v>
      </c>
      <c r="AC242" s="1" cm="1">
        <f t="array" aca="1" ref="AC242" ca="1">IF(Y242&lt;DATE(2023,5,1),0,
IF(J242="زراعة",
K242*
(
INT((Y242-MAX(DATE(2023,5,1),D242))/365)
+
CEILING(MOD((Y242-MAX(DATE(2023,5,1),D242))/365,1),0.25)
)
*3,
IF(J242="ردم",
K242*20,
K242*
(
DATEDIF(MAX(DATE(2023,5,1),D242),Y242,"m")+1
)
*
_xlfn.SWITCH(J242,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42" s="1">
        <f t="shared" ca="1" si="24"/>
        <v>55</v>
      </c>
    </row>
    <row r="243" spans="1:30" ht="18.75" x14ac:dyDescent="0.25">
      <c r="A243" s="37">
        <v>213</v>
      </c>
      <c r="B243" s="3">
        <v>102</v>
      </c>
      <c r="C243" s="3">
        <v>2016</v>
      </c>
      <c r="D243" s="7">
        <v>42505</v>
      </c>
      <c r="E243" s="11"/>
      <c r="F243" s="3"/>
      <c r="G243" s="3" t="s">
        <v>319</v>
      </c>
      <c r="H243" s="6"/>
      <c r="I243" s="6" t="s">
        <v>105</v>
      </c>
      <c r="J243" s="3" t="s">
        <v>29</v>
      </c>
      <c r="K243" s="6">
        <v>15</v>
      </c>
      <c r="L243" s="3" t="s">
        <v>368</v>
      </c>
      <c r="M243" s="7"/>
      <c r="N243" s="6"/>
      <c r="O243" s="9">
        <f>0.47*Table2[[#This Row],[قيمة المحضر]]</f>
        <v>0</v>
      </c>
      <c r="P243" s="9">
        <f>0.17*Table2[[#This Row],[قيمة المحضر]]</f>
        <v>0</v>
      </c>
      <c r="Q243" s="9">
        <f t="shared" ca="1" si="25"/>
        <v>24000</v>
      </c>
      <c r="R243" s="3"/>
      <c r="S243" s="3"/>
      <c r="T243" s="9" t="str">
        <f t="shared" si="26"/>
        <v>-</v>
      </c>
      <c r="U243" s="3" t="s">
        <v>25</v>
      </c>
      <c r="V243" s="9" t="str">
        <f t="shared" si="27"/>
        <v>-</v>
      </c>
      <c r="W243" s="4"/>
      <c r="X243" s="38"/>
      <c r="Y243" s="1">
        <f t="shared" ca="1" si="23"/>
        <v>46162</v>
      </c>
      <c r="Z243" s="1" cm="1">
        <f t="array" ref="Z243">IF(D243&gt;DATE(2015,5,16),0,
K243*
(
INT((MIN(Y243,DATE(2015,5,16))-D243)/365)
+
CEILING(MOD((MIN(Y243,DATE(2015,5,16))-D243)/365,1),0.25)
)
*
_xlfn.SWITCH(J243,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43" s="1" cm="1">
        <f t="array" aca="1" ref="AA243" ca="1">IF(Y243&lt;DATE(2015,5,17),0,
K243*
(
INT((MIN(Y243,DATE(2018,9,23))-MAX(D243,DATE(2015,5,17)))/365)
+
CEILING(MOD((MIN(Y243,DATE(2018,9,23))-MAX(D243,DATE(2015,5,17)))/365,1),0.25)
)
*
_xlfn.SWITCH(J243,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4500</v>
      </c>
      <c r="AB243" s="1" cm="1">
        <f t="array" aca="1" ref="AB243" ca="1">IF(Y243&lt;DATE(2018,9,24),0,
IF(J243="زراعة",
K243*
(
INT((MIN(Y243,DATE(2023,4,30))-MAX(D243,DATE(2018,9,24)))/365)
+
CEILING(MOD((MIN(Y243,DATE(2023,4,30))-MAX(D243,DATE(2018,9,24)))/365,1),0.25)
)
*1,
K243*
(
DATEDIF(MAX(D243,DATE(2018,9,24)),MIN(Y243,DATE(2023,4,30)),"m")+1
)
*
_xlfn.SWITCH(J243,
"موقف/تندة",IF(D243&lt;DATE(2019,11,30),6,30),
"تشوينات",IF(D243&lt;DATE(2019,11,30),4,20),
"مشاتل",IF(D243&lt;DATE(2019,11,30),2,10),
"كافيتيريا",IF(D243&lt;DATE(2019,11,30),30,150),
"نوادي",IF(D243&lt;DATE(2019,11,30),6,30),
"رسو مراكب",IF(D243&lt;DATE(2019,11,30),2,10),
"مباني",IF(D243&lt;DATE(2018,9,24),2,10),
"عشش",IF(D243&lt;DATE(2019,11,30),2,10),
"كشك (تجاري/صناعي)",IF(D243&lt;DATE(2019,11,30),10,50),
"ردم",20,
0)))</f>
        <v>8400</v>
      </c>
      <c r="AC243" s="1" cm="1">
        <f t="array" aca="1" ref="AC243" ca="1">IF(Y243&lt;DATE(2023,5,1),0,
IF(J243="زراعة",
K243*
(
INT((Y243-MAX(DATE(2023,5,1),D243))/365)
+
CEILING(MOD((Y243-MAX(DATE(2023,5,1),D243))/365,1),0.25)
)
*3,
IF(J243="ردم",
K243*20,
K243*
(
DATEDIF(MAX(DATE(2023,5,1),D243),Y243,"m")+1
)
*
_xlfn.SWITCH(J243,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243" s="1">
        <f t="shared" ca="1" si="24"/>
        <v>55</v>
      </c>
    </row>
    <row r="244" spans="1:30" ht="18.75" x14ac:dyDescent="0.25">
      <c r="A244" s="37">
        <v>214</v>
      </c>
      <c r="B244" s="3">
        <v>103</v>
      </c>
      <c r="C244" s="3">
        <v>2016</v>
      </c>
      <c r="D244" s="7">
        <v>42505</v>
      </c>
      <c r="E244" s="11"/>
      <c r="F244" s="3"/>
      <c r="G244" s="3" t="s">
        <v>320</v>
      </c>
      <c r="H244" s="6"/>
      <c r="I244" s="6" t="s">
        <v>105</v>
      </c>
      <c r="J244" s="3" t="s">
        <v>29</v>
      </c>
      <c r="K244" s="6">
        <v>15</v>
      </c>
      <c r="L244" s="3" t="s">
        <v>368</v>
      </c>
      <c r="M244" s="7"/>
      <c r="N244" s="6"/>
      <c r="O244" s="9">
        <f>0.47*Table2[[#This Row],[قيمة المحضر]]</f>
        <v>0</v>
      </c>
      <c r="P244" s="9">
        <f>0.17*Table2[[#This Row],[قيمة المحضر]]</f>
        <v>0</v>
      </c>
      <c r="Q244" s="9">
        <f t="shared" ca="1" si="25"/>
        <v>24000</v>
      </c>
      <c r="R244" s="3"/>
      <c r="S244" s="3"/>
      <c r="T244" s="9" t="str">
        <f t="shared" si="26"/>
        <v>-</v>
      </c>
      <c r="U244" s="3" t="s">
        <v>25</v>
      </c>
      <c r="V244" s="9" t="str">
        <f t="shared" si="27"/>
        <v>-</v>
      </c>
      <c r="W244" s="4"/>
      <c r="X244" s="38"/>
      <c r="Y244" s="1">
        <f t="shared" ca="1" si="23"/>
        <v>46162</v>
      </c>
      <c r="Z244" s="1" cm="1">
        <f t="array" ref="Z244">IF(D244&gt;DATE(2015,5,16),0,
K244*
(
INT((MIN(Y244,DATE(2015,5,16))-D244)/365)
+
CEILING(MOD((MIN(Y244,DATE(2015,5,16))-D244)/365,1),0.25)
)
*
_xlfn.SWITCH(J244,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44" s="1" cm="1">
        <f t="array" aca="1" ref="AA244" ca="1">IF(Y244&lt;DATE(2015,5,17),0,
K244*
(
INT((MIN(Y244,DATE(2018,9,23))-MAX(D244,DATE(2015,5,17)))/365)
+
CEILING(MOD((MIN(Y244,DATE(2018,9,23))-MAX(D244,DATE(2015,5,17)))/365,1),0.25)
)
*
_xlfn.SWITCH(J244,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4500</v>
      </c>
      <c r="AB244" s="1" cm="1">
        <f t="array" aca="1" ref="AB244" ca="1">IF(Y244&lt;DATE(2018,9,24),0,
IF(J244="زراعة",
K244*
(
INT((MIN(Y244,DATE(2023,4,30))-MAX(D244,DATE(2018,9,24)))/365)
+
CEILING(MOD((MIN(Y244,DATE(2023,4,30))-MAX(D244,DATE(2018,9,24)))/365,1),0.25)
)
*1,
K244*
(
DATEDIF(MAX(D244,DATE(2018,9,24)),MIN(Y244,DATE(2023,4,30)),"m")+1
)
*
_xlfn.SWITCH(J244,
"موقف/تندة",IF(D244&lt;DATE(2019,11,30),6,30),
"تشوينات",IF(D244&lt;DATE(2019,11,30),4,20),
"مشاتل",IF(D244&lt;DATE(2019,11,30),2,10),
"كافيتيريا",IF(D244&lt;DATE(2019,11,30),30,150),
"نوادي",IF(D244&lt;DATE(2019,11,30),6,30),
"رسو مراكب",IF(D244&lt;DATE(2019,11,30),2,10),
"مباني",IF(D244&lt;DATE(2018,9,24),2,10),
"عشش",IF(D244&lt;DATE(2019,11,30),2,10),
"كشك (تجاري/صناعي)",IF(D244&lt;DATE(2019,11,30),10,50),
"ردم",20,
0)))</f>
        <v>8400</v>
      </c>
      <c r="AC244" s="1" cm="1">
        <f t="array" aca="1" ref="AC244" ca="1">IF(Y244&lt;DATE(2023,5,1),0,
IF(J244="زراعة",
K244*
(
INT((Y244-MAX(DATE(2023,5,1),D244))/365)
+
CEILING(MOD((Y244-MAX(DATE(2023,5,1),D244))/365,1),0.25)
)
*3,
IF(J244="ردم",
K244*20,
K244*
(
DATEDIF(MAX(DATE(2023,5,1),D244),Y244,"m")+1
)
*
_xlfn.SWITCH(J244,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244" s="1">
        <f t="shared" ca="1" si="24"/>
        <v>55</v>
      </c>
    </row>
    <row r="245" spans="1:30" ht="18.75" x14ac:dyDescent="0.25">
      <c r="A245" s="37">
        <v>215</v>
      </c>
      <c r="B245" s="3">
        <v>104</v>
      </c>
      <c r="C245" s="3">
        <v>2016</v>
      </c>
      <c r="D245" s="7">
        <v>42505</v>
      </c>
      <c r="E245" s="11"/>
      <c r="F245" s="3"/>
      <c r="G245" s="3" t="s">
        <v>321</v>
      </c>
      <c r="H245" s="6"/>
      <c r="I245" s="6" t="s">
        <v>105</v>
      </c>
      <c r="J245" s="3" t="s">
        <v>29</v>
      </c>
      <c r="K245" s="6">
        <v>15</v>
      </c>
      <c r="L245" s="3" t="s">
        <v>368</v>
      </c>
      <c r="M245" s="7"/>
      <c r="N245" s="6"/>
      <c r="O245" s="9">
        <f>0.47*Table2[[#This Row],[قيمة المحضر]]</f>
        <v>0</v>
      </c>
      <c r="P245" s="9">
        <f>0.17*Table2[[#This Row],[قيمة المحضر]]</f>
        <v>0</v>
      </c>
      <c r="Q245" s="9">
        <f t="shared" ca="1" si="25"/>
        <v>24000</v>
      </c>
      <c r="R245" s="3"/>
      <c r="S245" s="3"/>
      <c r="T245" s="9" t="str">
        <f t="shared" si="26"/>
        <v>-</v>
      </c>
      <c r="U245" s="3" t="s">
        <v>25</v>
      </c>
      <c r="V245" s="9" t="str">
        <f t="shared" si="27"/>
        <v>-</v>
      </c>
      <c r="W245" s="4"/>
      <c r="X245" s="38"/>
      <c r="Y245" s="1">
        <f t="shared" ca="1" si="23"/>
        <v>46162</v>
      </c>
      <c r="Z245" s="1" cm="1">
        <f t="array" ref="Z245">IF(D245&gt;DATE(2015,5,16),0,
K245*
(
INT((MIN(Y245,DATE(2015,5,16))-D245)/365)
+
CEILING(MOD((MIN(Y245,DATE(2015,5,16))-D245)/365,1),0.25)
)
*
_xlfn.SWITCH(J245,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45" s="1" cm="1">
        <f t="array" aca="1" ref="AA245" ca="1">IF(Y245&lt;DATE(2015,5,17),0,
K245*
(
INT((MIN(Y245,DATE(2018,9,23))-MAX(D245,DATE(2015,5,17)))/365)
+
CEILING(MOD((MIN(Y245,DATE(2018,9,23))-MAX(D245,DATE(2015,5,17)))/365,1),0.25)
)
*
_xlfn.SWITCH(J245,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4500</v>
      </c>
      <c r="AB245" s="1" cm="1">
        <f t="array" aca="1" ref="AB245" ca="1">IF(Y245&lt;DATE(2018,9,24),0,
IF(J245="زراعة",
K245*
(
INT((MIN(Y245,DATE(2023,4,30))-MAX(D245,DATE(2018,9,24)))/365)
+
CEILING(MOD((MIN(Y245,DATE(2023,4,30))-MAX(D245,DATE(2018,9,24)))/365,1),0.25)
)
*1,
K245*
(
DATEDIF(MAX(D245,DATE(2018,9,24)),MIN(Y245,DATE(2023,4,30)),"m")+1
)
*
_xlfn.SWITCH(J245,
"موقف/تندة",IF(D245&lt;DATE(2019,11,30),6,30),
"تشوينات",IF(D245&lt;DATE(2019,11,30),4,20),
"مشاتل",IF(D245&lt;DATE(2019,11,30),2,10),
"كافيتيريا",IF(D245&lt;DATE(2019,11,30),30,150),
"نوادي",IF(D245&lt;DATE(2019,11,30),6,30),
"رسو مراكب",IF(D245&lt;DATE(2019,11,30),2,10),
"مباني",IF(D245&lt;DATE(2018,9,24),2,10),
"عشش",IF(D245&lt;DATE(2019,11,30),2,10),
"كشك (تجاري/صناعي)",IF(D245&lt;DATE(2019,11,30),10,50),
"ردم",20,
0)))</f>
        <v>8400</v>
      </c>
      <c r="AC245" s="1" cm="1">
        <f t="array" aca="1" ref="AC245" ca="1">IF(Y245&lt;DATE(2023,5,1),0,
IF(J245="زراعة",
K245*
(
INT((Y245-MAX(DATE(2023,5,1),D245))/365)
+
CEILING(MOD((Y245-MAX(DATE(2023,5,1),D245))/365,1),0.25)
)
*3,
IF(J245="ردم",
K245*20,
K245*
(
DATEDIF(MAX(DATE(2023,5,1),D245),Y245,"m")+1
)
*
_xlfn.SWITCH(J245,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245" s="1">
        <f t="shared" ca="1" si="24"/>
        <v>55</v>
      </c>
    </row>
    <row r="246" spans="1:30" ht="18.75" x14ac:dyDescent="0.25">
      <c r="A246" s="37">
        <v>216</v>
      </c>
      <c r="B246" s="3">
        <v>105</v>
      </c>
      <c r="C246" s="3">
        <v>2016</v>
      </c>
      <c r="D246" s="7">
        <v>42641</v>
      </c>
      <c r="E246" s="11"/>
      <c r="F246" s="3"/>
      <c r="G246" s="3" t="s">
        <v>322</v>
      </c>
      <c r="H246" s="6"/>
      <c r="I246" s="6" t="s">
        <v>192</v>
      </c>
      <c r="J246" s="3" t="s">
        <v>29</v>
      </c>
      <c r="K246" s="6">
        <v>20</v>
      </c>
      <c r="L246" s="3" t="s">
        <v>369</v>
      </c>
      <c r="M246" s="7"/>
      <c r="N246" s="6"/>
      <c r="O246" s="9">
        <f>0.47*Table2[[#This Row],[قيمة المحضر]]</f>
        <v>0</v>
      </c>
      <c r="P246" s="9">
        <f>0.17*Table2[[#This Row],[قيمة المحضر]]</f>
        <v>0</v>
      </c>
      <c r="Q246" s="9">
        <f t="shared" ca="1" si="25"/>
        <v>30800</v>
      </c>
      <c r="R246" s="3"/>
      <c r="S246" s="3"/>
      <c r="T246" s="9" t="str">
        <f t="shared" si="26"/>
        <v>-</v>
      </c>
      <c r="U246" s="3" t="s">
        <v>25</v>
      </c>
      <c r="V246" s="9" t="str">
        <f t="shared" si="27"/>
        <v>-</v>
      </c>
      <c r="W246" s="4"/>
      <c r="X246" s="38"/>
      <c r="Y246" s="1">
        <f t="shared" ca="1" si="23"/>
        <v>46162</v>
      </c>
      <c r="Z246" s="1" cm="1">
        <f t="array" ref="Z246">IF(D246&gt;DATE(2015,5,16),0,
K246*
(
INT((MIN(Y246,DATE(2015,5,16))-D246)/365)
+
CEILING(MOD((MIN(Y246,DATE(2015,5,16))-D246)/365,1),0.25)
)
*
_xlfn.SWITCH(J246,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46" s="1" cm="1">
        <f t="array" aca="1" ref="AA246" ca="1">IF(Y246&lt;DATE(2015,5,17),0,
K246*
(
INT((MIN(Y246,DATE(2018,9,23))-MAX(D246,DATE(2015,5,17)))/365)
+
CEILING(MOD((MIN(Y246,DATE(2018,9,23))-MAX(D246,DATE(2015,5,17)))/365,1),0.25)
)
*
_xlfn.SWITCH(J246,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4800</v>
      </c>
      <c r="AB246" s="1" cm="1">
        <f t="array" aca="1" ref="AB246" ca="1">IF(Y246&lt;DATE(2018,9,24),0,
IF(J246="زراعة",
K246*
(
INT((MIN(Y246,DATE(2023,4,30))-MAX(D246,DATE(2018,9,24)))/365)
+
CEILING(MOD((MIN(Y246,DATE(2023,4,30))-MAX(D246,DATE(2018,9,24)))/365,1),0.25)
)
*1,
K246*
(
DATEDIF(MAX(D246,DATE(2018,9,24)),MIN(Y246,DATE(2023,4,30)),"m")+1
)
*
_xlfn.SWITCH(J246,
"موقف/تندة",IF(D246&lt;DATE(2019,11,30),6,30),
"تشوينات",IF(D246&lt;DATE(2019,11,30),4,20),
"مشاتل",IF(D246&lt;DATE(2019,11,30),2,10),
"كافيتيريا",IF(D246&lt;DATE(2019,11,30),30,150),
"نوادي",IF(D246&lt;DATE(2019,11,30),6,30),
"رسو مراكب",IF(D246&lt;DATE(2019,11,30),2,10),
"مباني",IF(D246&lt;DATE(2018,9,24),2,10),
"عشش",IF(D246&lt;DATE(2019,11,30),2,10),
"كشك (تجاري/صناعي)",IF(D246&lt;DATE(2019,11,30),10,50),
"ردم",20,
0)))</f>
        <v>11200</v>
      </c>
      <c r="AC246" s="1" cm="1">
        <f t="array" aca="1" ref="AC246" ca="1">IF(Y246&lt;DATE(2023,5,1),0,
IF(J246="زراعة",
K246*
(
INT((Y246-MAX(DATE(2023,5,1),D246))/365)
+
CEILING(MOD((Y246-MAX(DATE(2023,5,1),D246))/365,1),0.25)
)
*3,
IF(J246="ردم",
K246*20,
K246*
(
DATEDIF(MAX(DATE(2023,5,1),D246),Y246,"m")+1
)
*
_xlfn.SWITCH(J246,
"موقف/تندة",6,
"تشوينات",4,
"مشاتل",2,
"رسو مراكب",6,
"مباني",3,
"عشش",1,
"كشك (تجاري/صناعي)",20,
"مواسير صرف صحي (&lt;1م)",16,
"مواسير صرف صحي (&gt;1م)",18,
0))))</f>
        <v>14800</v>
      </c>
      <c r="AD246" s="1">
        <f t="shared" ca="1" si="24"/>
        <v>55</v>
      </c>
    </row>
    <row r="247" spans="1:30" ht="18.75" x14ac:dyDescent="0.25">
      <c r="A247" s="37">
        <v>217</v>
      </c>
      <c r="B247" s="3">
        <v>106</v>
      </c>
      <c r="C247" s="3">
        <v>2016</v>
      </c>
      <c r="D247" s="7">
        <v>42641</v>
      </c>
      <c r="E247" s="11"/>
      <c r="F247" s="3"/>
      <c r="G247" s="3" t="s">
        <v>323</v>
      </c>
      <c r="H247" s="6"/>
      <c r="I247" s="6" t="s">
        <v>192</v>
      </c>
      <c r="J247" s="3" t="s">
        <v>29</v>
      </c>
      <c r="K247" s="6">
        <v>20</v>
      </c>
      <c r="L247" s="3" t="s">
        <v>369</v>
      </c>
      <c r="M247" s="7"/>
      <c r="N247" s="6"/>
      <c r="O247" s="9">
        <f>0.47*Table2[[#This Row],[قيمة المحضر]]</f>
        <v>0</v>
      </c>
      <c r="P247" s="9">
        <f>0.17*Table2[[#This Row],[قيمة المحضر]]</f>
        <v>0</v>
      </c>
      <c r="Q247" s="9">
        <f t="shared" ca="1" si="25"/>
        <v>30800</v>
      </c>
      <c r="R247" s="3"/>
      <c r="S247" s="3"/>
      <c r="T247" s="9" t="str">
        <f t="shared" si="26"/>
        <v>-</v>
      </c>
      <c r="U247" s="3" t="s">
        <v>25</v>
      </c>
      <c r="V247" s="9" t="str">
        <f t="shared" si="27"/>
        <v>-</v>
      </c>
      <c r="W247" s="4"/>
      <c r="X247" s="38"/>
      <c r="Y247" s="1">
        <f t="shared" ca="1" si="23"/>
        <v>46162</v>
      </c>
      <c r="Z247" s="1" cm="1">
        <f t="array" ref="Z247">IF(D247&gt;DATE(2015,5,16),0,
K247*
(
INT((MIN(Y247,DATE(2015,5,16))-D247)/365)
+
CEILING(MOD((MIN(Y247,DATE(2015,5,16))-D247)/365,1),0.25)
)
*
_xlfn.SWITCH(J247,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47" s="1" cm="1">
        <f t="array" aca="1" ref="AA247" ca="1">IF(Y247&lt;DATE(2015,5,17),0,
K247*
(
INT((MIN(Y247,DATE(2018,9,23))-MAX(D247,DATE(2015,5,17)))/365)
+
CEILING(MOD((MIN(Y247,DATE(2018,9,23))-MAX(D247,DATE(2015,5,17)))/365,1),0.25)
)
*
_xlfn.SWITCH(J247,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4800</v>
      </c>
      <c r="AB247" s="1" cm="1">
        <f t="array" aca="1" ref="AB247" ca="1">IF(Y247&lt;DATE(2018,9,24),0,
IF(J247="زراعة",
K247*
(
INT((MIN(Y247,DATE(2023,4,30))-MAX(D247,DATE(2018,9,24)))/365)
+
CEILING(MOD((MIN(Y247,DATE(2023,4,30))-MAX(D247,DATE(2018,9,24)))/365,1),0.25)
)
*1,
K247*
(
DATEDIF(MAX(D247,DATE(2018,9,24)),MIN(Y247,DATE(2023,4,30)),"m")+1
)
*
_xlfn.SWITCH(J247,
"موقف/تندة",IF(D247&lt;DATE(2019,11,30),6,30),
"تشوينات",IF(D247&lt;DATE(2019,11,30),4,20),
"مشاتل",IF(D247&lt;DATE(2019,11,30),2,10),
"كافيتيريا",IF(D247&lt;DATE(2019,11,30),30,150),
"نوادي",IF(D247&lt;DATE(2019,11,30),6,30),
"رسو مراكب",IF(D247&lt;DATE(2019,11,30),2,10),
"مباني",IF(D247&lt;DATE(2018,9,24),2,10),
"عشش",IF(D247&lt;DATE(2019,11,30),2,10),
"كشك (تجاري/صناعي)",IF(D247&lt;DATE(2019,11,30),10,50),
"ردم",20,
0)))</f>
        <v>11200</v>
      </c>
      <c r="AC247" s="1" cm="1">
        <f t="array" aca="1" ref="AC247" ca="1">IF(Y247&lt;DATE(2023,5,1),0,
IF(J247="زراعة",
K247*
(
INT((Y247-MAX(DATE(2023,5,1),D247))/365)
+
CEILING(MOD((Y247-MAX(DATE(2023,5,1),D247))/365,1),0.25)
)
*3,
IF(J247="ردم",
K247*20,
K247*
(
DATEDIF(MAX(DATE(2023,5,1),D247),Y247,"m")+1
)
*
_xlfn.SWITCH(J247,
"موقف/تندة",6,
"تشوينات",4,
"مشاتل",2,
"رسو مراكب",6,
"مباني",3,
"عشش",1,
"كشك (تجاري/صناعي)",20,
"مواسير صرف صحي (&lt;1م)",16,
"مواسير صرف صحي (&gt;1م)",18,
0))))</f>
        <v>14800</v>
      </c>
      <c r="AD247" s="1">
        <f t="shared" ca="1" si="24"/>
        <v>55</v>
      </c>
    </row>
    <row r="248" spans="1:30" ht="18.75" x14ac:dyDescent="0.25">
      <c r="A248" s="37">
        <v>218</v>
      </c>
      <c r="B248" s="3">
        <v>107</v>
      </c>
      <c r="C248" s="3">
        <v>2016</v>
      </c>
      <c r="D248" s="7">
        <v>42641</v>
      </c>
      <c r="E248" s="11"/>
      <c r="F248" s="3"/>
      <c r="G248" s="3" t="s">
        <v>324</v>
      </c>
      <c r="H248" s="6"/>
      <c r="I248" s="6" t="s">
        <v>103</v>
      </c>
      <c r="J248" s="3" t="s">
        <v>77</v>
      </c>
      <c r="K248" s="6">
        <f>15*1.5</f>
        <v>22.5</v>
      </c>
      <c r="L248" s="3" t="s">
        <v>89</v>
      </c>
      <c r="M248" s="7"/>
      <c r="N248" s="6"/>
      <c r="O248" s="9">
        <f>0.47*Table2[[#This Row],[قيمة المحضر]]</f>
        <v>0</v>
      </c>
      <c r="P248" s="9">
        <f>0.17*Table2[[#This Row],[قيمة المحضر]]</f>
        <v>0</v>
      </c>
      <c r="Q248" s="9">
        <f t="shared" ca="1" si="25"/>
        <v>26550</v>
      </c>
      <c r="R248" s="3"/>
      <c r="S248" s="3"/>
      <c r="T248" s="9" t="str">
        <f t="shared" si="26"/>
        <v>-</v>
      </c>
      <c r="U248" s="3" t="s">
        <v>25</v>
      </c>
      <c r="V248" s="9" t="str">
        <f t="shared" si="27"/>
        <v>-</v>
      </c>
      <c r="W248" s="4"/>
      <c r="X248" s="38"/>
      <c r="Y248" s="1">
        <f t="shared" ca="1" si="23"/>
        <v>46162</v>
      </c>
      <c r="Z248" s="1" cm="1">
        <f t="array" ref="Z248">IF(D248&gt;DATE(2015,5,16),0,
K248*
(
INT((MIN(Y248,DATE(2015,5,16))-D248)/365)
+
CEILING(MOD((MIN(Y248,DATE(2015,5,16))-D248)/365,1),0.25)
)
*
_xlfn.SWITCH(J248,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48" s="1" cm="1">
        <f t="array" aca="1" ref="AA248" ca="1">IF(Y248&lt;DATE(2015,5,17),0,
K248*
(
INT((MIN(Y248,DATE(2018,9,23))-MAX(D248,DATE(2015,5,17)))/365)
+
CEILING(MOD((MIN(Y248,DATE(2018,9,23))-MAX(D248,DATE(2015,5,17)))/365,1),0.25)
)
*
_xlfn.SWITCH(J248,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900</v>
      </c>
      <c r="AB248" s="1" cm="1">
        <f t="array" aca="1" ref="AB248" ca="1">IF(Y248&lt;DATE(2018,9,24),0,
IF(J248="زراعة",
K248*
(
INT((MIN(Y248,DATE(2023,4,30))-MAX(D248,DATE(2018,9,24)))/365)
+
CEILING(MOD((MIN(Y248,DATE(2023,4,30))-MAX(D248,DATE(2018,9,24)))/365,1),0.25)
)
*1,
K248*
(
DATEDIF(MAX(D248,DATE(2018,9,24)),MIN(Y248,DATE(2023,4,30)),"m")+1
)
*
_xlfn.SWITCH(J248,
"موقف/تندة",IF(D248&lt;DATE(2019,11,30),6,30),
"تشوينات",IF(D248&lt;DATE(2019,11,30),4,20),
"مشاتل",IF(D248&lt;DATE(2019,11,30),2,10),
"كافيتيريا",IF(D248&lt;DATE(2019,11,30),30,150),
"نوادي",IF(D248&lt;DATE(2019,11,30),6,30),
"رسو مراكب",IF(D248&lt;DATE(2019,11,30),2,10),
"مباني",IF(D248&lt;DATE(2018,9,24),2,10),
"عشش",IF(D248&lt;DATE(2019,11,30),2,10),
"كشك (تجاري/صناعي)",IF(D248&lt;DATE(2019,11,30),10,50),
"ردم",20,
0)))</f>
        <v>25200</v>
      </c>
      <c r="AC248" s="1" cm="1">
        <f t="array" aca="1" ref="AC248" ca="1">IF(Y248&lt;DATE(2023,5,1),0,
IF(J248="زراعة",
K248*
(
INT((Y248-MAX(DATE(2023,5,1),D248))/365)
+
CEILING(MOD((Y248-MAX(DATE(2023,5,1),D248))/365,1),0.25)
)
*3,
IF(J248="ردم",
K248*20,
K248*
(
DATEDIF(MAX(DATE(2023,5,1),D248),Y248,"m")+1
)
*
_xlfn.SWITCH(J248,
"موقف/تندة",6,
"تشوينات",4,
"مشاتل",2,
"رسو مراكب",6,
"مباني",3,
"عشش",1,
"كشك (تجاري/صناعي)",20,
"مواسير صرف صحي (&lt;1م)",16,
"مواسير صرف صحي (&gt;1م)",18,
0))))</f>
        <v>450</v>
      </c>
      <c r="AD248" s="1">
        <f t="shared" ca="1" si="24"/>
        <v>55</v>
      </c>
    </row>
    <row r="249" spans="1:30" ht="18.75" x14ac:dyDescent="0.25">
      <c r="A249" s="37">
        <v>219</v>
      </c>
      <c r="B249" s="3">
        <v>108</v>
      </c>
      <c r="C249" s="3">
        <v>2016</v>
      </c>
      <c r="D249" s="7">
        <v>42641</v>
      </c>
      <c r="E249" s="11"/>
      <c r="F249" s="3"/>
      <c r="G249" s="3" t="s">
        <v>325</v>
      </c>
      <c r="H249" s="6"/>
      <c r="I249" s="6" t="s">
        <v>103</v>
      </c>
      <c r="J249" s="3" t="s">
        <v>28</v>
      </c>
      <c r="K249" s="6">
        <v>75</v>
      </c>
      <c r="L249" s="3" t="s">
        <v>89</v>
      </c>
      <c r="M249" s="7"/>
      <c r="N249" s="6"/>
      <c r="O249" s="9">
        <f>0.47*Table2[[#This Row],[قيمة المحضر]]</f>
        <v>0</v>
      </c>
      <c r="P249" s="9">
        <f>0.17*Table2[[#This Row],[قيمة المحضر]]</f>
        <v>0</v>
      </c>
      <c r="Q249" s="9">
        <f t="shared" ca="1" si="25"/>
        <v>11775</v>
      </c>
      <c r="R249" s="3"/>
      <c r="S249" s="3"/>
      <c r="T249" s="9" t="str">
        <f t="shared" si="26"/>
        <v>-</v>
      </c>
      <c r="U249" s="3" t="s">
        <v>25</v>
      </c>
      <c r="V249" s="9" t="str">
        <f t="shared" si="27"/>
        <v>-</v>
      </c>
      <c r="W249" s="4"/>
      <c r="X249" s="38"/>
      <c r="Y249" s="1">
        <f t="shared" ca="1" si="23"/>
        <v>46162</v>
      </c>
      <c r="Z249" s="1" cm="1">
        <f t="array" ref="Z249">IF(D249&gt;DATE(2015,5,16),0,
K249*
(
INT((MIN(Y249,DATE(2015,5,16))-D249)/365)
+
CEILING(MOD((MIN(Y249,DATE(2015,5,16))-D249)/365,1),0.25)
)
*
_xlfn.SWITCH(J249,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49" s="1" cm="1">
        <f t="array" aca="1" ref="AA249" ca="1">IF(Y249&lt;DATE(2015,5,17),0,
K249*
(
INT((MIN(Y249,DATE(2018,9,23))-MAX(D249,DATE(2015,5,17)))/365)
+
CEILING(MOD((MIN(Y249,DATE(2018,9,23))-MAX(D249,DATE(2015,5,17)))/365,1),0.25)
)
*
_xlfn.SWITCH(J249,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600</v>
      </c>
      <c r="AB249" s="1" cm="1">
        <f t="array" aca="1" ref="AB249" ca="1">IF(Y249&lt;DATE(2018,9,24),0,
IF(J249="زراعة",
K249*
(
INT((MIN(Y249,DATE(2023,4,30))-MAX(D249,DATE(2018,9,24)))/365)
+
CEILING(MOD((MIN(Y249,DATE(2023,4,30))-MAX(D249,DATE(2018,9,24)))/365,1),0.25)
)
*1,
K249*
(
DATEDIF(MAX(D249,DATE(2018,9,24)),MIN(Y249,DATE(2023,4,30)),"m")+1
)
*
_xlfn.SWITCH(J249,
"موقف/تندة",IF(D249&lt;DATE(2019,11,30),6,30),
"تشوينات",IF(D249&lt;DATE(2019,11,30),4,20),
"مشاتل",IF(D249&lt;DATE(2019,11,30),2,10),
"كافيتيريا",IF(D249&lt;DATE(2019,11,30),30,150),
"نوادي",IF(D249&lt;DATE(2019,11,30),6,30),
"رسو مراكب",IF(D249&lt;DATE(2019,11,30),2,10),
"مباني",IF(D249&lt;DATE(2018,9,24),2,10),
"عشش",IF(D249&lt;DATE(2019,11,30),2,10),
"كشك (تجاري/صناعي)",IF(D249&lt;DATE(2019,11,30),10,50),
"ردم",20,
0)))</f>
        <v>8400</v>
      </c>
      <c r="AC249" s="1" cm="1">
        <f t="array" aca="1" ref="AC249" ca="1">IF(Y249&lt;DATE(2023,5,1),0,
IF(J249="زراعة",
K249*
(
INT((Y249-MAX(DATE(2023,5,1),D249))/365)
+
CEILING(MOD((Y249-MAX(DATE(2023,5,1),D249))/365,1),0.25)
)
*3,
IF(J249="ردم",
K249*20,
K249*
(
DATEDIF(MAX(DATE(2023,5,1),D249),Y249,"m")+1
)
*
_xlfn.SWITCH(J249,
"موقف/تندة",6,
"تشوينات",4,
"مشاتل",2,
"رسو مراكب",6,
"مباني",3,
"عشش",1,
"كشك (تجاري/صناعي)",20,
"مواسير صرف صحي (&lt;1م)",16,
"مواسير صرف صحي (&gt;1م)",18,
0))))</f>
        <v>2775</v>
      </c>
      <c r="AD249" s="1">
        <f t="shared" ca="1" si="24"/>
        <v>55</v>
      </c>
    </row>
    <row r="250" spans="1:30" ht="18.75" x14ac:dyDescent="0.25">
      <c r="A250" s="37">
        <v>220</v>
      </c>
      <c r="B250" s="3">
        <v>109</v>
      </c>
      <c r="C250" s="3">
        <v>2016</v>
      </c>
      <c r="D250" s="7">
        <v>42641</v>
      </c>
      <c r="E250" s="11"/>
      <c r="F250" s="3"/>
      <c r="G250" s="3" t="s">
        <v>326</v>
      </c>
      <c r="H250" s="6"/>
      <c r="I250" s="6" t="s">
        <v>105</v>
      </c>
      <c r="J250" s="3" t="s">
        <v>106</v>
      </c>
      <c r="K250" s="6"/>
      <c r="L250" s="3" t="s">
        <v>368</v>
      </c>
      <c r="M250" s="7"/>
      <c r="N250" s="6"/>
      <c r="O250" s="9">
        <f>0.47*Table2[[#This Row],[قيمة المحضر]]</f>
        <v>0</v>
      </c>
      <c r="P250" s="9">
        <f>0.17*Table2[[#This Row],[قيمة المحضر]]</f>
        <v>0</v>
      </c>
      <c r="Q250" s="9">
        <f t="shared" ca="1" si="25"/>
        <v>0</v>
      </c>
      <c r="R250" s="3"/>
      <c r="S250" s="3"/>
      <c r="T250" s="9" t="str">
        <f t="shared" si="26"/>
        <v>-</v>
      </c>
      <c r="U250" s="3" t="s">
        <v>25</v>
      </c>
      <c r="V250" s="9" t="str">
        <f t="shared" si="27"/>
        <v>-</v>
      </c>
      <c r="W250" s="4"/>
      <c r="X250" s="38"/>
      <c r="Y250" s="1">
        <f t="shared" ca="1" si="23"/>
        <v>46162</v>
      </c>
      <c r="Z250" s="1" cm="1">
        <f t="array" ref="Z250">IF(D250&gt;DATE(2015,5,16),0,
K250*
(
INT((MIN(Y250,DATE(2015,5,16))-D250)/365)
+
CEILING(MOD((MIN(Y250,DATE(2015,5,16))-D250)/365,1),0.25)
)
*
_xlfn.SWITCH(J250,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50" s="1" cm="1">
        <f t="array" aca="1" ref="AA250" ca="1">IF(Y250&lt;DATE(2015,5,17),0,
K250*
(
INT((MIN(Y250,DATE(2018,9,23))-MAX(D250,DATE(2015,5,17)))/365)
+
CEILING(MOD((MIN(Y250,DATE(2018,9,23))-MAX(D250,DATE(2015,5,17)))/365,1),0.25)
)
*
_xlfn.SWITCH(J250,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50" s="1" cm="1">
        <f t="array" aca="1" ref="AB250" ca="1">IF(Y250&lt;DATE(2018,9,24),0,
IF(J250="زراعة",
K250*
(
INT((MIN(Y250,DATE(2023,4,30))-MAX(D250,DATE(2018,9,24)))/365)
+
CEILING(MOD((MIN(Y250,DATE(2023,4,30))-MAX(D250,DATE(2018,9,24)))/365,1),0.25)
)
*1,
K250*
(
DATEDIF(MAX(D250,DATE(2018,9,24)),MIN(Y250,DATE(2023,4,30)),"m")+1
)
*
_xlfn.SWITCH(J250,
"موقف/تندة",IF(D250&lt;DATE(2019,11,30),6,30),
"تشوينات",IF(D250&lt;DATE(2019,11,30),4,20),
"مشاتل",IF(D250&lt;DATE(2019,11,30),2,10),
"كافيتيريا",IF(D250&lt;DATE(2019,11,30),30,150),
"نوادي",IF(D250&lt;DATE(2019,11,30),6,30),
"رسو مراكب",IF(D250&lt;DATE(2019,11,30),2,10),
"مباني",IF(D250&lt;DATE(2018,9,24),2,10),
"عشش",IF(D250&lt;DATE(2019,11,30),2,10),
"كشك (تجاري/صناعي)",IF(D250&lt;DATE(2019,11,30),10,50),
"ردم",20,
0)))</f>
        <v>0</v>
      </c>
      <c r="AC250" s="1" cm="1">
        <f t="array" aca="1" ref="AC250" ca="1">IF(Y250&lt;DATE(2023,5,1),0,
IF(J250="زراعة",
K250*
(
INT((Y250-MAX(DATE(2023,5,1),D250))/365)
+
CEILING(MOD((Y250-MAX(DATE(2023,5,1),D250))/365,1),0.25)
)
*3,
IF(J250="ردم",
K250*20,
K250*
(
DATEDIF(MAX(DATE(2023,5,1),D250),Y250,"m")+1
)
*
_xlfn.SWITCH(J250,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50" s="1">
        <f t="shared" ca="1" si="24"/>
        <v>55</v>
      </c>
    </row>
    <row r="251" spans="1:30" ht="18.75" x14ac:dyDescent="0.25">
      <c r="A251" s="37">
        <v>221</v>
      </c>
      <c r="B251" s="3">
        <v>110</v>
      </c>
      <c r="C251" s="3">
        <v>2016</v>
      </c>
      <c r="D251" s="7">
        <v>42642</v>
      </c>
      <c r="E251" s="11"/>
      <c r="F251" s="3"/>
      <c r="G251" s="3" t="s">
        <v>327</v>
      </c>
      <c r="H251" s="6"/>
      <c r="I251" s="6" t="s">
        <v>211</v>
      </c>
      <c r="J251" s="3" t="s">
        <v>77</v>
      </c>
      <c r="K251" s="6">
        <v>20</v>
      </c>
      <c r="L251" s="3" t="s">
        <v>90</v>
      </c>
      <c r="M251" s="7"/>
      <c r="N251" s="6"/>
      <c r="O251" s="9">
        <f>0.47*Table2[[#This Row],[قيمة المحضر]]</f>
        <v>0</v>
      </c>
      <c r="P251" s="9">
        <f>0.17*Table2[[#This Row],[قيمة المحضر]]</f>
        <v>0</v>
      </c>
      <c r="Q251" s="9">
        <f t="shared" ca="1" si="25"/>
        <v>23600</v>
      </c>
      <c r="R251" s="3"/>
      <c r="S251" s="3"/>
      <c r="T251" s="9" t="str">
        <f t="shared" si="26"/>
        <v>-</v>
      </c>
      <c r="U251" s="3" t="s">
        <v>25</v>
      </c>
      <c r="V251" s="9" t="str">
        <f t="shared" si="27"/>
        <v>-</v>
      </c>
      <c r="W251" s="4"/>
      <c r="X251" s="38"/>
      <c r="Y251" s="1">
        <f t="shared" ca="1" si="23"/>
        <v>46162</v>
      </c>
      <c r="Z251" s="1" cm="1">
        <f t="array" ref="Z251">IF(D251&gt;DATE(2015,5,16),0,
K251*
(
INT((MIN(Y251,DATE(2015,5,16))-D251)/365)
+
CEILING(MOD((MIN(Y251,DATE(2015,5,16))-D251)/365,1),0.25)
)
*
_xlfn.SWITCH(J251,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51" s="1" cm="1">
        <f t="array" aca="1" ref="AA251" ca="1">IF(Y251&lt;DATE(2015,5,17),0,
K251*
(
INT((MIN(Y251,DATE(2018,9,23))-MAX(D251,DATE(2015,5,17)))/365)
+
CEILING(MOD((MIN(Y251,DATE(2018,9,23))-MAX(D251,DATE(2015,5,17)))/365,1),0.25)
)
*
_xlfn.SWITCH(J251,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800</v>
      </c>
      <c r="AB251" s="1" cm="1">
        <f t="array" aca="1" ref="AB251" ca="1">IF(Y251&lt;DATE(2018,9,24),0,
IF(J251="زراعة",
K251*
(
INT((MIN(Y251,DATE(2023,4,30))-MAX(D251,DATE(2018,9,24)))/365)
+
CEILING(MOD((MIN(Y251,DATE(2023,4,30))-MAX(D251,DATE(2018,9,24)))/365,1),0.25)
)
*1,
K251*
(
DATEDIF(MAX(D251,DATE(2018,9,24)),MIN(Y251,DATE(2023,4,30)),"m")+1
)
*
_xlfn.SWITCH(J251,
"موقف/تندة",IF(D251&lt;DATE(2019,11,30),6,30),
"تشوينات",IF(D251&lt;DATE(2019,11,30),4,20),
"مشاتل",IF(D251&lt;DATE(2019,11,30),2,10),
"كافيتيريا",IF(D251&lt;DATE(2019,11,30),30,150),
"نوادي",IF(D251&lt;DATE(2019,11,30),6,30),
"رسو مراكب",IF(D251&lt;DATE(2019,11,30),2,10),
"مباني",IF(D251&lt;DATE(2018,9,24),2,10),
"عشش",IF(D251&lt;DATE(2019,11,30),2,10),
"كشك (تجاري/صناعي)",IF(D251&lt;DATE(2019,11,30),10,50),
"ردم",20,
0)))</f>
        <v>22400</v>
      </c>
      <c r="AC251" s="1" cm="1">
        <f t="array" aca="1" ref="AC251" ca="1">IF(Y251&lt;DATE(2023,5,1),0,
IF(J251="زراعة",
K251*
(
INT((Y251-MAX(DATE(2023,5,1),D251))/365)
+
CEILING(MOD((Y251-MAX(DATE(2023,5,1),D251))/365,1),0.25)
)
*3,
IF(J251="ردم",
K251*20,
K251*
(
DATEDIF(MAX(DATE(2023,5,1),D251),Y251,"m")+1
)
*
_xlfn.SWITCH(J251,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251" s="1">
        <f t="shared" ca="1" si="24"/>
        <v>55</v>
      </c>
    </row>
    <row r="252" spans="1:30" ht="18.75" x14ac:dyDescent="0.25">
      <c r="A252" s="37">
        <v>222</v>
      </c>
      <c r="B252" s="3">
        <v>111</v>
      </c>
      <c r="C252" s="3">
        <v>2016</v>
      </c>
      <c r="D252" s="7">
        <v>42642</v>
      </c>
      <c r="E252" s="11"/>
      <c r="F252" s="3"/>
      <c r="G252" s="3" t="s">
        <v>328</v>
      </c>
      <c r="H252" s="6"/>
      <c r="I252" s="6" t="s">
        <v>33</v>
      </c>
      <c r="J252" s="3" t="s">
        <v>27</v>
      </c>
      <c r="K252" s="6">
        <v>30</v>
      </c>
      <c r="L252" s="3" t="s">
        <v>90</v>
      </c>
      <c r="M252" s="7"/>
      <c r="N252" s="6"/>
      <c r="O252" s="9">
        <f>0.47*Table2[[#This Row],[قيمة المحضر]]</f>
        <v>0</v>
      </c>
      <c r="P252" s="9">
        <f>0.17*Table2[[#This Row],[قيمة المحضر]]</f>
        <v>0</v>
      </c>
      <c r="Q252" s="9">
        <f t="shared" ca="1" si="25"/>
        <v>7170</v>
      </c>
      <c r="R252" s="3"/>
      <c r="S252" s="3"/>
      <c r="T252" s="9" t="str">
        <f t="shared" si="26"/>
        <v>-</v>
      </c>
      <c r="U252" s="3" t="s">
        <v>25</v>
      </c>
      <c r="V252" s="9" t="str">
        <f t="shared" si="27"/>
        <v>-</v>
      </c>
      <c r="W252" s="4"/>
      <c r="X252" s="38"/>
      <c r="Y252" s="1">
        <f t="shared" ca="1" si="23"/>
        <v>46162</v>
      </c>
      <c r="Z252" s="1" cm="1">
        <f t="array" ref="Z252">IF(D252&gt;DATE(2015,5,16),0,
K252*
(
INT((MIN(Y252,DATE(2015,5,16))-D252)/365)
+
CEILING(MOD((MIN(Y252,DATE(2015,5,16))-D252)/365,1),0.25)
)
*
_xlfn.SWITCH(J252,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52" s="1" cm="1">
        <f t="array" aca="1" ref="AA252" ca="1">IF(Y252&lt;DATE(2015,5,17),0,
K252*
(
INT((MIN(Y252,DATE(2018,9,23))-MAX(D252,DATE(2015,5,17)))/365)
+
CEILING(MOD((MIN(Y252,DATE(2018,9,23))-MAX(D252,DATE(2015,5,17)))/365,1),0.25)
)
*
_xlfn.SWITCH(J252,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480</v>
      </c>
      <c r="AB252" s="1" cm="1">
        <f t="array" aca="1" ref="AB252" ca="1">IF(Y252&lt;DATE(2018,9,24),0,
IF(J252="زراعة",
K252*
(
INT((MIN(Y252,DATE(2023,4,30))-MAX(D252,DATE(2018,9,24)))/365)
+
CEILING(MOD((MIN(Y252,DATE(2023,4,30))-MAX(D252,DATE(2018,9,24)))/365,1),0.25)
)
*1,
K252*
(
DATEDIF(MAX(D252,DATE(2018,9,24)),MIN(Y252,DATE(2023,4,30)),"m")+1
)
*
_xlfn.SWITCH(J252,
"موقف/تندة",IF(D252&lt;DATE(2019,11,30),6,30),
"تشوينات",IF(D252&lt;DATE(2019,11,30),4,20),
"مشاتل",IF(D252&lt;DATE(2019,11,30),2,10),
"كافيتيريا",IF(D252&lt;DATE(2019,11,30),30,150),
"نوادي",IF(D252&lt;DATE(2019,11,30),6,30),
"رسو مراكب",IF(D252&lt;DATE(2019,11,30),2,10),
"مباني",IF(D252&lt;DATE(2018,9,24),2,10),
"عشش",IF(D252&lt;DATE(2019,11,30),2,10),
"كشك (تجاري/صناعي)",IF(D252&lt;DATE(2019,11,30),10,50),
"ردم",20,
0)))</f>
        <v>3360</v>
      </c>
      <c r="AC252" s="1" cm="1">
        <f t="array" aca="1" ref="AC252" ca="1">IF(Y252&lt;DATE(2023,5,1),0,
IF(J252="زراعة",
K252*
(
INT((Y252-MAX(DATE(2023,5,1),D252))/365)
+
CEILING(MOD((Y252-MAX(DATE(2023,5,1),D252))/365,1),0.25)
)
*3,
IF(J252="ردم",
K252*20,
K252*
(
DATEDIF(MAX(DATE(2023,5,1),D252),Y252,"m")+1
)
*
_xlfn.SWITCH(J252,
"موقف/تندة",6,
"تشوينات",4,
"مشاتل",2,
"رسو مراكب",6,
"مباني",3,
"عشش",1,
"كشك (تجاري/صناعي)",20,
"مواسير صرف صحي (&lt;1م)",16,
"مواسير صرف صحي (&gt;1م)",18,
0))))</f>
        <v>3330</v>
      </c>
      <c r="AD252" s="1">
        <f t="shared" ca="1" si="24"/>
        <v>55</v>
      </c>
    </row>
    <row r="253" spans="1:30" ht="18.75" x14ac:dyDescent="0.25">
      <c r="A253" s="37">
        <v>223</v>
      </c>
      <c r="B253" s="3">
        <v>112</v>
      </c>
      <c r="C253" s="3">
        <v>2016</v>
      </c>
      <c r="D253" s="7">
        <v>42642</v>
      </c>
      <c r="E253" s="11"/>
      <c r="F253" s="3"/>
      <c r="G253" s="3" t="s">
        <v>329</v>
      </c>
      <c r="H253" s="6"/>
      <c r="I253" s="6" t="s">
        <v>33</v>
      </c>
      <c r="J253" s="3" t="s">
        <v>27</v>
      </c>
      <c r="K253" s="6">
        <f>60*15</f>
        <v>900</v>
      </c>
      <c r="L253" s="3" t="s">
        <v>90</v>
      </c>
      <c r="M253" s="7"/>
      <c r="N253" s="6"/>
      <c r="O253" s="9">
        <f>0.47*Table2[[#This Row],[قيمة المحضر]]</f>
        <v>0</v>
      </c>
      <c r="P253" s="9">
        <f>0.17*Table2[[#This Row],[قيمة المحضر]]</f>
        <v>0</v>
      </c>
      <c r="Q253" s="9">
        <f t="shared" ca="1" si="25"/>
        <v>215100</v>
      </c>
      <c r="R253" s="3"/>
      <c r="S253" s="3"/>
      <c r="T253" s="9" t="str">
        <f t="shared" si="26"/>
        <v>-</v>
      </c>
      <c r="U253" s="3" t="s">
        <v>25</v>
      </c>
      <c r="V253" s="9" t="str">
        <f t="shared" si="27"/>
        <v>-</v>
      </c>
      <c r="W253" s="4"/>
      <c r="X253" s="38"/>
      <c r="Y253" s="1">
        <f t="shared" ca="1" si="23"/>
        <v>46162</v>
      </c>
      <c r="Z253" s="1" cm="1">
        <f t="array" ref="Z253">IF(D253&gt;DATE(2015,5,16),0,
K253*
(
INT((MIN(Y253,DATE(2015,5,16))-D253)/365)
+
CEILING(MOD((MIN(Y253,DATE(2015,5,16))-D253)/365,1),0.25)
)
*
_xlfn.SWITCH(J253,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53" s="1" cm="1">
        <f t="array" aca="1" ref="AA253" ca="1">IF(Y253&lt;DATE(2015,5,17),0,
K253*
(
INT((MIN(Y253,DATE(2018,9,23))-MAX(D253,DATE(2015,5,17)))/365)
+
CEILING(MOD((MIN(Y253,DATE(2018,9,23))-MAX(D253,DATE(2015,5,17)))/365,1),0.25)
)
*
_xlfn.SWITCH(J253,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14400</v>
      </c>
      <c r="AB253" s="1" cm="1">
        <f t="array" aca="1" ref="AB253" ca="1">IF(Y253&lt;DATE(2018,9,24),0,
IF(J253="زراعة",
K253*
(
INT((MIN(Y253,DATE(2023,4,30))-MAX(D253,DATE(2018,9,24)))/365)
+
CEILING(MOD((MIN(Y253,DATE(2023,4,30))-MAX(D253,DATE(2018,9,24)))/365,1),0.25)
)
*1,
K253*
(
DATEDIF(MAX(D253,DATE(2018,9,24)),MIN(Y253,DATE(2023,4,30)),"m")+1
)
*
_xlfn.SWITCH(J253,
"موقف/تندة",IF(D253&lt;DATE(2019,11,30),6,30),
"تشوينات",IF(D253&lt;DATE(2019,11,30),4,20),
"مشاتل",IF(D253&lt;DATE(2019,11,30),2,10),
"كافيتيريا",IF(D253&lt;DATE(2019,11,30),30,150),
"نوادي",IF(D253&lt;DATE(2019,11,30),6,30),
"رسو مراكب",IF(D253&lt;DATE(2019,11,30),2,10),
"مباني",IF(D253&lt;DATE(2018,9,24),2,10),
"عشش",IF(D253&lt;DATE(2019,11,30),2,10),
"كشك (تجاري/صناعي)",IF(D253&lt;DATE(2019,11,30),10,50),
"ردم",20,
0)))</f>
        <v>100800</v>
      </c>
      <c r="AC253" s="1" cm="1">
        <f t="array" aca="1" ref="AC253" ca="1">IF(Y253&lt;DATE(2023,5,1),0,
IF(J253="زراعة",
K253*
(
INT((Y253-MAX(DATE(2023,5,1),D253))/365)
+
CEILING(MOD((Y253-MAX(DATE(2023,5,1),D253))/365,1),0.25)
)
*3,
IF(J253="ردم",
K253*20,
K253*
(
DATEDIF(MAX(DATE(2023,5,1),D253),Y253,"m")+1
)
*
_xlfn.SWITCH(J253,
"موقف/تندة",6,
"تشوينات",4,
"مشاتل",2,
"رسو مراكب",6,
"مباني",3,
"عشش",1,
"كشك (تجاري/صناعي)",20,
"مواسير صرف صحي (&lt;1م)",16,
"مواسير صرف صحي (&gt;1م)",18,
0))))</f>
        <v>99900</v>
      </c>
      <c r="AD253" s="1">
        <f t="shared" ca="1" si="24"/>
        <v>55</v>
      </c>
    </row>
    <row r="254" spans="1:30" ht="18.75" x14ac:dyDescent="0.25">
      <c r="A254" s="37">
        <v>224</v>
      </c>
      <c r="B254" s="3">
        <v>113</v>
      </c>
      <c r="C254" s="3">
        <v>2016</v>
      </c>
      <c r="D254" s="7">
        <v>42642</v>
      </c>
      <c r="E254" s="11"/>
      <c r="F254" s="3"/>
      <c r="G254" s="3" t="s">
        <v>330</v>
      </c>
      <c r="H254" s="6"/>
      <c r="I254" s="6" t="s">
        <v>33</v>
      </c>
      <c r="J254" s="3" t="s">
        <v>27</v>
      </c>
      <c r="K254" s="6">
        <v>75</v>
      </c>
      <c r="L254" s="3" t="s">
        <v>90</v>
      </c>
      <c r="M254" s="7"/>
      <c r="N254" s="6"/>
      <c r="O254" s="9">
        <f>0.47*Table2[[#This Row],[قيمة المحضر]]</f>
        <v>0</v>
      </c>
      <c r="P254" s="9">
        <f>0.17*Table2[[#This Row],[قيمة المحضر]]</f>
        <v>0</v>
      </c>
      <c r="Q254" s="9">
        <f t="shared" ca="1" si="25"/>
        <v>17925</v>
      </c>
      <c r="R254" s="3"/>
      <c r="S254" s="3"/>
      <c r="T254" s="9" t="str">
        <f t="shared" si="26"/>
        <v>-</v>
      </c>
      <c r="U254" s="3" t="s">
        <v>25</v>
      </c>
      <c r="V254" s="9" t="str">
        <f t="shared" si="27"/>
        <v>-</v>
      </c>
      <c r="W254" s="4"/>
      <c r="X254" s="38"/>
      <c r="Y254" s="1">
        <f t="shared" ca="1" si="23"/>
        <v>46162</v>
      </c>
      <c r="Z254" s="1" cm="1">
        <f t="array" ref="Z254">IF(D254&gt;DATE(2015,5,16),0,
K254*
(
INT((MIN(Y254,DATE(2015,5,16))-D254)/365)
+
CEILING(MOD((MIN(Y254,DATE(2015,5,16))-D254)/365,1),0.25)
)
*
_xlfn.SWITCH(J254,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54" s="1" cm="1">
        <f t="array" aca="1" ref="AA254" ca="1">IF(Y254&lt;DATE(2015,5,17),0,
K254*
(
INT((MIN(Y254,DATE(2018,9,23))-MAX(D254,DATE(2015,5,17)))/365)
+
CEILING(MOD((MIN(Y254,DATE(2018,9,23))-MAX(D254,DATE(2015,5,17)))/365,1),0.25)
)
*
_xlfn.SWITCH(J254,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1200</v>
      </c>
      <c r="AB254" s="1" cm="1">
        <f t="array" aca="1" ref="AB254" ca="1">IF(Y254&lt;DATE(2018,9,24),0,
IF(J254="زراعة",
K254*
(
INT((MIN(Y254,DATE(2023,4,30))-MAX(D254,DATE(2018,9,24)))/365)
+
CEILING(MOD((MIN(Y254,DATE(2023,4,30))-MAX(D254,DATE(2018,9,24)))/365,1),0.25)
)
*1,
K254*
(
DATEDIF(MAX(D254,DATE(2018,9,24)),MIN(Y254,DATE(2023,4,30)),"m")+1
)
*
_xlfn.SWITCH(J254,
"موقف/تندة",IF(D254&lt;DATE(2019,11,30),6,30),
"تشوينات",IF(D254&lt;DATE(2019,11,30),4,20),
"مشاتل",IF(D254&lt;DATE(2019,11,30),2,10),
"كافيتيريا",IF(D254&lt;DATE(2019,11,30),30,150),
"نوادي",IF(D254&lt;DATE(2019,11,30),6,30),
"رسو مراكب",IF(D254&lt;DATE(2019,11,30),2,10),
"مباني",IF(D254&lt;DATE(2018,9,24),2,10),
"عشش",IF(D254&lt;DATE(2019,11,30),2,10),
"كشك (تجاري/صناعي)",IF(D254&lt;DATE(2019,11,30),10,50),
"ردم",20,
0)))</f>
        <v>8400</v>
      </c>
      <c r="AC254" s="1" cm="1">
        <f t="array" aca="1" ref="AC254" ca="1">IF(Y254&lt;DATE(2023,5,1),0,
IF(J254="زراعة",
K254*
(
INT((Y254-MAX(DATE(2023,5,1),D254))/365)
+
CEILING(MOD((Y254-MAX(DATE(2023,5,1),D254))/365,1),0.25)
)
*3,
IF(J254="ردم",
K254*20,
K254*
(
DATEDIF(MAX(DATE(2023,5,1),D254),Y254,"m")+1
)
*
_xlfn.SWITCH(J254,
"موقف/تندة",6,
"تشوينات",4,
"مشاتل",2,
"رسو مراكب",6,
"مباني",3,
"عشش",1,
"كشك (تجاري/صناعي)",20,
"مواسير صرف صحي (&lt;1م)",16,
"مواسير صرف صحي (&gt;1م)",18,
0))))</f>
        <v>8325</v>
      </c>
      <c r="AD254" s="1">
        <f t="shared" ca="1" si="24"/>
        <v>55</v>
      </c>
    </row>
    <row r="255" spans="1:30" ht="18.75" x14ac:dyDescent="0.25">
      <c r="A255" s="37">
        <v>225</v>
      </c>
      <c r="B255" s="3">
        <v>114</v>
      </c>
      <c r="C255" s="3">
        <v>2016</v>
      </c>
      <c r="D255" s="7">
        <v>42646</v>
      </c>
      <c r="E255" s="11" t="s">
        <v>361</v>
      </c>
      <c r="F255" s="3"/>
      <c r="G255" s="3" t="s">
        <v>331</v>
      </c>
      <c r="H255" s="6"/>
      <c r="I255" s="6" t="s">
        <v>377</v>
      </c>
      <c r="J255" s="3" t="s">
        <v>27</v>
      </c>
      <c r="K255" s="6">
        <v>100</v>
      </c>
      <c r="L255" s="3" t="s">
        <v>196</v>
      </c>
      <c r="M255" s="7"/>
      <c r="N255" s="6"/>
      <c r="O255" s="9">
        <f>0.47*Table2[[#This Row],[قيمة المحضر]]</f>
        <v>0</v>
      </c>
      <c r="P255" s="9">
        <f>0.17*Table2[[#This Row],[قيمة المحضر]]</f>
        <v>0</v>
      </c>
      <c r="Q255" s="9">
        <f t="shared" ca="1" si="25"/>
        <v>23900</v>
      </c>
      <c r="R255" s="3"/>
      <c r="S255" s="3"/>
      <c r="T255" s="9" t="str">
        <f t="shared" si="26"/>
        <v>-</v>
      </c>
      <c r="U255" s="3" t="s">
        <v>25</v>
      </c>
      <c r="V255" s="9" t="str">
        <f t="shared" si="27"/>
        <v>-</v>
      </c>
      <c r="W255" s="4"/>
      <c r="X255" s="38"/>
      <c r="Y255" s="1">
        <f t="shared" ca="1" si="23"/>
        <v>46162</v>
      </c>
      <c r="Z255" s="1" cm="1">
        <f t="array" ref="Z255">IF(D255&gt;DATE(2015,5,16),0,
K255*
(
INT((MIN(Y255,DATE(2015,5,16))-D255)/365)
+
CEILING(MOD((MIN(Y255,DATE(2015,5,16))-D255)/365,1),0.25)
)
*
_xlfn.SWITCH(J255,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55" s="1" cm="1">
        <f t="array" aca="1" ref="AA255" ca="1">IF(Y255&lt;DATE(2015,5,17),0,
K255*
(
INT((MIN(Y255,DATE(2018,9,23))-MAX(D255,DATE(2015,5,17)))/365)
+
CEILING(MOD((MIN(Y255,DATE(2018,9,23))-MAX(D255,DATE(2015,5,17)))/365,1),0.25)
)
*
_xlfn.SWITCH(J255,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1600</v>
      </c>
      <c r="AB255" s="1" cm="1">
        <f t="array" aca="1" ref="AB255" ca="1">IF(Y255&lt;DATE(2018,9,24),0,
IF(J255="زراعة",
K255*
(
INT((MIN(Y255,DATE(2023,4,30))-MAX(D255,DATE(2018,9,24)))/365)
+
CEILING(MOD((MIN(Y255,DATE(2023,4,30))-MAX(D255,DATE(2018,9,24)))/365,1),0.25)
)
*1,
K255*
(
DATEDIF(MAX(D255,DATE(2018,9,24)),MIN(Y255,DATE(2023,4,30)),"m")+1
)
*
_xlfn.SWITCH(J255,
"موقف/تندة",IF(D255&lt;DATE(2019,11,30),6,30),
"تشوينات",IF(D255&lt;DATE(2019,11,30),4,20),
"مشاتل",IF(D255&lt;DATE(2019,11,30),2,10),
"كافيتيريا",IF(D255&lt;DATE(2019,11,30),30,150),
"نوادي",IF(D255&lt;DATE(2019,11,30),6,30),
"رسو مراكب",IF(D255&lt;DATE(2019,11,30),2,10),
"مباني",IF(D255&lt;DATE(2018,9,24),2,10),
"عشش",IF(D255&lt;DATE(2019,11,30),2,10),
"كشك (تجاري/صناعي)",IF(D255&lt;DATE(2019,11,30),10,50),
"ردم",20,
0)))</f>
        <v>11200</v>
      </c>
      <c r="AC255" s="1" cm="1">
        <f t="array" aca="1" ref="AC255" ca="1">IF(Y255&lt;DATE(2023,5,1),0,
IF(J255="زراعة",
K255*
(
INT((Y255-MAX(DATE(2023,5,1),D255))/365)
+
CEILING(MOD((Y255-MAX(DATE(2023,5,1),D255))/365,1),0.25)
)
*3,
IF(J255="ردم",
K255*20,
K255*
(
DATEDIF(MAX(DATE(2023,5,1),D255),Y255,"m")+1
)
*
_xlfn.SWITCH(J255,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255" s="1">
        <f t="shared" ca="1" si="24"/>
        <v>55</v>
      </c>
    </row>
    <row r="256" spans="1:30" ht="18.75" x14ac:dyDescent="0.25">
      <c r="A256" s="37">
        <v>226</v>
      </c>
      <c r="B256" s="3">
        <v>115</v>
      </c>
      <c r="C256" s="3">
        <v>2016</v>
      </c>
      <c r="D256" s="7">
        <v>42646</v>
      </c>
      <c r="E256" s="11" t="s">
        <v>362</v>
      </c>
      <c r="F256" s="3"/>
      <c r="G256" s="3" t="s">
        <v>332</v>
      </c>
      <c r="H256" s="6"/>
      <c r="I256" s="6" t="s">
        <v>377</v>
      </c>
      <c r="J256" s="3" t="s">
        <v>27</v>
      </c>
      <c r="K256" s="6">
        <v>100</v>
      </c>
      <c r="L256" s="3" t="s">
        <v>196</v>
      </c>
      <c r="M256" s="7"/>
      <c r="N256" s="6"/>
      <c r="O256" s="9">
        <f>0.47*Table2[[#This Row],[قيمة المحضر]]</f>
        <v>0</v>
      </c>
      <c r="P256" s="9">
        <f>0.17*Table2[[#This Row],[قيمة المحضر]]</f>
        <v>0</v>
      </c>
      <c r="Q256" s="9">
        <f t="shared" ca="1" si="25"/>
        <v>23900</v>
      </c>
      <c r="R256" s="3"/>
      <c r="S256" s="3"/>
      <c r="T256" s="9" t="str">
        <f t="shared" si="26"/>
        <v>-</v>
      </c>
      <c r="U256" s="3" t="s">
        <v>25</v>
      </c>
      <c r="V256" s="9" t="str">
        <f t="shared" si="27"/>
        <v>-</v>
      </c>
      <c r="W256" s="4"/>
      <c r="X256" s="38"/>
      <c r="Y256" s="1">
        <f t="shared" ca="1" si="23"/>
        <v>46162</v>
      </c>
      <c r="Z256" s="1" cm="1">
        <f t="array" ref="Z256">IF(D256&gt;DATE(2015,5,16),0,
K256*
(
INT((MIN(Y256,DATE(2015,5,16))-D256)/365)
+
CEILING(MOD((MIN(Y256,DATE(2015,5,16))-D256)/365,1),0.25)
)
*
_xlfn.SWITCH(J256,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56" s="1" cm="1">
        <f t="array" aca="1" ref="AA256" ca="1">IF(Y256&lt;DATE(2015,5,17),0,
K256*
(
INT((MIN(Y256,DATE(2018,9,23))-MAX(D256,DATE(2015,5,17)))/365)
+
CEILING(MOD((MIN(Y256,DATE(2018,9,23))-MAX(D256,DATE(2015,5,17)))/365,1),0.25)
)
*
_xlfn.SWITCH(J256,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1600</v>
      </c>
      <c r="AB256" s="1" cm="1">
        <f t="array" aca="1" ref="AB256" ca="1">IF(Y256&lt;DATE(2018,9,24),0,
IF(J256="زراعة",
K256*
(
INT((MIN(Y256,DATE(2023,4,30))-MAX(D256,DATE(2018,9,24)))/365)
+
CEILING(MOD((MIN(Y256,DATE(2023,4,30))-MAX(D256,DATE(2018,9,24)))/365,1),0.25)
)
*1,
K256*
(
DATEDIF(MAX(D256,DATE(2018,9,24)),MIN(Y256,DATE(2023,4,30)),"m")+1
)
*
_xlfn.SWITCH(J256,
"موقف/تندة",IF(D256&lt;DATE(2019,11,30),6,30),
"تشوينات",IF(D256&lt;DATE(2019,11,30),4,20),
"مشاتل",IF(D256&lt;DATE(2019,11,30),2,10),
"كافيتيريا",IF(D256&lt;DATE(2019,11,30),30,150),
"نوادي",IF(D256&lt;DATE(2019,11,30),6,30),
"رسو مراكب",IF(D256&lt;DATE(2019,11,30),2,10),
"مباني",IF(D256&lt;DATE(2018,9,24),2,10),
"عشش",IF(D256&lt;DATE(2019,11,30),2,10),
"كشك (تجاري/صناعي)",IF(D256&lt;DATE(2019,11,30),10,50),
"ردم",20,
0)))</f>
        <v>11200</v>
      </c>
      <c r="AC256" s="1" cm="1">
        <f t="array" aca="1" ref="AC256" ca="1">IF(Y256&lt;DATE(2023,5,1),0,
IF(J256="زراعة",
K256*
(
INT((Y256-MAX(DATE(2023,5,1),D256))/365)
+
CEILING(MOD((Y256-MAX(DATE(2023,5,1),D256))/365,1),0.25)
)
*3,
IF(J256="ردم",
K256*20,
K256*
(
DATEDIF(MAX(DATE(2023,5,1),D256),Y256,"m")+1
)
*
_xlfn.SWITCH(J256,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256" s="1">
        <f t="shared" ca="1" si="24"/>
        <v>55</v>
      </c>
    </row>
    <row r="257" spans="1:30" ht="18.75" x14ac:dyDescent="0.25">
      <c r="A257" s="37">
        <v>227</v>
      </c>
      <c r="B257" s="3">
        <v>116</v>
      </c>
      <c r="C257" s="3">
        <v>2016</v>
      </c>
      <c r="D257" s="7">
        <v>42646</v>
      </c>
      <c r="E257" s="11" t="s">
        <v>363</v>
      </c>
      <c r="F257" s="3"/>
      <c r="G257" s="3" t="s">
        <v>333</v>
      </c>
      <c r="H257" s="6"/>
      <c r="I257" s="6" t="s">
        <v>371</v>
      </c>
      <c r="J257" s="3" t="s">
        <v>27</v>
      </c>
      <c r="K257" s="6">
        <v>30</v>
      </c>
      <c r="L257" s="3" t="s">
        <v>196</v>
      </c>
      <c r="M257" s="7"/>
      <c r="N257" s="6"/>
      <c r="O257" s="9">
        <f>0.47*Table2[[#This Row],[قيمة المحضر]]</f>
        <v>0</v>
      </c>
      <c r="P257" s="9">
        <f>0.17*Table2[[#This Row],[قيمة المحضر]]</f>
        <v>0</v>
      </c>
      <c r="Q257" s="9">
        <f t="shared" ca="1" si="25"/>
        <v>7170</v>
      </c>
      <c r="R257" s="3"/>
      <c r="S257" s="3"/>
      <c r="T257" s="9" t="str">
        <f t="shared" si="26"/>
        <v>-</v>
      </c>
      <c r="U257" s="3" t="s">
        <v>25</v>
      </c>
      <c r="V257" s="9" t="str">
        <f t="shared" si="27"/>
        <v>-</v>
      </c>
      <c r="W257" s="4"/>
      <c r="X257" s="38"/>
      <c r="Y257" s="1">
        <f t="shared" ca="1" si="23"/>
        <v>46162</v>
      </c>
      <c r="Z257" s="1" cm="1">
        <f t="array" ref="Z257">IF(D257&gt;DATE(2015,5,16),0,
K257*
(
INT((MIN(Y257,DATE(2015,5,16))-D257)/365)
+
CEILING(MOD((MIN(Y257,DATE(2015,5,16))-D257)/365,1),0.25)
)
*
_xlfn.SWITCH(J257,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57" s="1" cm="1">
        <f t="array" aca="1" ref="AA257" ca="1">IF(Y257&lt;DATE(2015,5,17),0,
K257*
(
INT((MIN(Y257,DATE(2018,9,23))-MAX(D257,DATE(2015,5,17)))/365)
+
CEILING(MOD((MIN(Y257,DATE(2018,9,23))-MAX(D257,DATE(2015,5,17)))/365,1),0.25)
)
*
_xlfn.SWITCH(J257,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480</v>
      </c>
      <c r="AB257" s="1" cm="1">
        <f t="array" aca="1" ref="AB257" ca="1">IF(Y257&lt;DATE(2018,9,24),0,
IF(J257="زراعة",
K257*
(
INT((MIN(Y257,DATE(2023,4,30))-MAX(D257,DATE(2018,9,24)))/365)
+
CEILING(MOD((MIN(Y257,DATE(2023,4,30))-MAX(D257,DATE(2018,9,24)))/365,1),0.25)
)
*1,
K257*
(
DATEDIF(MAX(D257,DATE(2018,9,24)),MIN(Y257,DATE(2023,4,30)),"m")+1
)
*
_xlfn.SWITCH(J257,
"موقف/تندة",IF(D257&lt;DATE(2019,11,30),6,30),
"تشوينات",IF(D257&lt;DATE(2019,11,30),4,20),
"مشاتل",IF(D257&lt;DATE(2019,11,30),2,10),
"كافيتيريا",IF(D257&lt;DATE(2019,11,30),30,150),
"نوادي",IF(D257&lt;DATE(2019,11,30),6,30),
"رسو مراكب",IF(D257&lt;DATE(2019,11,30),2,10),
"مباني",IF(D257&lt;DATE(2018,9,24),2,10),
"عشش",IF(D257&lt;DATE(2019,11,30),2,10),
"كشك (تجاري/صناعي)",IF(D257&lt;DATE(2019,11,30),10,50),
"ردم",20,
0)))</f>
        <v>3360</v>
      </c>
      <c r="AC257" s="1" cm="1">
        <f t="array" aca="1" ref="AC257" ca="1">IF(Y257&lt;DATE(2023,5,1),0,
IF(J257="زراعة",
K257*
(
INT((Y257-MAX(DATE(2023,5,1),D257))/365)
+
CEILING(MOD((Y257-MAX(DATE(2023,5,1),D257))/365,1),0.25)
)
*3,
IF(J257="ردم",
K257*20,
K257*
(
DATEDIF(MAX(DATE(2023,5,1),D257),Y257,"m")+1
)
*
_xlfn.SWITCH(J257,
"موقف/تندة",6,
"تشوينات",4,
"مشاتل",2,
"رسو مراكب",6,
"مباني",3,
"عشش",1,
"كشك (تجاري/صناعي)",20,
"مواسير صرف صحي (&lt;1م)",16,
"مواسير صرف صحي (&gt;1م)",18,
0))))</f>
        <v>3330</v>
      </c>
      <c r="AD257" s="1">
        <f t="shared" ca="1" si="24"/>
        <v>55</v>
      </c>
    </row>
    <row r="258" spans="1:30" ht="18.75" x14ac:dyDescent="0.25">
      <c r="A258" s="37">
        <v>228</v>
      </c>
      <c r="B258" s="3">
        <v>117</v>
      </c>
      <c r="C258" s="3">
        <v>2016</v>
      </c>
      <c r="D258" s="7">
        <v>42646</v>
      </c>
      <c r="E258" s="11" t="s">
        <v>364</v>
      </c>
      <c r="F258" s="3"/>
      <c r="G258" s="3" t="s">
        <v>334</v>
      </c>
      <c r="H258" s="6"/>
      <c r="I258" s="6" t="s">
        <v>33</v>
      </c>
      <c r="J258" s="3" t="s">
        <v>27</v>
      </c>
      <c r="K258" s="6">
        <f>15*8</f>
        <v>120</v>
      </c>
      <c r="L258" s="3" t="s">
        <v>90</v>
      </c>
      <c r="M258" s="7"/>
      <c r="N258" s="6"/>
      <c r="O258" s="9">
        <f>0.47*Table2[[#This Row],[قيمة المحضر]]</f>
        <v>0</v>
      </c>
      <c r="P258" s="9">
        <f>0.17*Table2[[#This Row],[قيمة المحضر]]</f>
        <v>0</v>
      </c>
      <c r="Q258" s="9">
        <f t="shared" ca="1" si="25"/>
        <v>28680</v>
      </c>
      <c r="R258" s="3"/>
      <c r="S258" s="3"/>
      <c r="T258" s="9" t="str">
        <f t="shared" si="26"/>
        <v>-</v>
      </c>
      <c r="U258" s="3" t="s">
        <v>25</v>
      </c>
      <c r="V258" s="9" t="str">
        <f t="shared" si="27"/>
        <v>-</v>
      </c>
      <c r="W258" s="4"/>
      <c r="X258" s="38"/>
      <c r="Y258" s="1">
        <f t="shared" ca="1" si="23"/>
        <v>46162</v>
      </c>
      <c r="Z258" s="1" cm="1">
        <f t="array" ref="Z258">IF(D258&gt;DATE(2015,5,16),0,
K258*
(
INT((MIN(Y258,DATE(2015,5,16))-D258)/365)
+
CEILING(MOD((MIN(Y258,DATE(2015,5,16))-D258)/365,1),0.25)
)
*
_xlfn.SWITCH(J258,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58" s="1" cm="1">
        <f t="array" aca="1" ref="AA258" ca="1">IF(Y258&lt;DATE(2015,5,17),0,
K258*
(
INT((MIN(Y258,DATE(2018,9,23))-MAX(D258,DATE(2015,5,17)))/365)
+
CEILING(MOD((MIN(Y258,DATE(2018,9,23))-MAX(D258,DATE(2015,5,17)))/365,1),0.25)
)
*
_xlfn.SWITCH(J258,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1920</v>
      </c>
      <c r="AB258" s="1" cm="1">
        <f t="array" aca="1" ref="AB258" ca="1">IF(Y258&lt;DATE(2018,9,24),0,
IF(J258="زراعة",
K258*
(
INT((MIN(Y258,DATE(2023,4,30))-MAX(D258,DATE(2018,9,24)))/365)
+
CEILING(MOD((MIN(Y258,DATE(2023,4,30))-MAX(D258,DATE(2018,9,24)))/365,1),0.25)
)
*1,
K258*
(
DATEDIF(MAX(D258,DATE(2018,9,24)),MIN(Y258,DATE(2023,4,30)),"m")+1
)
*
_xlfn.SWITCH(J258,
"موقف/تندة",IF(D258&lt;DATE(2019,11,30),6,30),
"تشوينات",IF(D258&lt;DATE(2019,11,30),4,20),
"مشاتل",IF(D258&lt;DATE(2019,11,30),2,10),
"كافيتيريا",IF(D258&lt;DATE(2019,11,30),30,150),
"نوادي",IF(D258&lt;DATE(2019,11,30),6,30),
"رسو مراكب",IF(D258&lt;DATE(2019,11,30),2,10),
"مباني",IF(D258&lt;DATE(2018,9,24),2,10),
"عشش",IF(D258&lt;DATE(2019,11,30),2,10),
"كشك (تجاري/صناعي)",IF(D258&lt;DATE(2019,11,30),10,50),
"ردم",20,
0)))</f>
        <v>13440</v>
      </c>
      <c r="AC258" s="1" cm="1">
        <f t="array" aca="1" ref="AC258" ca="1">IF(Y258&lt;DATE(2023,5,1),0,
IF(J258="زراعة",
K258*
(
INT((Y258-MAX(DATE(2023,5,1),D258))/365)
+
CEILING(MOD((Y258-MAX(DATE(2023,5,1),D258))/365,1),0.25)
)
*3,
IF(J258="ردم",
K258*20,
K258*
(
DATEDIF(MAX(DATE(2023,5,1),D258),Y258,"m")+1
)
*
_xlfn.SWITCH(J258,
"موقف/تندة",6,
"تشوينات",4,
"مشاتل",2,
"رسو مراكب",6,
"مباني",3,
"عشش",1,
"كشك (تجاري/صناعي)",20,
"مواسير صرف صحي (&lt;1م)",16,
"مواسير صرف صحي (&gt;1م)",18,
0))))</f>
        <v>13320</v>
      </c>
      <c r="AD258" s="1">
        <f t="shared" ca="1" si="24"/>
        <v>55</v>
      </c>
    </row>
    <row r="259" spans="1:30" ht="18.75" x14ac:dyDescent="0.25">
      <c r="A259" s="37">
        <v>229</v>
      </c>
      <c r="B259" s="3">
        <v>118</v>
      </c>
      <c r="C259" s="3">
        <v>2016</v>
      </c>
      <c r="D259" s="7">
        <v>42646</v>
      </c>
      <c r="E259" s="11" t="s">
        <v>365</v>
      </c>
      <c r="F259" s="3"/>
      <c r="G259" s="3" t="s">
        <v>335</v>
      </c>
      <c r="H259" s="6"/>
      <c r="I259" s="6" t="s">
        <v>33</v>
      </c>
      <c r="J259" s="3" t="s">
        <v>27</v>
      </c>
      <c r="K259" s="6">
        <v>60</v>
      </c>
      <c r="L259" s="3" t="s">
        <v>90</v>
      </c>
      <c r="M259" s="7"/>
      <c r="N259" s="6"/>
      <c r="O259" s="9">
        <f>0.47*Table2[[#This Row],[قيمة المحضر]]</f>
        <v>0</v>
      </c>
      <c r="P259" s="9">
        <f>0.17*Table2[[#This Row],[قيمة المحضر]]</f>
        <v>0</v>
      </c>
      <c r="Q259" s="9">
        <f t="shared" ca="1" si="25"/>
        <v>14340</v>
      </c>
      <c r="R259" s="3"/>
      <c r="S259" s="3"/>
      <c r="T259" s="9" t="str">
        <f t="shared" si="26"/>
        <v>-</v>
      </c>
      <c r="U259" s="3" t="s">
        <v>25</v>
      </c>
      <c r="V259" s="9" t="str">
        <f t="shared" si="27"/>
        <v>-</v>
      </c>
      <c r="W259" s="4"/>
      <c r="X259" s="38"/>
      <c r="Y259" s="1">
        <f t="shared" ref="Y259:Y322" ca="1" si="28">IF(M259="",TODAY(),M259)</f>
        <v>46162</v>
      </c>
      <c r="Z259" s="1" cm="1">
        <f t="array" ref="Z259">IF(D259&gt;DATE(2015,5,16),0,
K259*
(
INT((MIN(Y259,DATE(2015,5,16))-D259)/365)
+
CEILING(MOD((MIN(Y259,DATE(2015,5,16))-D259)/365,1),0.25)
)
*
_xlfn.SWITCH(J259,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59" s="1" cm="1">
        <f t="array" aca="1" ref="AA259" ca="1">IF(Y259&lt;DATE(2015,5,17),0,
K259*
(
INT((MIN(Y259,DATE(2018,9,23))-MAX(D259,DATE(2015,5,17)))/365)
+
CEILING(MOD((MIN(Y259,DATE(2018,9,23))-MAX(D259,DATE(2015,5,17)))/365,1),0.25)
)
*
_xlfn.SWITCH(J259,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960</v>
      </c>
      <c r="AB259" s="1" cm="1">
        <f t="array" aca="1" ref="AB259" ca="1">IF(Y259&lt;DATE(2018,9,24),0,
IF(J259="زراعة",
K259*
(
INT((MIN(Y259,DATE(2023,4,30))-MAX(D259,DATE(2018,9,24)))/365)
+
CEILING(MOD((MIN(Y259,DATE(2023,4,30))-MAX(D259,DATE(2018,9,24)))/365,1),0.25)
)
*1,
K259*
(
DATEDIF(MAX(D259,DATE(2018,9,24)),MIN(Y259,DATE(2023,4,30)),"m")+1
)
*
_xlfn.SWITCH(J259,
"موقف/تندة",IF(D259&lt;DATE(2019,11,30),6,30),
"تشوينات",IF(D259&lt;DATE(2019,11,30),4,20),
"مشاتل",IF(D259&lt;DATE(2019,11,30),2,10),
"كافيتيريا",IF(D259&lt;DATE(2019,11,30),30,150),
"نوادي",IF(D259&lt;DATE(2019,11,30),6,30),
"رسو مراكب",IF(D259&lt;DATE(2019,11,30),2,10),
"مباني",IF(D259&lt;DATE(2018,9,24),2,10),
"عشش",IF(D259&lt;DATE(2019,11,30),2,10),
"كشك (تجاري/صناعي)",IF(D259&lt;DATE(2019,11,30),10,50),
"ردم",20,
0)))</f>
        <v>6720</v>
      </c>
      <c r="AC259" s="1" cm="1">
        <f t="array" aca="1" ref="AC259" ca="1">IF(Y259&lt;DATE(2023,5,1),0,
IF(J259="زراعة",
K259*
(
INT((Y259-MAX(DATE(2023,5,1),D259))/365)
+
CEILING(MOD((Y259-MAX(DATE(2023,5,1),D259))/365,1),0.25)
)
*3,
IF(J259="ردم",
K259*20,
K259*
(
DATEDIF(MAX(DATE(2023,5,1),D259),Y259,"m")+1
)
*
_xlfn.SWITCH(J259,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259" s="1">
        <f t="shared" ref="AD259:AD322" ca="1" si="29">DATEDIF(MAX(D259,DATE(2018,9,24)),MIN(Y259,DATE(2023,4,30)),"m")</f>
        <v>55</v>
      </c>
    </row>
    <row r="260" spans="1:30" ht="18.75" x14ac:dyDescent="0.25">
      <c r="A260" s="37">
        <v>230</v>
      </c>
      <c r="B260" s="3">
        <v>119</v>
      </c>
      <c r="C260" s="3">
        <v>2016</v>
      </c>
      <c r="D260" s="7">
        <v>42646</v>
      </c>
      <c r="E260" s="11"/>
      <c r="F260" s="3"/>
      <c r="G260" s="3" t="s">
        <v>336</v>
      </c>
      <c r="H260" s="6"/>
      <c r="I260" s="6" t="s">
        <v>105</v>
      </c>
      <c r="J260" s="3" t="s">
        <v>77</v>
      </c>
      <c r="K260" s="6">
        <v>15</v>
      </c>
      <c r="L260" s="3" t="s">
        <v>368</v>
      </c>
      <c r="M260" s="7"/>
      <c r="N260" s="6"/>
      <c r="O260" s="9">
        <f>0.47*Table2[[#This Row],[قيمة المحضر]]</f>
        <v>0</v>
      </c>
      <c r="P260" s="9">
        <f>0.17*Table2[[#This Row],[قيمة المحضر]]</f>
        <v>0</v>
      </c>
      <c r="Q260" s="9">
        <f t="shared" ca="1" si="25"/>
        <v>17700</v>
      </c>
      <c r="R260" s="3"/>
      <c r="S260" s="3"/>
      <c r="T260" s="9" t="str">
        <f t="shared" si="26"/>
        <v>-</v>
      </c>
      <c r="U260" s="3" t="s">
        <v>25</v>
      </c>
      <c r="V260" s="9" t="str">
        <f t="shared" si="27"/>
        <v>-</v>
      </c>
      <c r="W260" s="4"/>
      <c r="X260" s="38"/>
      <c r="Y260" s="1">
        <f t="shared" ca="1" si="28"/>
        <v>46162</v>
      </c>
      <c r="Z260" s="1" cm="1">
        <f t="array" ref="Z260">IF(D260&gt;DATE(2015,5,16),0,
K260*
(
INT((MIN(Y260,DATE(2015,5,16))-D260)/365)
+
CEILING(MOD((MIN(Y260,DATE(2015,5,16))-D260)/365,1),0.25)
)
*
_xlfn.SWITCH(J260,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60" s="1" cm="1">
        <f t="array" aca="1" ref="AA260" ca="1">IF(Y260&lt;DATE(2015,5,17),0,
K260*
(
INT((MIN(Y260,DATE(2018,9,23))-MAX(D260,DATE(2015,5,17)))/365)
+
CEILING(MOD((MIN(Y260,DATE(2018,9,23))-MAX(D260,DATE(2015,5,17)))/365,1),0.25)
)
*
_xlfn.SWITCH(J260,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600</v>
      </c>
      <c r="AB260" s="1" cm="1">
        <f t="array" aca="1" ref="AB260" ca="1">IF(Y260&lt;DATE(2018,9,24),0,
IF(J260="زراعة",
K260*
(
INT((MIN(Y260,DATE(2023,4,30))-MAX(D260,DATE(2018,9,24)))/365)
+
CEILING(MOD((MIN(Y260,DATE(2023,4,30))-MAX(D260,DATE(2018,9,24)))/365,1),0.25)
)
*1,
K260*
(
DATEDIF(MAX(D260,DATE(2018,9,24)),MIN(Y260,DATE(2023,4,30)),"m")+1
)
*
_xlfn.SWITCH(J260,
"موقف/تندة",IF(D260&lt;DATE(2019,11,30),6,30),
"تشوينات",IF(D260&lt;DATE(2019,11,30),4,20),
"مشاتل",IF(D260&lt;DATE(2019,11,30),2,10),
"كافيتيريا",IF(D260&lt;DATE(2019,11,30),30,150),
"نوادي",IF(D260&lt;DATE(2019,11,30),6,30),
"رسو مراكب",IF(D260&lt;DATE(2019,11,30),2,10),
"مباني",IF(D260&lt;DATE(2018,9,24),2,10),
"عشش",IF(D260&lt;DATE(2019,11,30),2,10),
"كشك (تجاري/صناعي)",IF(D260&lt;DATE(2019,11,30),10,50),
"ردم",20,
0)))</f>
        <v>16800</v>
      </c>
      <c r="AC260" s="1" cm="1">
        <f t="array" aca="1" ref="AC260" ca="1">IF(Y260&lt;DATE(2023,5,1),0,
IF(J260="زراعة",
K260*
(
INT((Y260-MAX(DATE(2023,5,1),D260))/365)
+
CEILING(MOD((Y260-MAX(DATE(2023,5,1),D260))/365,1),0.25)
)
*3,
IF(J260="ردم",
K260*20,
K260*
(
DATEDIF(MAX(DATE(2023,5,1),D260),Y260,"m")+1
)
*
_xlfn.SWITCH(J260,
"موقف/تندة",6,
"تشوينات",4,
"مشاتل",2,
"رسو مراكب",6,
"مباني",3,
"عشش",1,
"كشك (تجاري/صناعي)",20,
"مواسير صرف صحي (&lt;1م)",16,
"مواسير صرف صحي (&gt;1م)",18,
0))))</f>
        <v>300</v>
      </c>
      <c r="AD260" s="1">
        <f t="shared" ca="1" si="29"/>
        <v>55</v>
      </c>
    </row>
    <row r="261" spans="1:30" ht="18.75" x14ac:dyDescent="0.25">
      <c r="A261" s="37">
        <v>231</v>
      </c>
      <c r="B261" s="3">
        <v>120</v>
      </c>
      <c r="C261" s="3">
        <v>2016</v>
      </c>
      <c r="D261" s="7">
        <v>42646</v>
      </c>
      <c r="E261" s="11"/>
      <c r="F261" s="3"/>
      <c r="G261" s="3" t="s">
        <v>337</v>
      </c>
      <c r="H261" s="6"/>
      <c r="I261" s="6" t="s">
        <v>105</v>
      </c>
      <c r="J261" s="3" t="s">
        <v>77</v>
      </c>
      <c r="K261" s="6">
        <v>15</v>
      </c>
      <c r="L261" s="3" t="s">
        <v>368</v>
      </c>
      <c r="M261" s="7"/>
      <c r="N261" s="6"/>
      <c r="O261" s="9">
        <f>0.47*Table2[[#This Row],[قيمة المحضر]]</f>
        <v>0</v>
      </c>
      <c r="P261" s="9">
        <f>0.17*Table2[[#This Row],[قيمة المحضر]]</f>
        <v>0</v>
      </c>
      <c r="Q261" s="9">
        <f t="shared" ca="1" si="25"/>
        <v>17700</v>
      </c>
      <c r="R261" s="3"/>
      <c r="S261" s="3"/>
      <c r="T261" s="9" t="str">
        <f t="shared" si="26"/>
        <v>-</v>
      </c>
      <c r="U261" s="3" t="s">
        <v>25</v>
      </c>
      <c r="V261" s="9" t="str">
        <f t="shared" si="27"/>
        <v>-</v>
      </c>
      <c r="W261" s="4"/>
      <c r="X261" s="38"/>
      <c r="Y261" s="1">
        <f t="shared" ca="1" si="28"/>
        <v>46162</v>
      </c>
      <c r="Z261" s="1" cm="1">
        <f t="array" ref="Z261">IF(D261&gt;DATE(2015,5,16),0,
K261*
(
INT((MIN(Y261,DATE(2015,5,16))-D261)/365)
+
CEILING(MOD((MIN(Y261,DATE(2015,5,16))-D261)/365,1),0.25)
)
*
_xlfn.SWITCH(J261,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61" s="1" cm="1">
        <f t="array" aca="1" ref="AA261" ca="1">IF(Y261&lt;DATE(2015,5,17),0,
K261*
(
INT((MIN(Y261,DATE(2018,9,23))-MAX(D261,DATE(2015,5,17)))/365)
+
CEILING(MOD((MIN(Y261,DATE(2018,9,23))-MAX(D261,DATE(2015,5,17)))/365,1),0.25)
)
*
_xlfn.SWITCH(J261,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600</v>
      </c>
      <c r="AB261" s="1" cm="1">
        <f t="array" aca="1" ref="AB261" ca="1">IF(Y261&lt;DATE(2018,9,24),0,
IF(J261="زراعة",
K261*
(
INT((MIN(Y261,DATE(2023,4,30))-MAX(D261,DATE(2018,9,24)))/365)
+
CEILING(MOD((MIN(Y261,DATE(2023,4,30))-MAX(D261,DATE(2018,9,24)))/365,1),0.25)
)
*1,
K261*
(
DATEDIF(MAX(D261,DATE(2018,9,24)),MIN(Y261,DATE(2023,4,30)),"m")+1
)
*
_xlfn.SWITCH(J261,
"موقف/تندة",IF(D261&lt;DATE(2019,11,30),6,30),
"تشوينات",IF(D261&lt;DATE(2019,11,30),4,20),
"مشاتل",IF(D261&lt;DATE(2019,11,30),2,10),
"كافيتيريا",IF(D261&lt;DATE(2019,11,30),30,150),
"نوادي",IF(D261&lt;DATE(2019,11,30),6,30),
"رسو مراكب",IF(D261&lt;DATE(2019,11,30),2,10),
"مباني",IF(D261&lt;DATE(2018,9,24),2,10),
"عشش",IF(D261&lt;DATE(2019,11,30),2,10),
"كشك (تجاري/صناعي)",IF(D261&lt;DATE(2019,11,30),10,50),
"ردم",20,
0)))</f>
        <v>16800</v>
      </c>
      <c r="AC261" s="1" cm="1">
        <f t="array" aca="1" ref="AC261" ca="1">IF(Y261&lt;DATE(2023,5,1),0,
IF(J261="زراعة",
K261*
(
INT((Y261-MAX(DATE(2023,5,1),D261))/365)
+
CEILING(MOD((Y261-MAX(DATE(2023,5,1),D261))/365,1),0.25)
)
*3,
IF(J261="ردم",
K261*20,
K261*
(
DATEDIF(MAX(DATE(2023,5,1),D261),Y261,"m")+1
)
*
_xlfn.SWITCH(J261,
"موقف/تندة",6,
"تشوينات",4,
"مشاتل",2,
"رسو مراكب",6,
"مباني",3,
"عشش",1,
"كشك (تجاري/صناعي)",20,
"مواسير صرف صحي (&lt;1م)",16,
"مواسير صرف صحي (&gt;1م)",18,
0))))</f>
        <v>300</v>
      </c>
      <c r="AD261" s="1">
        <f t="shared" ca="1" si="29"/>
        <v>55</v>
      </c>
    </row>
    <row r="262" spans="1:30" ht="18.75" x14ac:dyDescent="0.25">
      <c r="A262" s="37">
        <v>232</v>
      </c>
      <c r="B262" s="3">
        <v>121</v>
      </c>
      <c r="C262" s="3">
        <v>2016</v>
      </c>
      <c r="D262" s="7">
        <v>42646</v>
      </c>
      <c r="E262" s="11"/>
      <c r="F262" s="3"/>
      <c r="G262" s="3" t="s">
        <v>454</v>
      </c>
      <c r="H262" s="6"/>
      <c r="I262" s="6" t="s">
        <v>105</v>
      </c>
      <c r="J262" s="3" t="s">
        <v>77</v>
      </c>
      <c r="K262" s="6">
        <v>15</v>
      </c>
      <c r="L262" s="3" t="s">
        <v>368</v>
      </c>
      <c r="M262" s="7"/>
      <c r="N262" s="6"/>
      <c r="O262" s="9">
        <f>0.47*Table2[[#This Row],[قيمة المحضر]]</f>
        <v>0</v>
      </c>
      <c r="P262" s="9">
        <f>0.17*Table2[[#This Row],[قيمة المحضر]]</f>
        <v>0</v>
      </c>
      <c r="Q262" s="9">
        <f t="shared" ca="1" si="25"/>
        <v>17700</v>
      </c>
      <c r="R262" s="3"/>
      <c r="S262" s="3"/>
      <c r="T262" s="9" t="str">
        <f t="shared" si="26"/>
        <v>-</v>
      </c>
      <c r="U262" s="3" t="s">
        <v>25</v>
      </c>
      <c r="V262" s="9" t="str">
        <f t="shared" si="27"/>
        <v>-</v>
      </c>
      <c r="W262" s="4"/>
      <c r="X262" s="38"/>
      <c r="Y262" s="1">
        <f t="shared" ca="1" si="28"/>
        <v>46162</v>
      </c>
      <c r="Z262" s="1" cm="1">
        <f t="array" ref="Z262">IF(D262&gt;DATE(2015,5,16),0,
K262*
(
INT((MIN(Y262,DATE(2015,5,16))-D262)/365)
+
CEILING(MOD((MIN(Y262,DATE(2015,5,16))-D262)/365,1),0.25)
)
*
_xlfn.SWITCH(J262,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62" s="1" cm="1">
        <f t="array" aca="1" ref="AA262" ca="1">IF(Y262&lt;DATE(2015,5,17),0,
K262*
(
INT((MIN(Y262,DATE(2018,9,23))-MAX(D262,DATE(2015,5,17)))/365)
+
CEILING(MOD((MIN(Y262,DATE(2018,9,23))-MAX(D262,DATE(2015,5,17)))/365,1),0.25)
)
*
_xlfn.SWITCH(J262,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600</v>
      </c>
      <c r="AB262" s="1" cm="1">
        <f t="array" aca="1" ref="AB262" ca="1">IF(Y262&lt;DATE(2018,9,24),0,
IF(J262="زراعة",
K262*
(
INT((MIN(Y262,DATE(2023,4,30))-MAX(D262,DATE(2018,9,24)))/365)
+
CEILING(MOD((MIN(Y262,DATE(2023,4,30))-MAX(D262,DATE(2018,9,24)))/365,1),0.25)
)
*1,
K262*
(
DATEDIF(MAX(D262,DATE(2018,9,24)),MIN(Y262,DATE(2023,4,30)),"m")+1
)
*
_xlfn.SWITCH(J262,
"موقف/تندة",IF(D262&lt;DATE(2019,11,30),6,30),
"تشوينات",IF(D262&lt;DATE(2019,11,30),4,20),
"مشاتل",IF(D262&lt;DATE(2019,11,30),2,10),
"كافيتيريا",IF(D262&lt;DATE(2019,11,30),30,150),
"نوادي",IF(D262&lt;DATE(2019,11,30),6,30),
"رسو مراكب",IF(D262&lt;DATE(2019,11,30),2,10),
"مباني",IF(D262&lt;DATE(2018,9,24),2,10),
"عشش",IF(D262&lt;DATE(2019,11,30),2,10),
"كشك (تجاري/صناعي)",IF(D262&lt;DATE(2019,11,30),10,50),
"ردم",20,
0)))</f>
        <v>16800</v>
      </c>
      <c r="AC262" s="1" cm="1">
        <f t="array" aca="1" ref="AC262" ca="1">IF(Y262&lt;DATE(2023,5,1),0,
IF(J262="زراعة",
K262*
(
INT((Y262-MAX(DATE(2023,5,1),D262))/365)
+
CEILING(MOD((Y262-MAX(DATE(2023,5,1),D262))/365,1),0.25)
)
*3,
IF(J262="ردم",
K262*20,
K262*
(
DATEDIF(MAX(DATE(2023,5,1),D262),Y262,"m")+1
)
*
_xlfn.SWITCH(J262,
"موقف/تندة",6,
"تشوينات",4,
"مشاتل",2,
"رسو مراكب",6,
"مباني",3,
"عشش",1,
"كشك (تجاري/صناعي)",20,
"مواسير صرف صحي (&lt;1م)",16,
"مواسير صرف صحي (&gt;1م)",18,
0))))</f>
        <v>300</v>
      </c>
      <c r="AD262" s="1">
        <f t="shared" ca="1" si="29"/>
        <v>55</v>
      </c>
    </row>
    <row r="263" spans="1:30" ht="18.75" x14ac:dyDescent="0.25">
      <c r="A263" s="37">
        <v>233</v>
      </c>
      <c r="B263" s="3">
        <v>122</v>
      </c>
      <c r="C263" s="3">
        <v>2016</v>
      </c>
      <c r="D263" s="7">
        <v>42646</v>
      </c>
      <c r="E263" s="11"/>
      <c r="F263" s="3"/>
      <c r="G263" s="3" t="s">
        <v>339</v>
      </c>
      <c r="H263" s="6"/>
      <c r="I263" s="6" t="s">
        <v>105</v>
      </c>
      <c r="J263" s="3" t="s">
        <v>77</v>
      </c>
      <c r="K263" s="6">
        <v>15</v>
      </c>
      <c r="L263" s="3" t="s">
        <v>368</v>
      </c>
      <c r="M263" s="7"/>
      <c r="N263" s="6"/>
      <c r="O263" s="9">
        <f>0.47*Table2[[#This Row],[قيمة المحضر]]</f>
        <v>0</v>
      </c>
      <c r="P263" s="9">
        <f>0.17*Table2[[#This Row],[قيمة المحضر]]</f>
        <v>0</v>
      </c>
      <c r="Q263" s="9">
        <f t="shared" ca="1" si="25"/>
        <v>17700</v>
      </c>
      <c r="R263" s="3"/>
      <c r="S263" s="3"/>
      <c r="T263" s="9" t="str">
        <f t="shared" si="26"/>
        <v>-</v>
      </c>
      <c r="U263" s="3" t="s">
        <v>25</v>
      </c>
      <c r="V263" s="9" t="str">
        <f t="shared" si="27"/>
        <v>-</v>
      </c>
      <c r="W263" s="4"/>
      <c r="X263" s="38"/>
      <c r="Y263" s="1">
        <f t="shared" ca="1" si="28"/>
        <v>46162</v>
      </c>
      <c r="Z263" s="1" cm="1">
        <f t="array" ref="Z263">IF(D263&gt;DATE(2015,5,16),0,
K263*
(
INT((MIN(Y263,DATE(2015,5,16))-D263)/365)
+
CEILING(MOD((MIN(Y263,DATE(2015,5,16))-D263)/365,1),0.25)
)
*
_xlfn.SWITCH(J263,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63" s="1" cm="1">
        <f t="array" aca="1" ref="AA263" ca="1">IF(Y263&lt;DATE(2015,5,17),0,
K263*
(
INT((MIN(Y263,DATE(2018,9,23))-MAX(D263,DATE(2015,5,17)))/365)
+
CEILING(MOD((MIN(Y263,DATE(2018,9,23))-MAX(D263,DATE(2015,5,17)))/365,1),0.25)
)
*
_xlfn.SWITCH(J263,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600</v>
      </c>
      <c r="AB263" s="1" cm="1">
        <f t="array" aca="1" ref="AB263" ca="1">IF(Y263&lt;DATE(2018,9,24),0,
IF(J263="زراعة",
K263*
(
INT((MIN(Y263,DATE(2023,4,30))-MAX(D263,DATE(2018,9,24)))/365)
+
CEILING(MOD((MIN(Y263,DATE(2023,4,30))-MAX(D263,DATE(2018,9,24)))/365,1),0.25)
)
*1,
K263*
(
DATEDIF(MAX(D263,DATE(2018,9,24)),MIN(Y263,DATE(2023,4,30)),"m")+1
)
*
_xlfn.SWITCH(J263,
"موقف/تندة",IF(D263&lt;DATE(2019,11,30),6,30),
"تشوينات",IF(D263&lt;DATE(2019,11,30),4,20),
"مشاتل",IF(D263&lt;DATE(2019,11,30),2,10),
"كافيتيريا",IF(D263&lt;DATE(2019,11,30),30,150),
"نوادي",IF(D263&lt;DATE(2019,11,30),6,30),
"رسو مراكب",IF(D263&lt;DATE(2019,11,30),2,10),
"مباني",IF(D263&lt;DATE(2018,9,24),2,10),
"عشش",IF(D263&lt;DATE(2019,11,30),2,10),
"كشك (تجاري/صناعي)",IF(D263&lt;DATE(2019,11,30),10,50),
"ردم",20,
0)))</f>
        <v>16800</v>
      </c>
      <c r="AC263" s="1" cm="1">
        <f t="array" aca="1" ref="AC263" ca="1">IF(Y263&lt;DATE(2023,5,1),0,
IF(J263="زراعة",
K263*
(
INT((Y263-MAX(DATE(2023,5,1),D263))/365)
+
CEILING(MOD((Y263-MAX(DATE(2023,5,1),D263))/365,1),0.25)
)
*3,
IF(J263="ردم",
K263*20,
K263*
(
DATEDIF(MAX(DATE(2023,5,1),D263),Y263,"m")+1
)
*
_xlfn.SWITCH(J263,
"موقف/تندة",6,
"تشوينات",4,
"مشاتل",2,
"رسو مراكب",6,
"مباني",3,
"عشش",1,
"كشك (تجاري/صناعي)",20,
"مواسير صرف صحي (&lt;1م)",16,
"مواسير صرف صحي (&gt;1م)",18,
0))))</f>
        <v>300</v>
      </c>
      <c r="AD263" s="1">
        <f t="shared" ca="1" si="29"/>
        <v>55</v>
      </c>
    </row>
    <row r="264" spans="1:30" ht="18.75" x14ac:dyDescent="0.25">
      <c r="A264" s="37">
        <v>234</v>
      </c>
      <c r="B264" s="3">
        <v>123</v>
      </c>
      <c r="C264" s="3">
        <v>2016</v>
      </c>
      <c r="D264" s="7">
        <v>42646</v>
      </c>
      <c r="E264" s="11"/>
      <c r="F264" s="3"/>
      <c r="G264" s="3" t="s">
        <v>340</v>
      </c>
      <c r="H264" s="6"/>
      <c r="I264" s="6" t="s">
        <v>105</v>
      </c>
      <c r="J264" s="3" t="s">
        <v>77</v>
      </c>
      <c r="K264" s="6">
        <v>15</v>
      </c>
      <c r="L264" s="3" t="s">
        <v>368</v>
      </c>
      <c r="M264" s="7"/>
      <c r="N264" s="6"/>
      <c r="O264" s="9">
        <f>0.47*Table2[[#This Row],[قيمة المحضر]]</f>
        <v>0</v>
      </c>
      <c r="P264" s="9">
        <f>0.17*Table2[[#This Row],[قيمة المحضر]]</f>
        <v>0</v>
      </c>
      <c r="Q264" s="9">
        <f t="shared" ca="1" si="25"/>
        <v>17700</v>
      </c>
      <c r="R264" s="3"/>
      <c r="S264" s="3"/>
      <c r="T264" s="9" t="str">
        <f t="shared" si="26"/>
        <v>-</v>
      </c>
      <c r="U264" s="3" t="s">
        <v>25</v>
      </c>
      <c r="V264" s="9" t="str">
        <f t="shared" si="27"/>
        <v>-</v>
      </c>
      <c r="W264" s="4"/>
      <c r="X264" s="38"/>
      <c r="Y264" s="1">
        <f t="shared" ca="1" si="28"/>
        <v>46162</v>
      </c>
      <c r="Z264" s="1" cm="1">
        <f t="array" ref="Z264">IF(D264&gt;DATE(2015,5,16),0,
K264*
(
INT((MIN(Y264,DATE(2015,5,16))-D264)/365)
+
CEILING(MOD((MIN(Y264,DATE(2015,5,16))-D264)/365,1),0.25)
)
*
_xlfn.SWITCH(J264,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64" s="1" cm="1">
        <f t="array" aca="1" ref="AA264" ca="1">IF(Y264&lt;DATE(2015,5,17),0,
K264*
(
INT((MIN(Y264,DATE(2018,9,23))-MAX(D264,DATE(2015,5,17)))/365)
+
CEILING(MOD((MIN(Y264,DATE(2018,9,23))-MAX(D264,DATE(2015,5,17)))/365,1),0.25)
)
*
_xlfn.SWITCH(J264,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600</v>
      </c>
      <c r="AB264" s="1" cm="1">
        <f t="array" aca="1" ref="AB264" ca="1">IF(Y264&lt;DATE(2018,9,24),0,
IF(J264="زراعة",
K264*
(
INT((MIN(Y264,DATE(2023,4,30))-MAX(D264,DATE(2018,9,24)))/365)
+
CEILING(MOD((MIN(Y264,DATE(2023,4,30))-MAX(D264,DATE(2018,9,24)))/365,1),0.25)
)
*1,
K264*
(
DATEDIF(MAX(D264,DATE(2018,9,24)),MIN(Y264,DATE(2023,4,30)),"m")+1
)
*
_xlfn.SWITCH(J264,
"موقف/تندة",IF(D264&lt;DATE(2019,11,30),6,30),
"تشوينات",IF(D264&lt;DATE(2019,11,30),4,20),
"مشاتل",IF(D264&lt;DATE(2019,11,30),2,10),
"كافيتيريا",IF(D264&lt;DATE(2019,11,30),30,150),
"نوادي",IF(D264&lt;DATE(2019,11,30),6,30),
"رسو مراكب",IF(D264&lt;DATE(2019,11,30),2,10),
"مباني",IF(D264&lt;DATE(2018,9,24),2,10),
"عشش",IF(D264&lt;DATE(2019,11,30),2,10),
"كشك (تجاري/صناعي)",IF(D264&lt;DATE(2019,11,30),10,50),
"ردم",20,
0)))</f>
        <v>16800</v>
      </c>
      <c r="AC264" s="1" cm="1">
        <f t="array" aca="1" ref="AC264" ca="1">IF(Y264&lt;DATE(2023,5,1),0,
IF(J264="زراعة",
K264*
(
INT((Y264-MAX(DATE(2023,5,1),D264))/365)
+
CEILING(MOD((Y264-MAX(DATE(2023,5,1),D264))/365,1),0.25)
)
*3,
IF(J264="ردم",
K264*20,
K264*
(
DATEDIF(MAX(DATE(2023,5,1),D264),Y264,"m")+1
)
*
_xlfn.SWITCH(J264,
"موقف/تندة",6,
"تشوينات",4,
"مشاتل",2,
"رسو مراكب",6,
"مباني",3,
"عشش",1,
"كشك (تجاري/صناعي)",20,
"مواسير صرف صحي (&lt;1م)",16,
"مواسير صرف صحي (&gt;1م)",18,
0))))</f>
        <v>300</v>
      </c>
      <c r="AD264" s="1">
        <f t="shared" ca="1" si="29"/>
        <v>55</v>
      </c>
    </row>
    <row r="265" spans="1:30" ht="18.75" x14ac:dyDescent="0.25">
      <c r="A265" s="37">
        <v>235</v>
      </c>
      <c r="B265" s="3">
        <v>124</v>
      </c>
      <c r="C265" s="3">
        <v>2016</v>
      </c>
      <c r="D265" s="7">
        <v>42646</v>
      </c>
      <c r="E265" s="11"/>
      <c r="F265" s="3"/>
      <c r="G265" s="3" t="s">
        <v>341</v>
      </c>
      <c r="H265" s="6"/>
      <c r="I265" s="6" t="s">
        <v>105</v>
      </c>
      <c r="J265" s="3" t="s">
        <v>77</v>
      </c>
      <c r="K265" s="6">
        <v>15</v>
      </c>
      <c r="L265" s="3" t="s">
        <v>368</v>
      </c>
      <c r="M265" s="7"/>
      <c r="N265" s="6"/>
      <c r="O265" s="9">
        <f>0.47*Table2[[#This Row],[قيمة المحضر]]</f>
        <v>0</v>
      </c>
      <c r="P265" s="9">
        <f>0.17*Table2[[#This Row],[قيمة المحضر]]</f>
        <v>0</v>
      </c>
      <c r="Q265" s="9">
        <f t="shared" ca="1" si="25"/>
        <v>17700</v>
      </c>
      <c r="R265" s="3"/>
      <c r="S265" s="3"/>
      <c r="T265" s="9" t="str">
        <f t="shared" si="26"/>
        <v>-</v>
      </c>
      <c r="U265" s="3" t="s">
        <v>25</v>
      </c>
      <c r="V265" s="9" t="str">
        <f t="shared" si="27"/>
        <v>-</v>
      </c>
      <c r="W265" s="4"/>
      <c r="X265" s="38"/>
      <c r="Y265" s="1">
        <f t="shared" ca="1" si="28"/>
        <v>46162</v>
      </c>
      <c r="Z265" s="1" cm="1">
        <f t="array" ref="Z265">IF(D265&gt;DATE(2015,5,16),0,
K265*
(
INT((MIN(Y265,DATE(2015,5,16))-D265)/365)
+
CEILING(MOD((MIN(Y265,DATE(2015,5,16))-D265)/365,1),0.25)
)
*
_xlfn.SWITCH(J265,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65" s="1" cm="1">
        <f t="array" aca="1" ref="AA265" ca="1">IF(Y265&lt;DATE(2015,5,17),0,
K265*
(
INT((MIN(Y265,DATE(2018,9,23))-MAX(D265,DATE(2015,5,17)))/365)
+
CEILING(MOD((MIN(Y265,DATE(2018,9,23))-MAX(D265,DATE(2015,5,17)))/365,1),0.25)
)
*
_xlfn.SWITCH(J265,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600</v>
      </c>
      <c r="AB265" s="1" cm="1">
        <f t="array" aca="1" ref="AB265" ca="1">IF(Y265&lt;DATE(2018,9,24),0,
IF(J265="زراعة",
K265*
(
INT((MIN(Y265,DATE(2023,4,30))-MAX(D265,DATE(2018,9,24)))/365)
+
CEILING(MOD((MIN(Y265,DATE(2023,4,30))-MAX(D265,DATE(2018,9,24)))/365,1),0.25)
)
*1,
K265*
(
DATEDIF(MAX(D265,DATE(2018,9,24)),MIN(Y265,DATE(2023,4,30)),"m")+1
)
*
_xlfn.SWITCH(J265,
"موقف/تندة",IF(D265&lt;DATE(2019,11,30),6,30),
"تشوينات",IF(D265&lt;DATE(2019,11,30),4,20),
"مشاتل",IF(D265&lt;DATE(2019,11,30),2,10),
"كافيتيريا",IF(D265&lt;DATE(2019,11,30),30,150),
"نوادي",IF(D265&lt;DATE(2019,11,30),6,30),
"رسو مراكب",IF(D265&lt;DATE(2019,11,30),2,10),
"مباني",IF(D265&lt;DATE(2018,9,24),2,10),
"عشش",IF(D265&lt;DATE(2019,11,30),2,10),
"كشك (تجاري/صناعي)",IF(D265&lt;DATE(2019,11,30),10,50),
"ردم",20,
0)))</f>
        <v>16800</v>
      </c>
      <c r="AC265" s="1" cm="1">
        <f t="array" aca="1" ref="AC265" ca="1">IF(Y265&lt;DATE(2023,5,1),0,
IF(J265="زراعة",
K265*
(
INT((Y265-MAX(DATE(2023,5,1),D265))/365)
+
CEILING(MOD((Y265-MAX(DATE(2023,5,1),D265))/365,1),0.25)
)
*3,
IF(J265="ردم",
K265*20,
K265*
(
DATEDIF(MAX(DATE(2023,5,1),D265),Y265,"m")+1
)
*
_xlfn.SWITCH(J265,
"موقف/تندة",6,
"تشوينات",4,
"مشاتل",2,
"رسو مراكب",6,
"مباني",3,
"عشش",1,
"كشك (تجاري/صناعي)",20,
"مواسير صرف صحي (&lt;1م)",16,
"مواسير صرف صحي (&gt;1م)",18,
0))))</f>
        <v>300</v>
      </c>
      <c r="AD265" s="1">
        <f t="shared" ca="1" si="29"/>
        <v>55</v>
      </c>
    </row>
    <row r="266" spans="1:30" ht="18.75" x14ac:dyDescent="0.25">
      <c r="A266" s="37">
        <v>236</v>
      </c>
      <c r="B266" s="3">
        <v>125</v>
      </c>
      <c r="C266" s="3">
        <v>2016</v>
      </c>
      <c r="D266" s="7">
        <v>42646</v>
      </c>
      <c r="E266" s="11"/>
      <c r="F266" s="3"/>
      <c r="G266" s="3" t="s">
        <v>342</v>
      </c>
      <c r="H266" s="6"/>
      <c r="I266" s="6" t="s">
        <v>105</v>
      </c>
      <c r="J266" s="3" t="s">
        <v>77</v>
      </c>
      <c r="K266" s="6">
        <v>15</v>
      </c>
      <c r="L266" s="3" t="s">
        <v>368</v>
      </c>
      <c r="M266" s="7"/>
      <c r="N266" s="6"/>
      <c r="O266" s="9">
        <f>0.47*Table2[[#This Row],[قيمة المحضر]]</f>
        <v>0</v>
      </c>
      <c r="P266" s="9">
        <f>0.17*Table2[[#This Row],[قيمة المحضر]]</f>
        <v>0</v>
      </c>
      <c r="Q266" s="9">
        <f t="shared" ca="1" si="25"/>
        <v>17700</v>
      </c>
      <c r="R266" s="3"/>
      <c r="S266" s="3"/>
      <c r="T266" s="9" t="str">
        <f t="shared" si="26"/>
        <v>-</v>
      </c>
      <c r="U266" s="3" t="s">
        <v>25</v>
      </c>
      <c r="V266" s="9" t="str">
        <f t="shared" si="27"/>
        <v>-</v>
      </c>
      <c r="W266" s="4"/>
      <c r="X266" s="38"/>
      <c r="Y266" s="1">
        <f t="shared" ca="1" si="28"/>
        <v>46162</v>
      </c>
      <c r="Z266" s="1" cm="1">
        <f t="array" ref="Z266">IF(D266&gt;DATE(2015,5,16),0,
K266*
(
INT((MIN(Y266,DATE(2015,5,16))-D266)/365)
+
CEILING(MOD((MIN(Y266,DATE(2015,5,16))-D266)/365,1),0.25)
)
*
_xlfn.SWITCH(J266,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66" s="1" cm="1">
        <f t="array" aca="1" ref="AA266" ca="1">IF(Y266&lt;DATE(2015,5,17),0,
K266*
(
INT((MIN(Y266,DATE(2018,9,23))-MAX(D266,DATE(2015,5,17)))/365)
+
CEILING(MOD((MIN(Y266,DATE(2018,9,23))-MAX(D266,DATE(2015,5,17)))/365,1),0.25)
)
*
_xlfn.SWITCH(J266,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600</v>
      </c>
      <c r="AB266" s="1" cm="1">
        <f t="array" aca="1" ref="AB266" ca="1">IF(Y266&lt;DATE(2018,9,24),0,
IF(J266="زراعة",
K266*
(
INT((MIN(Y266,DATE(2023,4,30))-MAX(D266,DATE(2018,9,24)))/365)
+
CEILING(MOD((MIN(Y266,DATE(2023,4,30))-MAX(D266,DATE(2018,9,24)))/365,1),0.25)
)
*1,
K266*
(
DATEDIF(MAX(D266,DATE(2018,9,24)),MIN(Y266,DATE(2023,4,30)),"m")+1
)
*
_xlfn.SWITCH(J266,
"موقف/تندة",IF(D266&lt;DATE(2019,11,30),6,30),
"تشوينات",IF(D266&lt;DATE(2019,11,30),4,20),
"مشاتل",IF(D266&lt;DATE(2019,11,30),2,10),
"كافيتيريا",IF(D266&lt;DATE(2019,11,30),30,150),
"نوادي",IF(D266&lt;DATE(2019,11,30),6,30),
"رسو مراكب",IF(D266&lt;DATE(2019,11,30),2,10),
"مباني",IF(D266&lt;DATE(2018,9,24),2,10),
"عشش",IF(D266&lt;DATE(2019,11,30),2,10),
"كشك (تجاري/صناعي)",IF(D266&lt;DATE(2019,11,30),10,50),
"ردم",20,
0)))</f>
        <v>16800</v>
      </c>
      <c r="AC266" s="1" cm="1">
        <f t="array" aca="1" ref="AC266" ca="1">IF(Y266&lt;DATE(2023,5,1),0,
IF(J266="زراعة",
K266*
(
INT((Y266-MAX(DATE(2023,5,1),D266))/365)
+
CEILING(MOD((Y266-MAX(DATE(2023,5,1),D266))/365,1),0.25)
)
*3,
IF(J266="ردم",
K266*20,
K266*
(
DATEDIF(MAX(DATE(2023,5,1),D266),Y266,"m")+1
)
*
_xlfn.SWITCH(J266,
"موقف/تندة",6,
"تشوينات",4,
"مشاتل",2,
"رسو مراكب",6,
"مباني",3,
"عشش",1,
"كشك (تجاري/صناعي)",20,
"مواسير صرف صحي (&lt;1م)",16,
"مواسير صرف صحي (&gt;1م)",18,
0))))</f>
        <v>300</v>
      </c>
      <c r="AD266" s="1">
        <f t="shared" ca="1" si="29"/>
        <v>55</v>
      </c>
    </row>
    <row r="267" spans="1:30" ht="18.75" x14ac:dyDescent="0.25">
      <c r="A267" s="37">
        <v>237</v>
      </c>
      <c r="B267" s="3">
        <v>126</v>
      </c>
      <c r="C267" s="3">
        <v>2016</v>
      </c>
      <c r="D267" s="7">
        <v>42684</v>
      </c>
      <c r="E267" s="11"/>
      <c r="F267" s="3"/>
      <c r="G267" s="3" t="s">
        <v>343</v>
      </c>
      <c r="H267" s="6"/>
      <c r="I267" s="6" t="s">
        <v>33</v>
      </c>
      <c r="J267" s="3" t="s">
        <v>27</v>
      </c>
      <c r="K267" s="6">
        <f>6*15</f>
        <v>90</v>
      </c>
      <c r="L267" s="3" t="s">
        <v>90</v>
      </c>
      <c r="M267" s="7"/>
      <c r="N267" s="6"/>
      <c r="O267" s="9">
        <f>0.47*Table2[[#This Row],[قيمة المحضر]]</f>
        <v>0</v>
      </c>
      <c r="P267" s="9">
        <f>0.17*Table2[[#This Row],[قيمة المحضر]]</f>
        <v>0</v>
      </c>
      <c r="Q267" s="9">
        <f t="shared" ca="1" si="25"/>
        <v>21510</v>
      </c>
      <c r="R267" s="3"/>
      <c r="S267" s="3"/>
      <c r="T267" s="9" t="str">
        <f t="shared" si="26"/>
        <v>-</v>
      </c>
      <c r="U267" s="3" t="s">
        <v>25</v>
      </c>
      <c r="V267" s="9" t="str">
        <f t="shared" si="27"/>
        <v>-</v>
      </c>
      <c r="W267" s="4"/>
      <c r="X267" s="38"/>
      <c r="Y267" s="1">
        <f t="shared" ca="1" si="28"/>
        <v>46162</v>
      </c>
      <c r="Z267" s="1" cm="1">
        <f t="array" ref="Z267">IF(D267&gt;DATE(2015,5,16),0,
K267*
(
INT((MIN(Y267,DATE(2015,5,16))-D267)/365)
+
CEILING(MOD((MIN(Y267,DATE(2015,5,16))-D267)/365,1),0.25)
)
*
_xlfn.SWITCH(J267,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67" s="1" cm="1">
        <f t="array" aca="1" ref="AA267" ca="1">IF(Y267&lt;DATE(2015,5,17),0,
K267*
(
INT((MIN(Y267,DATE(2018,9,23))-MAX(D267,DATE(2015,5,17)))/365)
+
CEILING(MOD((MIN(Y267,DATE(2018,9,23))-MAX(D267,DATE(2015,5,17)))/365,1),0.25)
)
*
_xlfn.SWITCH(J267,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1440</v>
      </c>
      <c r="AB267" s="1" cm="1">
        <f t="array" aca="1" ref="AB267" ca="1">IF(Y267&lt;DATE(2018,9,24),0,
IF(J267="زراعة",
K267*
(
INT((MIN(Y267,DATE(2023,4,30))-MAX(D267,DATE(2018,9,24)))/365)
+
CEILING(MOD((MIN(Y267,DATE(2023,4,30))-MAX(D267,DATE(2018,9,24)))/365,1),0.25)
)
*1,
K267*
(
DATEDIF(MAX(D267,DATE(2018,9,24)),MIN(Y267,DATE(2023,4,30)),"m")+1
)
*
_xlfn.SWITCH(J267,
"موقف/تندة",IF(D267&lt;DATE(2019,11,30),6,30),
"تشوينات",IF(D267&lt;DATE(2019,11,30),4,20),
"مشاتل",IF(D267&lt;DATE(2019,11,30),2,10),
"كافيتيريا",IF(D267&lt;DATE(2019,11,30),30,150),
"نوادي",IF(D267&lt;DATE(2019,11,30),6,30),
"رسو مراكب",IF(D267&lt;DATE(2019,11,30),2,10),
"مباني",IF(D267&lt;DATE(2018,9,24),2,10),
"عشش",IF(D267&lt;DATE(2019,11,30),2,10),
"كشك (تجاري/صناعي)",IF(D267&lt;DATE(2019,11,30),10,50),
"ردم",20,
0)))</f>
        <v>10080</v>
      </c>
      <c r="AC267" s="1" cm="1">
        <f t="array" aca="1" ref="AC267" ca="1">IF(Y267&lt;DATE(2023,5,1),0,
IF(J267="زراعة",
K267*
(
INT((Y267-MAX(DATE(2023,5,1),D267))/365)
+
CEILING(MOD((Y267-MAX(DATE(2023,5,1),D267))/365,1),0.25)
)
*3,
IF(J267="ردم",
K267*20,
K267*
(
DATEDIF(MAX(DATE(2023,5,1),D267),Y267,"m")+1
)
*
_xlfn.SWITCH(J267,
"موقف/تندة",6,
"تشوينات",4,
"مشاتل",2,
"رسو مراكب",6,
"مباني",3,
"عشش",1,
"كشك (تجاري/صناعي)",20,
"مواسير صرف صحي (&lt;1م)",16,
"مواسير صرف صحي (&gt;1م)",18,
0))))</f>
        <v>9990</v>
      </c>
      <c r="AD267" s="1">
        <f t="shared" ca="1" si="29"/>
        <v>55</v>
      </c>
    </row>
    <row r="268" spans="1:30" ht="18.75" x14ac:dyDescent="0.25">
      <c r="A268" s="37">
        <v>238</v>
      </c>
      <c r="B268" s="3">
        <v>127</v>
      </c>
      <c r="C268" s="3">
        <v>2016</v>
      </c>
      <c r="D268" s="7">
        <v>42684</v>
      </c>
      <c r="E268" s="11"/>
      <c r="F268" s="3"/>
      <c r="G268" s="3" t="s">
        <v>330</v>
      </c>
      <c r="H268" s="6"/>
      <c r="I268" s="6" t="s">
        <v>33</v>
      </c>
      <c r="J268" s="3" t="s">
        <v>77</v>
      </c>
      <c r="K268" s="6">
        <v>60</v>
      </c>
      <c r="L268" s="3" t="s">
        <v>90</v>
      </c>
      <c r="M268" s="7"/>
      <c r="N268" s="6"/>
      <c r="O268" s="9">
        <f>0.47*Table2[[#This Row],[قيمة المحضر]]</f>
        <v>0</v>
      </c>
      <c r="P268" s="9">
        <f>0.17*Table2[[#This Row],[قيمة المحضر]]</f>
        <v>0</v>
      </c>
      <c r="Q268" s="9">
        <f t="shared" ca="1" si="25"/>
        <v>70800</v>
      </c>
      <c r="R268" s="3"/>
      <c r="S268" s="3"/>
      <c r="T268" s="9" t="str">
        <f t="shared" si="26"/>
        <v>-</v>
      </c>
      <c r="U268" s="3" t="s">
        <v>25</v>
      </c>
      <c r="V268" s="9" t="str">
        <f t="shared" si="27"/>
        <v>-</v>
      </c>
      <c r="W268" s="4"/>
      <c r="X268" s="38"/>
      <c r="Y268" s="1">
        <f t="shared" ca="1" si="28"/>
        <v>46162</v>
      </c>
      <c r="Z268" s="1" cm="1">
        <f t="array" ref="Z268">IF(D268&gt;DATE(2015,5,16),0,
K268*
(
INT((MIN(Y268,DATE(2015,5,16))-D268)/365)
+
CEILING(MOD((MIN(Y268,DATE(2015,5,16))-D268)/365,1),0.25)
)
*
_xlfn.SWITCH(J268,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68" s="1" cm="1">
        <f t="array" aca="1" ref="AA268" ca="1">IF(Y268&lt;DATE(2015,5,17),0,
K268*
(
INT((MIN(Y268,DATE(2018,9,23))-MAX(D268,DATE(2015,5,17)))/365)
+
CEILING(MOD((MIN(Y268,DATE(2018,9,23))-MAX(D268,DATE(2015,5,17)))/365,1),0.25)
)
*
_xlfn.SWITCH(J268,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2400</v>
      </c>
      <c r="AB268" s="1" cm="1">
        <f t="array" aca="1" ref="AB268" ca="1">IF(Y268&lt;DATE(2018,9,24),0,
IF(J268="زراعة",
K268*
(
INT((MIN(Y268,DATE(2023,4,30))-MAX(D268,DATE(2018,9,24)))/365)
+
CEILING(MOD((MIN(Y268,DATE(2023,4,30))-MAX(D268,DATE(2018,9,24)))/365,1),0.25)
)
*1,
K268*
(
DATEDIF(MAX(D268,DATE(2018,9,24)),MIN(Y268,DATE(2023,4,30)),"m")+1
)
*
_xlfn.SWITCH(J268,
"موقف/تندة",IF(D268&lt;DATE(2019,11,30),6,30),
"تشوينات",IF(D268&lt;DATE(2019,11,30),4,20),
"مشاتل",IF(D268&lt;DATE(2019,11,30),2,10),
"كافيتيريا",IF(D268&lt;DATE(2019,11,30),30,150),
"نوادي",IF(D268&lt;DATE(2019,11,30),6,30),
"رسو مراكب",IF(D268&lt;DATE(2019,11,30),2,10),
"مباني",IF(D268&lt;DATE(2018,9,24),2,10),
"عشش",IF(D268&lt;DATE(2019,11,30),2,10),
"كشك (تجاري/صناعي)",IF(D268&lt;DATE(2019,11,30),10,50),
"ردم",20,
0)))</f>
        <v>67200</v>
      </c>
      <c r="AC268" s="1" cm="1">
        <f t="array" aca="1" ref="AC268" ca="1">IF(Y268&lt;DATE(2023,5,1),0,
IF(J268="زراعة",
K268*
(
INT((Y268-MAX(DATE(2023,5,1),D268))/365)
+
CEILING(MOD((Y268-MAX(DATE(2023,5,1),D268))/365,1),0.25)
)
*3,
IF(J268="ردم",
K268*20,
K268*
(
DATEDIF(MAX(DATE(2023,5,1),D268),Y268,"m")+1
)
*
_xlfn.SWITCH(J268,
"موقف/تندة",6,
"تشوينات",4,
"مشاتل",2,
"رسو مراكب",6,
"مباني",3,
"عشش",1,
"كشك (تجاري/صناعي)",20,
"مواسير صرف صحي (&lt;1م)",16,
"مواسير صرف صحي (&gt;1م)",18,
0))))</f>
        <v>1200</v>
      </c>
      <c r="AD268" s="1">
        <f t="shared" ca="1" si="29"/>
        <v>55</v>
      </c>
    </row>
    <row r="269" spans="1:30" ht="18.75" x14ac:dyDescent="0.25">
      <c r="A269" s="37">
        <v>239</v>
      </c>
      <c r="B269" s="3">
        <v>128</v>
      </c>
      <c r="C269" s="3">
        <v>2016</v>
      </c>
      <c r="D269" s="7">
        <v>42684</v>
      </c>
      <c r="E269" s="11"/>
      <c r="F269" s="3"/>
      <c r="G269" s="3" t="s">
        <v>344</v>
      </c>
      <c r="H269" s="6"/>
      <c r="I269" s="6" t="s">
        <v>105</v>
      </c>
      <c r="J269" s="3" t="s">
        <v>27</v>
      </c>
      <c r="K269" s="6">
        <f>13*6</f>
        <v>78</v>
      </c>
      <c r="L269" s="3" t="s">
        <v>368</v>
      </c>
      <c r="M269" s="7"/>
      <c r="N269" s="6"/>
      <c r="O269" s="9">
        <f>0.47*Table2[[#This Row],[قيمة المحضر]]</f>
        <v>0</v>
      </c>
      <c r="P269" s="9">
        <f>0.17*Table2[[#This Row],[قيمة المحضر]]</f>
        <v>0</v>
      </c>
      <c r="Q269" s="9">
        <f t="shared" ca="1" si="25"/>
        <v>18642</v>
      </c>
      <c r="R269" s="3"/>
      <c r="S269" s="3"/>
      <c r="T269" s="9" t="str">
        <f t="shared" si="26"/>
        <v>-</v>
      </c>
      <c r="U269" s="3" t="s">
        <v>25</v>
      </c>
      <c r="V269" s="9" t="str">
        <f t="shared" si="27"/>
        <v>-</v>
      </c>
      <c r="W269" s="4"/>
      <c r="X269" s="38"/>
      <c r="Y269" s="1">
        <f t="shared" ca="1" si="28"/>
        <v>46162</v>
      </c>
      <c r="Z269" s="1" cm="1">
        <f t="array" ref="Z269">IF(D269&gt;DATE(2015,5,16),0,
K269*
(
INT((MIN(Y269,DATE(2015,5,16))-D269)/365)
+
CEILING(MOD((MIN(Y269,DATE(2015,5,16))-D269)/365,1),0.25)
)
*
_xlfn.SWITCH(J269,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69" s="1" cm="1">
        <f t="array" aca="1" ref="AA269" ca="1">IF(Y269&lt;DATE(2015,5,17),0,
K269*
(
INT((MIN(Y269,DATE(2018,9,23))-MAX(D269,DATE(2015,5,17)))/365)
+
CEILING(MOD((MIN(Y269,DATE(2018,9,23))-MAX(D269,DATE(2015,5,17)))/365,1),0.25)
)
*
_xlfn.SWITCH(J269,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1248</v>
      </c>
      <c r="AB269" s="1" cm="1">
        <f t="array" aca="1" ref="AB269" ca="1">IF(Y269&lt;DATE(2018,9,24),0,
IF(J269="زراعة",
K269*
(
INT((MIN(Y269,DATE(2023,4,30))-MAX(D269,DATE(2018,9,24)))/365)
+
CEILING(MOD((MIN(Y269,DATE(2023,4,30))-MAX(D269,DATE(2018,9,24)))/365,1),0.25)
)
*1,
K269*
(
DATEDIF(MAX(D269,DATE(2018,9,24)),MIN(Y269,DATE(2023,4,30)),"m")+1
)
*
_xlfn.SWITCH(J269,
"موقف/تندة",IF(D269&lt;DATE(2019,11,30),6,30),
"تشوينات",IF(D269&lt;DATE(2019,11,30),4,20),
"مشاتل",IF(D269&lt;DATE(2019,11,30),2,10),
"كافيتيريا",IF(D269&lt;DATE(2019,11,30),30,150),
"نوادي",IF(D269&lt;DATE(2019,11,30),6,30),
"رسو مراكب",IF(D269&lt;DATE(2019,11,30),2,10),
"مباني",IF(D269&lt;DATE(2018,9,24),2,10),
"عشش",IF(D269&lt;DATE(2019,11,30),2,10),
"كشك (تجاري/صناعي)",IF(D269&lt;DATE(2019,11,30),10,50),
"ردم",20,
0)))</f>
        <v>8736</v>
      </c>
      <c r="AC269" s="1" cm="1">
        <f t="array" aca="1" ref="AC269" ca="1">IF(Y269&lt;DATE(2023,5,1),0,
IF(J269="زراعة",
K269*
(
INT((Y269-MAX(DATE(2023,5,1),D269))/365)
+
CEILING(MOD((Y269-MAX(DATE(2023,5,1),D269))/365,1),0.25)
)
*3,
IF(J269="ردم",
K269*20,
K269*
(
DATEDIF(MAX(DATE(2023,5,1),D269),Y269,"m")+1
)
*
_xlfn.SWITCH(J269,
"موقف/تندة",6,
"تشوينات",4,
"مشاتل",2,
"رسو مراكب",6,
"مباني",3,
"عشش",1,
"كشك (تجاري/صناعي)",20,
"مواسير صرف صحي (&lt;1م)",16,
"مواسير صرف صحي (&gt;1م)",18,
0))))</f>
        <v>8658</v>
      </c>
      <c r="AD269" s="1">
        <f t="shared" ca="1" si="29"/>
        <v>55</v>
      </c>
    </row>
    <row r="270" spans="1:30" ht="18.75" x14ac:dyDescent="0.25">
      <c r="A270" s="37">
        <v>240</v>
      </c>
      <c r="B270" s="3">
        <v>129</v>
      </c>
      <c r="C270" s="3">
        <v>2016</v>
      </c>
      <c r="D270" s="7">
        <v>42684</v>
      </c>
      <c r="E270" s="11"/>
      <c r="F270" s="3"/>
      <c r="G270" s="3" t="s">
        <v>345</v>
      </c>
      <c r="H270" s="6"/>
      <c r="I270" s="6" t="s">
        <v>105</v>
      </c>
      <c r="J270" s="3" t="s">
        <v>27</v>
      </c>
      <c r="K270" s="6">
        <f>13*8</f>
        <v>104</v>
      </c>
      <c r="L270" s="3" t="s">
        <v>368</v>
      </c>
      <c r="M270" s="7"/>
      <c r="N270" s="6"/>
      <c r="O270" s="9">
        <f>0.47*Table2[[#This Row],[قيمة المحضر]]</f>
        <v>0</v>
      </c>
      <c r="P270" s="9">
        <f>0.17*Table2[[#This Row],[قيمة المحضر]]</f>
        <v>0</v>
      </c>
      <c r="Q270" s="9">
        <f t="shared" ca="1" si="25"/>
        <v>24856</v>
      </c>
      <c r="R270" s="3"/>
      <c r="S270" s="3"/>
      <c r="T270" s="9" t="str">
        <f t="shared" si="26"/>
        <v>-</v>
      </c>
      <c r="U270" s="3" t="s">
        <v>25</v>
      </c>
      <c r="V270" s="9" t="str">
        <f t="shared" si="27"/>
        <v>-</v>
      </c>
      <c r="W270" s="4"/>
      <c r="X270" s="38"/>
      <c r="Y270" s="1">
        <f t="shared" ca="1" si="28"/>
        <v>46162</v>
      </c>
      <c r="Z270" s="1" cm="1">
        <f t="array" ref="Z270">IF(D270&gt;DATE(2015,5,16),0,
K270*
(
INT((MIN(Y270,DATE(2015,5,16))-D270)/365)
+
CEILING(MOD((MIN(Y270,DATE(2015,5,16))-D270)/365,1),0.25)
)
*
_xlfn.SWITCH(J270,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70" s="1" cm="1">
        <f t="array" aca="1" ref="AA270" ca="1">IF(Y270&lt;DATE(2015,5,17),0,
K270*
(
INT((MIN(Y270,DATE(2018,9,23))-MAX(D270,DATE(2015,5,17)))/365)
+
CEILING(MOD((MIN(Y270,DATE(2018,9,23))-MAX(D270,DATE(2015,5,17)))/365,1),0.25)
)
*
_xlfn.SWITCH(J270,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1664</v>
      </c>
      <c r="AB270" s="1" cm="1">
        <f t="array" aca="1" ref="AB270" ca="1">IF(Y270&lt;DATE(2018,9,24),0,
IF(J270="زراعة",
K270*
(
INT((MIN(Y270,DATE(2023,4,30))-MAX(D270,DATE(2018,9,24)))/365)
+
CEILING(MOD((MIN(Y270,DATE(2023,4,30))-MAX(D270,DATE(2018,9,24)))/365,1),0.25)
)
*1,
K270*
(
DATEDIF(MAX(D270,DATE(2018,9,24)),MIN(Y270,DATE(2023,4,30)),"m")+1
)
*
_xlfn.SWITCH(J270,
"موقف/تندة",IF(D270&lt;DATE(2019,11,30),6,30),
"تشوينات",IF(D270&lt;DATE(2019,11,30),4,20),
"مشاتل",IF(D270&lt;DATE(2019,11,30),2,10),
"كافيتيريا",IF(D270&lt;DATE(2019,11,30),30,150),
"نوادي",IF(D270&lt;DATE(2019,11,30),6,30),
"رسو مراكب",IF(D270&lt;DATE(2019,11,30),2,10),
"مباني",IF(D270&lt;DATE(2018,9,24),2,10),
"عشش",IF(D270&lt;DATE(2019,11,30),2,10),
"كشك (تجاري/صناعي)",IF(D270&lt;DATE(2019,11,30),10,50),
"ردم",20,
0)))</f>
        <v>11648</v>
      </c>
      <c r="AC270" s="1" cm="1">
        <f t="array" aca="1" ref="AC270" ca="1">IF(Y270&lt;DATE(2023,5,1),0,
IF(J270="زراعة",
K270*
(
INT((Y270-MAX(DATE(2023,5,1),D270))/365)
+
CEILING(MOD((Y270-MAX(DATE(2023,5,1),D270))/365,1),0.25)
)
*3,
IF(J270="ردم",
K270*20,
K270*
(
DATEDIF(MAX(DATE(2023,5,1),D270),Y270,"m")+1
)
*
_xlfn.SWITCH(J270,
"موقف/تندة",6,
"تشوينات",4,
"مشاتل",2,
"رسو مراكب",6,
"مباني",3,
"عشش",1,
"كشك (تجاري/صناعي)",20,
"مواسير صرف صحي (&lt;1م)",16,
"مواسير صرف صحي (&gt;1م)",18,
0))))</f>
        <v>11544</v>
      </c>
      <c r="AD270" s="1">
        <f t="shared" ca="1" si="29"/>
        <v>55</v>
      </c>
    </row>
    <row r="271" spans="1:30" ht="18.75" x14ac:dyDescent="0.25">
      <c r="A271" s="37">
        <v>241</v>
      </c>
      <c r="B271" s="3">
        <v>130</v>
      </c>
      <c r="C271" s="3">
        <v>2016</v>
      </c>
      <c r="D271" s="7">
        <v>42684</v>
      </c>
      <c r="E271" s="11"/>
      <c r="F271" s="3"/>
      <c r="G271" s="3" t="s">
        <v>346</v>
      </c>
      <c r="H271" s="6"/>
      <c r="I271" s="6" t="s">
        <v>105</v>
      </c>
      <c r="J271" s="3" t="s">
        <v>27</v>
      </c>
      <c r="K271" s="6">
        <v>104</v>
      </c>
      <c r="L271" s="3" t="s">
        <v>368</v>
      </c>
      <c r="M271" s="7"/>
      <c r="N271" s="6"/>
      <c r="O271" s="9">
        <f>0.47*Table2[[#This Row],[قيمة المحضر]]</f>
        <v>0</v>
      </c>
      <c r="P271" s="9">
        <f>0.17*Table2[[#This Row],[قيمة المحضر]]</f>
        <v>0</v>
      </c>
      <c r="Q271" s="9">
        <f t="shared" ca="1" si="25"/>
        <v>24856</v>
      </c>
      <c r="R271" s="3"/>
      <c r="S271" s="3"/>
      <c r="T271" s="9" t="str">
        <f t="shared" si="26"/>
        <v>-</v>
      </c>
      <c r="U271" s="3" t="s">
        <v>25</v>
      </c>
      <c r="V271" s="9" t="str">
        <f t="shared" si="27"/>
        <v>-</v>
      </c>
      <c r="W271" s="4"/>
      <c r="X271" s="38"/>
      <c r="Y271" s="1">
        <f t="shared" ca="1" si="28"/>
        <v>46162</v>
      </c>
      <c r="Z271" s="1" cm="1">
        <f t="array" ref="Z271">IF(D271&gt;DATE(2015,5,16),0,
K271*
(
INT((MIN(Y271,DATE(2015,5,16))-D271)/365)
+
CEILING(MOD((MIN(Y271,DATE(2015,5,16))-D271)/365,1),0.25)
)
*
_xlfn.SWITCH(J271,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71" s="1" cm="1">
        <f t="array" aca="1" ref="AA271" ca="1">IF(Y271&lt;DATE(2015,5,17),0,
K271*
(
INT((MIN(Y271,DATE(2018,9,23))-MAX(D271,DATE(2015,5,17)))/365)
+
CEILING(MOD((MIN(Y271,DATE(2018,9,23))-MAX(D271,DATE(2015,5,17)))/365,1),0.25)
)
*
_xlfn.SWITCH(J271,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1664</v>
      </c>
      <c r="AB271" s="1" cm="1">
        <f t="array" aca="1" ref="AB271" ca="1">IF(Y271&lt;DATE(2018,9,24),0,
IF(J271="زراعة",
K271*
(
INT((MIN(Y271,DATE(2023,4,30))-MAX(D271,DATE(2018,9,24)))/365)
+
CEILING(MOD((MIN(Y271,DATE(2023,4,30))-MAX(D271,DATE(2018,9,24)))/365,1),0.25)
)
*1,
K271*
(
DATEDIF(MAX(D271,DATE(2018,9,24)),MIN(Y271,DATE(2023,4,30)),"m")+1
)
*
_xlfn.SWITCH(J271,
"موقف/تندة",IF(D271&lt;DATE(2019,11,30),6,30),
"تشوينات",IF(D271&lt;DATE(2019,11,30),4,20),
"مشاتل",IF(D271&lt;DATE(2019,11,30),2,10),
"كافيتيريا",IF(D271&lt;DATE(2019,11,30),30,150),
"نوادي",IF(D271&lt;DATE(2019,11,30),6,30),
"رسو مراكب",IF(D271&lt;DATE(2019,11,30),2,10),
"مباني",IF(D271&lt;DATE(2018,9,24),2,10),
"عشش",IF(D271&lt;DATE(2019,11,30),2,10),
"كشك (تجاري/صناعي)",IF(D271&lt;DATE(2019,11,30),10,50),
"ردم",20,
0)))</f>
        <v>11648</v>
      </c>
      <c r="AC271" s="1" cm="1">
        <f t="array" aca="1" ref="AC271" ca="1">IF(Y271&lt;DATE(2023,5,1),0,
IF(J271="زراعة",
K271*
(
INT((Y271-MAX(DATE(2023,5,1),D271))/365)
+
CEILING(MOD((Y271-MAX(DATE(2023,5,1),D271))/365,1),0.25)
)
*3,
IF(J271="ردم",
K271*20,
K271*
(
DATEDIF(MAX(DATE(2023,5,1),D271),Y271,"m")+1
)
*
_xlfn.SWITCH(J271,
"موقف/تندة",6,
"تشوينات",4,
"مشاتل",2,
"رسو مراكب",6,
"مباني",3,
"عشش",1,
"كشك (تجاري/صناعي)",20,
"مواسير صرف صحي (&lt;1م)",16,
"مواسير صرف صحي (&gt;1م)",18,
0))))</f>
        <v>11544</v>
      </c>
      <c r="AD271" s="1">
        <f t="shared" ca="1" si="29"/>
        <v>55</v>
      </c>
    </row>
    <row r="272" spans="1:30" ht="18.75" x14ac:dyDescent="0.25">
      <c r="A272" s="37">
        <v>242</v>
      </c>
      <c r="B272" s="3">
        <v>131</v>
      </c>
      <c r="C272" s="3">
        <v>2016</v>
      </c>
      <c r="D272" s="7">
        <v>42684</v>
      </c>
      <c r="E272" s="11"/>
      <c r="F272" s="3"/>
      <c r="G272" s="3" t="s">
        <v>347</v>
      </c>
      <c r="H272" s="6"/>
      <c r="I272" s="6" t="s">
        <v>105</v>
      </c>
      <c r="J272" s="3" t="s">
        <v>27</v>
      </c>
      <c r="K272" s="6">
        <v>78</v>
      </c>
      <c r="L272" s="3" t="s">
        <v>368</v>
      </c>
      <c r="M272" s="7"/>
      <c r="N272" s="6"/>
      <c r="O272" s="9">
        <f>0.47*Table2[[#This Row],[قيمة المحضر]]</f>
        <v>0</v>
      </c>
      <c r="P272" s="9">
        <f>0.17*Table2[[#This Row],[قيمة المحضر]]</f>
        <v>0</v>
      </c>
      <c r="Q272" s="9">
        <f t="shared" ca="1" si="25"/>
        <v>18642</v>
      </c>
      <c r="R272" s="3"/>
      <c r="S272" s="3"/>
      <c r="T272" s="9" t="str">
        <f t="shared" si="26"/>
        <v>-</v>
      </c>
      <c r="U272" s="3" t="s">
        <v>25</v>
      </c>
      <c r="V272" s="9" t="str">
        <f t="shared" si="27"/>
        <v>-</v>
      </c>
      <c r="W272" s="4"/>
      <c r="X272" s="38"/>
      <c r="Y272" s="1">
        <f t="shared" ca="1" si="28"/>
        <v>46162</v>
      </c>
      <c r="Z272" s="1" cm="1">
        <f t="array" ref="Z272">IF(D272&gt;DATE(2015,5,16),0,
K272*
(
INT((MIN(Y272,DATE(2015,5,16))-D272)/365)
+
CEILING(MOD((MIN(Y272,DATE(2015,5,16))-D272)/365,1),0.25)
)
*
_xlfn.SWITCH(J272,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72" s="1" cm="1">
        <f t="array" aca="1" ref="AA272" ca="1">IF(Y272&lt;DATE(2015,5,17),0,
K272*
(
INT((MIN(Y272,DATE(2018,9,23))-MAX(D272,DATE(2015,5,17)))/365)
+
CEILING(MOD((MIN(Y272,DATE(2018,9,23))-MAX(D272,DATE(2015,5,17)))/365,1),0.25)
)
*
_xlfn.SWITCH(J272,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1248</v>
      </c>
      <c r="AB272" s="1" cm="1">
        <f t="array" aca="1" ref="AB272" ca="1">IF(Y272&lt;DATE(2018,9,24),0,
IF(J272="زراعة",
K272*
(
INT((MIN(Y272,DATE(2023,4,30))-MAX(D272,DATE(2018,9,24)))/365)
+
CEILING(MOD((MIN(Y272,DATE(2023,4,30))-MAX(D272,DATE(2018,9,24)))/365,1),0.25)
)
*1,
K272*
(
DATEDIF(MAX(D272,DATE(2018,9,24)),MIN(Y272,DATE(2023,4,30)),"m")+1
)
*
_xlfn.SWITCH(J272,
"موقف/تندة",IF(D272&lt;DATE(2019,11,30),6,30),
"تشوينات",IF(D272&lt;DATE(2019,11,30),4,20),
"مشاتل",IF(D272&lt;DATE(2019,11,30),2,10),
"كافيتيريا",IF(D272&lt;DATE(2019,11,30),30,150),
"نوادي",IF(D272&lt;DATE(2019,11,30),6,30),
"رسو مراكب",IF(D272&lt;DATE(2019,11,30),2,10),
"مباني",IF(D272&lt;DATE(2018,9,24),2,10),
"عشش",IF(D272&lt;DATE(2019,11,30),2,10),
"كشك (تجاري/صناعي)",IF(D272&lt;DATE(2019,11,30),10,50),
"ردم",20,
0)))</f>
        <v>8736</v>
      </c>
      <c r="AC272" s="1" cm="1">
        <f t="array" aca="1" ref="AC272" ca="1">IF(Y272&lt;DATE(2023,5,1),0,
IF(J272="زراعة",
K272*
(
INT((Y272-MAX(DATE(2023,5,1),D272))/365)
+
CEILING(MOD((Y272-MAX(DATE(2023,5,1),D272))/365,1),0.25)
)
*3,
IF(J272="ردم",
K272*20,
K272*
(
DATEDIF(MAX(DATE(2023,5,1),D272),Y272,"m")+1
)
*
_xlfn.SWITCH(J272,
"موقف/تندة",6,
"تشوينات",4,
"مشاتل",2,
"رسو مراكب",6,
"مباني",3,
"عشش",1,
"كشك (تجاري/صناعي)",20,
"مواسير صرف صحي (&lt;1م)",16,
"مواسير صرف صحي (&gt;1م)",18,
0))))</f>
        <v>8658</v>
      </c>
      <c r="AD272" s="1">
        <f t="shared" ca="1" si="29"/>
        <v>55</v>
      </c>
    </row>
    <row r="273" spans="1:30" ht="18.75" x14ac:dyDescent="0.25">
      <c r="A273" s="37">
        <v>243</v>
      </c>
      <c r="B273" s="3">
        <v>132</v>
      </c>
      <c r="C273" s="3">
        <v>2016</v>
      </c>
      <c r="D273" s="7">
        <v>42684</v>
      </c>
      <c r="E273" s="11"/>
      <c r="F273" s="3"/>
      <c r="G273" s="3" t="s">
        <v>348</v>
      </c>
      <c r="H273" s="6"/>
      <c r="I273" s="6" t="s">
        <v>105</v>
      </c>
      <c r="J273" s="3" t="s">
        <v>27</v>
      </c>
      <c r="K273" s="6">
        <v>104</v>
      </c>
      <c r="L273" s="3" t="s">
        <v>368</v>
      </c>
      <c r="M273" s="7"/>
      <c r="N273" s="6"/>
      <c r="O273" s="9">
        <f>0.47*Table2[[#This Row],[قيمة المحضر]]</f>
        <v>0</v>
      </c>
      <c r="P273" s="9">
        <f>0.17*Table2[[#This Row],[قيمة المحضر]]</f>
        <v>0</v>
      </c>
      <c r="Q273" s="9">
        <f t="shared" ca="1" si="25"/>
        <v>24856</v>
      </c>
      <c r="R273" s="3"/>
      <c r="S273" s="3"/>
      <c r="T273" s="9" t="str">
        <f t="shared" si="26"/>
        <v>-</v>
      </c>
      <c r="U273" s="3" t="s">
        <v>25</v>
      </c>
      <c r="V273" s="9" t="str">
        <f t="shared" si="27"/>
        <v>-</v>
      </c>
      <c r="W273" s="4"/>
      <c r="X273" s="38"/>
      <c r="Y273" s="1">
        <f t="shared" ca="1" si="28"/>
        <v>46162</v>
      </c>
      <c r="Z273" s="1" cm="1">
        <f t="array" ref="Z273">IF(D273&gt;DATE(2015,5,16),0,
K273*
(
INT((MIN(Y273,DATE(2015,5,16))-D273)/365)
+
CEILING(MOD((MIN(Y273,DATE(2015,5,16))-D273)/365,1),0.25)
)
*
_xlfn.SWITCH(J273,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73" s="1" cm="1">
        <f t="array" aca="1" ref="AA273" ca="1">IF(Y273&lt;DATE(2015,5,17),0,
K273*
(
INT((MIN(Y273,DATE(2018,9,23))-MAX(D273,DATE(2015,5,17)))/365)
+
CEILING(MOD((MIN(Y273,DATE(2018,9,23))-MAX(D273,DATE(2015,5,17)))/365,1),0.25)
)
*
_xlfn.SWITCH(J273,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1664</v>
      </c>
      <c r="AB273" s="1" cm="1">
        <f t="array" aca="1" ref="AB273" ca="1">IF(Y273&lt;DATE(2018,9,24),0,
IF(J273="زراعة",
K273*
(
INT((MIN(Y273,DATE(2023,4,30))-MAX(D273,DATE(2018,9,24)))/365)
+
CEILING(MOD((MIN(Y273,DATE(2023,4,30))-MAX(D273,DATE(2018,9,24)))/365,1),0.25)
)
*1,
K273*
(
DATEDIF(MAX(D273,DATE(2018,9,24)),MIN(Y273,DATE(2023,4,30)),"m")+1
)
*
_xlfn.SWITCH(J273,
"موقف/تندة",IF(D273&lt;DATE(2019,11,30),6,30),
"تشوينات",IF(D273&lt;DATE(2019,11,30),4,20),
"مشاتل",IF(D273&lt;DATE(2019,11,30),2,10),
"كافيتيريا",IF(D273&lt;DATE(2019,11,30),30,150),
"نوادي",IF(D273&lt;DATE(2019,11,30),6,30),
"رسو مراكب",IF(D273&lt;DATE(2019,11,30),2,10),
"مباني",IF(D273&lt;DATE(2018,9,24),2,10),
"عشش",IF(D273&lt;DATE(2019,11,30),2,10),
"كشك (تجاري/صناعي)",IF(D273&lt;DATE(2019,11,30),10,50),
"ردم",20,
0)))</f>
        <v>11648</v>
      </c>
      <c r="AC273" s="1" cm="1">
        <f t="array" aca="1" ref="AC273" ca="1">IF(Y273&lt;DATE(2023,5,1),0,
IF(J273="زراعة",
K273*
(
INT((Y273-MAX(DATE(2023,5,1),D273))/365)
+
CEILING(MOD((Y273-MAX(DATE(2023,5,1),D273))/365,1),0.25)
)
*3,
IF(J273="ردم",
K273*20,
K273*
(
DATEDIF(MAX(DATE(2023,5,1),D273),Y273,"m")+1
)
*
_xlfn.SWITCH(J273,
"موقف/تندة",6,
"تشوينات",4,
"مشاتل",2,
"رسو مراكب",6,
"مباني",3,
"عشش",1,
"كشك (تجاري/صناعي)",20,
"مواسير صرف صحي (&lt;1م)",16,
"مواسير صرف صحي (&gt;1م)",18,
0))))</f>
        <v>11544</v>
      </c>
      <c r="AD273" s="1">
        <f t="shared" ca="1" si="29"/>
        <v>55</v>
      </c>
    </row>
    <row r="274" spans="1:30" ht="18.75" x14ac:dyDescent="0.25">
      <c r="A274" s="37">
        <v>244</v>
      </c>
      <c r="B274" s="3">
        <v>133</v>
      </c>
      <c r="C274" s="3">
        <v>2016</v>
      </c>
      <c r="D274" s="7">
        <v>42684</v>
      </c>
      <c r="E274" s="11"/>
      <c r="F274" s="3"/>
      <c r="G274" s="3" t="s">
        <v>349</v>
      </c>
      <c r="H274" s="6"/>
      <c r="I274" s="6" t="s">
        <v>105</v>
      </c>
      <c r="J274" s="3" t="s">
        <v>106</v>
      </c>
      <c r="K274" s="6"/>
      <c r="L274" s="3" t="s">
        <v>368</v>
      </c>
      <c r="M274" s="7"/>
      <c r="N274" s="6"/>
      <c r="O274" s="9">
        <f>0.47*Table2[[#This Row],[قيمة المحضر]]</f>
        <v>0</v>
      </c>
      <c r="P274" s="9">
        <f>0.17*Table2[[#This Row],[قيمة المحضر]]</f>
        <v>0</v>
      </c>
      <c r="Q274" s="9">
        <f t="shared" ca="1" si="25"/>
        <v>0</v>
      </c>
      <c r="R274" s="3"/>
      <c r="S274" s="3"/>
      <c r="T274" s="9" t="str">
        <f t="shared" si="26"/>
        <v>-</v>
      </c>
      <c r="U274" s="3" t="s">
        <v>25</v>
      </c>
      <c r="V274" s="9" t="str">
        <f t="shared" si="27"/>
        <v>-</v>
      </c>
      <c r="W274" s="4"/>
      <c r="X274" s="38"/>
      <c r="Y274" s="1">
        <f t="shared" ca="1" si="28"/>
        <v>46162</v>
      </c>
      <c r="Z274" s="1" cm="1">
        <f t="array" ref="Z274">IF(D274&gt;DATE(2015,5,16),0,
K274*
(
INT((MIN(Y274,DATE(2015,5,16))-D274)/365)
+
CEILING(MOD((MIN(Y274,DATE(2015,5,16))-D274)/365,1),0.25)
)
*
_xlfn.SWITCH(J274,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74" s="1" cm="1">
        <f t="array" aca="1" ref="AA274" ca="1">IF(Y274&lt;DATE(2015,5,17),0,
K274*
(
INT((MIN(Y274,DATE(2018,9,23))-MAX(D274,DATE(2015,5,17)))/365)
+
CEILING(MOD((MIN(Y274,DATE(2018,9,23))-MAX(D274,DATE(2015,5,17)))/365,1),0.25)
)
*
_xlfn.SWITCH(J274,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74" s="1" cm="1">
        <f t="array" aca="1" ref="AB274" ca="1">IF(Y274&lt;DATE(2018,9,24),0,
IF(J274="زراعة",
K274*
(
INT((MIN(Y274,DATE(2023,4,30))-MAX(D274,DATE(2018,9,24)))/365)
+
CEILING(MOD((MIN(Y274,DATE(2023,4,30))-MAX(D274,DATE(2018,9,24)))/365,1),0.25)
)
*1,
K274*
(
DATEDIF(MAX(D274,DATE(2018,9,24)),MIN(Y274,DATE(2023,4,30)),"m")+1
)
*
_xlfn.SWITCH(J274,
"موقف/تندة",IF(D274&lt;DATE(2019,11,30),6,30),
"تشوينات",IF(D274&lt;DATE(2019,11,30),4,20),
"مشاتل",IF(D274&lt;DATE(2019,11,30),2,10),
"كافيتيريا",IF(D274&lt;DATE(2019,11,30),30,150),
"نوادي",IF(D274&lt;DATE(2019,11,30),6,30),
"رسو مراكب",IF(D274&lt;DATE(2019,11,30),2,10),
"مباني",IF(D274&lt;DATE(2018,9,24),2,10),
"عشش",IF(D274&lt;DATE(2019,11,30),2,10),
"كشك (تجاري/صناعي)",IF(D274&lt;DATE(2019,11,30),10,50),
"ردم",20,
0)))</f>
        <v>0</v>
      </c>
      <c r="AC274" s="1" cm="1">
        <f t="array" aca="1" ref="AC274" ca="1">IF(Y274&lt;DATE(2023,5,1),0,
IF(J274="زراعة",
K274*
(
INT((Y274-MAX(DATE(2023,5,1),D274))/365)
+
CEILING(MOD((Y274-MAX(DATE(2023,5,1),D274))/365,1),0.25)
)
*3,
IF(J274="ردم",
K274*20,
K274*
(
DATEDIF(MAX(DATE(2023,5,1),D274),Y274,"m")+1
)
*
_xlfn.SWITCH(J274,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74" s="1">
        <f t="shared" ca="1" si="29"/>
        <v>55</v>
      </c>
    </row>
    <row r="275" spans="1:30" ht="18.75" x14ac:dyDescent="0.25">
      <c r="A275" s="37">
        <v>245</v>
      </c>
      <c r="B275" s="3">
        <v>134</v>
      </c>
      <c r="C275" s="3">
        <v>2016</v>
      </c>
      <c r="D275" s="7">
        <v>42687</v>
      </c>
      <c r="E275" s="11"/>
      <c r="F275" s="3"/>
      <c r="G275" s="3" t="s">
        <v>350</v>
      </c>
      <c r="H275" s="6"/>
      <c r="I275" s="6" t="s">
        <v>105</v>
      </c>
      <c r="J275" s="3" t="s">
        <v>106</v>
      </c>
      <c r="K275" s="6"/>
      <c r="L275" s="3" t="s">
        <v>368</v>
      </c>
      <c r="M275" s="7"/>
      <c r="N275" s="6"/>
      <c r="O275" s="9">
        <f>0.47*Table2[[#This Row],[قيمة المحضر]]</f>
        <v>0</v>
      </c>
      <c r="P275" s="9">
        <f>0.17*Table2[[#This Row],[قيمة المحضر]]</f>
        <v>0</v>
      </c>
      <c r="Q275" s="9">
        <f t="shared" ca="1" si="25"/>
        <v>0</v>
      </c>
      <c r="R275" s="3"/>
      <c r="S275" s="3"/>
      <c r="T275" s="9" t="str">
        <f t="shared" si="26"/>
        <v>-</v>
      </c>
      <c r="U275" s="3" t="s">
        <v>25</v>
      </c>
      <c r="V275" s="9" t="str">
        <f t="shared" si="27"/>
        <v>-</v>
      </c>
      <c r="W275" s="4"/>
      <c r="X275" s="38"/>
      <c r="Y275" s="1">
        <f t="shared" ca="1" si="28"/>
        <v>46162</v>
      </c>
      <c r="Z275" s="1" cm="1">
        <f t="array" ref="Z275">IF(D275&gt;DATE(2015,5,16),0,
K275*
(
INT((MIN(Y275,DATE(2015,5,16))-D275)/365)
+
CEILING(MOD((MIN(Y275,DATE(2015,5,16))-D275)/365,1),0.25)
)
*
_xlfn.SWITCH(J275,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75" s="1" cm="1">
        <f t="array" aca="1" ref="AA275" ca="1">IF(Y275&lt;DATE(2015,5,17),0,
K275*
(
INT((MIN(Y275,DATE(2018,9,23))-MAX(D275,DATE(2015,5,17)))/365)
+
CEILING(MOD((MIN(Y275,DATE(2018,9,23))-MAX(D275,DATE(2015,5,17)))/365,1),0.25)
)
*
_xlfn.SWITCH(J275,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75" s="1" cm="1">
        <f t="array" aca="1" ref="AB275" ca="1">IF(Y275&lt;DATE(2018,9,24),0,
IF(J275="زراعة",
K275*
(
INT((MIN(Y275,DATE(2023,4,30))-MAX(D275,DATE(2018,9,24)))/365)
+
CEILING(MOD((MIN(Y275,DATE(2023,4,30))-MAX(D275,DATE(2018,9,24)))/365,1),0.25)
)
*1,
K275*
(
DATEDIF(MAX(D275,DATE(2018,9,24)),MIN(Y275,DATE(2023,4,30)),"m")+1
)
*
_xlfn.SWITCH(J275,
"موقف/تندة",IF(D275&lt;DATE(2019,11,30),6,30),
"تشوينات",IF(D275&lt;DATE(2019,11,30),4,20),
"مشاتل",IF(D275&lt;DATE(2019,11,30),2,10),
"كافيتيريا",IF(D275&lt;DATE(2019,11,30),30,150),
"نوادي",IF(D275&lt;DATE(2019,11,30),6,30),
"رسو مراكب",IF(D275&lt;DATE(2019,11,30),2,10),
"مباني",IF(D275&lt;DATE(2018,9,24),2,10),
"عشش",IF(D275&lt;DATE(2019,11,30),2,10),
"كشك (تجاري/صناعي)",IF(D275&lt;DATE(2019,11,30),10,50),
"ردم",20,
0)))</f>
        <v>0</v>
      </c>
      <c r="AC275" s="1" cm="1">
        <f t="array" aca="1" ref="AC275" ca="1">IF(Y275&lt;DATE(2023,5,1),0,
IF(J275="زراعة",
K275*
(
INT((Y275-MAX(DATE(2023,5,1),D275))/365)
+
CEILING(MOD((Y275-MAX(DATE(2023,5,1),D275))/365,1),0.25)
)
*3,
IF(J275="ردم",
K275*20,
K275*
(
DATEDIF(MAX(DATE(2023,5,1),D275),Y275,"m")+1
)
*
_xlfn.SWITCH(J275,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75" s="1">
        <f t="shared" ca="1" si="29"/>
        <v>55</v>
      </c>
    </row>
    <row r="276" spans="1:30" ht="18.75" x14ac:dyDescent="0.25">
      <c r="A276" s="37">
        <v>246</v>
      </c>
      <c r="B276" s="3">
        <v>135</v>
      </c>
      <c r="C276" s="3">
        <v>2016</v>
      </c>
      <c r="D276" s="7">
        <v>42687</v>
      </c>
      <c r="E276" s="11" t="s">
        <v>366</v>
      </c>
      <c r="F276" s="3"/>
      <c r="G276" s="3" t="s">
        <v>351</v>
      </c>
      <c r="H276" s="6"/>
      <c r="I276" s="6" t="s">
        <v>105</v>
      </c>
      <c r="J276" s="3" t="s">
        <v>27</v>
      </c>
      <c r="K276" s="6">
        <v>24</v>
      </c>
      <c r="L276" s="3" t="s">
        <v>90</v>
      </c>
      <c r="M276" s="7"/>
      <c r="N276" s="6"/>
      <c r="O276" s="9">
        <f>0.47*Table2[[#This Row],[قيمة المحضر]]</f>
        <v>0</v>
      </c>
      <c r="P276" s="9">
        <f>0.17*Table2[[#This Row],[قيمة المحضر]]</f>
        <v>0</v>
      </c>
      <c r="Q276" s="9">
        <f t="shared" ca="1" si="25"/>
        <v>5736</v>
      </c>
      <c r="R276" s="3"/>
      <c r="S276" s="3"/>
      <c r="T276" s="9" t="str">
        <f t="shared" si="26"/>
        <v>-</v>
      </c>
      <c r="U276" s="3" t="s">
        <v>25</v>
      </c>
      <c r="V276" s="9" t="str">
        <f t="shared" si="27"/>
        <v>-</v>
      </c>
      <c r="W276" s="4"/>
      <c r="X276" s="38"/>
      <c r="Y276" s="1">
        <f t="shared" ca="1" si="28"/>
        <v>46162</v>
      </c>
      <c r="Z276" s="1" cm="1">
        <f t="array" ref="Z276">IF(D276&gt;DATE(2015,5,16),0,
K276*
(
INT((MIN(Y276,DATE(2015,5,16))-D276)/365)
+
CEILING(MOD((MIN(Y276,DATE(2015,5,16))-D276)/365,1),0.25)
)
*
_xlfn.SWITCH(J276,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76" s="1" cm="1">
        <f t="array" aca="1" ref="AA276" ca="1">IF(Y276&lt;DATE(2015,5,17),0,
K276*
(
INT((MIN(Y276,DATE(2018,9,23))-MAX(D276,DATE(2015,5,17)))/365)
+
CEILING(MOD((MIN(Y276,DATE(2018,9,23))-MAX(D276,DATE(2015,5,17)))/365,1),0.25)
)
*
_xlfn.SWITCH(J276,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384</v>
      </c>
      <c r="AB276" s="1" cm="1">
        <f t="array" aca="1" ref="AB276" ca="1">IF(Y276&lt;DATE(2018,9,24),0,
IF(J276="زراعة",
K276*
(
INT((MIN(Y276,DATE(2023,4,30))-MAX(D276,DATE(2018,9,24)))/365)
+
CEILING(MOD((MIN(Y276,DATE(2023,4,30))-MAX(D276,DATE(2018,9,24)))/365,1),0.25)
)
*1,
K276*
(
DATEDIF(MAX(D276,DATE(2018,9,24)),MIN(Y276,DATE(2023,4,30)),"m")+1
)
*
_xlfn.SWITCH(J276,
"موقف/تندة",IF(D276&lt;DATE(2019,11,30),6,30),
"تشوينات",IF(D276&lt;DATE(2019,11,30),4,20),
"مشاتل",IF(D276&lt;DATE(2019,11,30),2,10),
"كافيتيريا",IF(D276&lt;DATE(2019,11,30),30,150),
"نوادي",IF(D276&lt;DATE(2019,11,30),6,30),
"رسو مراكب",IF(D276&lt;DATE(2019,11,30),2,10),
"مباني",IF(D276&lt;DATE(2018,9,24),2,10),
"عشش",IF(D276&lt;DATE(2019,11,30),2,10),
"كشك (تجاري/صناعي)",IF(D276&lt;DATE(2019,11,30),10,50),
"ردم",20,
0)))</f>
        <v>2688</v>
      </c>
      <c r="AC276" s="1" cm="1">
        <f t="array" aca="1" ref="AC276" ca="1">IF(Y276&lt;DATE(2023,5,1),0,
IF(J276="زراعة",
K276*
(
INT((Y276-MAX(DATE(2023,5,1),D276))/365)
+
CEILING(MOD((Y276-MAX(DATE(2023,5,1),D276))/365,1),0.25)
)
*3,
IF(J276="ردم",
K276*20,
K276*
(
DATEDIF(MAX(DATE(2023,5,1),D276),Y276,"m")+1
)
*
_xlfn.SWITCH(J276,
"موقف/تندة",6,
"تشوينات",4,
"مشاتل",2,
"رسو مراكب",6,
"مباني",3,
"عشش",1,
"كشك (تجاري/صناعي)",20,
"مواسير صرف صحي (&lt;1م)",16,
"مواسير صرف صحي (&gt;1م)",18,
0))))</f>
        <v>2664</v>
      </c>
      <c r="AD276" s="1">
        <f t="shared" ca="1" si="29"/>
        <v>55</v>
      </c>
    </row>
    <row r="277" spans="1:30" ht="18.75" x14ac:dyDescent="0.25">
      <c r="A277" s="37">
        <v>247</v>
      </c>
      <c r="B277" s="3">
        <v>136</v>
      </c>
      <c r="C277" s="3">
        <v>2016</v>
      </c>
      <c r="D277" s="7">
        <v>42687</v>
      </c>
      <c r="E277" s="11"/>
      <c r="F277" s="3"/>
      <c r="G277" s="3" t="s">
        <v>352</v>
      </c>
      <c r="H277" s="6"/>
      <c r="I277" s="6" t="s">
        <v>102</v>
      </c>
      <c r="J277" s="3" t="s">
        <v>27</v>
      </c>
      <c r="K277" s="6">
        <v>250</v>
      </c>
      <c r="L277" s="3" t="s">
        <v>88</v>
      </c>
      <c r="M277" s="7"/>
      <c r="N277" s="6"/>
      <c r="O277" s="9">
        <f>0.47*Table2[[#This Row],[قيمة المحضر]]</f>
        <v>0</v>
      </c>
      <c r="P277" s="9">
        <f>0.17*Table2[[#This Row],[قيمة المحضر]]</f>
        <v>0</v>
      </c>
      <c r="Q277" s="9">
        <f t="shared" ca="1" si="25"/>
        <v>59750</v>
      </c>
      <c r="R277" s="3"/>
      <c r="S277" s="3"/>
      <c r="T277" s="9" t="str">
        <f t="shared" si="26"/>
        <v>-</v>
      </c>
      <c r="U277" s="3" t="s">
        <v>25</v>
      </c>
      <c r="V277" s="9" t="str">
        <f t="shared" si="27"/>
        <v>-</v>
      </c>
      <c r="W277" s="4"/>
      <c r="X277" s="38"/>
      <c r="Y277" s="1">
        <f t="shared" ca="1" si="28"/>
        <v>46162</v>
      </c>
      <c r="Z277" s="1" cm="1">
        <f t="array" ref="Z277">IF(D277&gt;DATE(2015,5,16),0,
K277*
(
INT((MIN(Y277,DATE(2015,5,16))-D277)/365)
+
CEILING(MOD((MIN(Y277,DATE(2015,5,16))-D277)/365,1),0.25)
)
*
_xlfn.SWITCH(J277,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77" s="1" cm="1">
        <f t="array" aca="1" ref="AA277" ca="1">IF(Y277&lt;DATE(2015,5,17),0,
K277*
(
INT((MIN(Y277,DATE(2018,9,23))-MAX(D277,DATE(2015,5,17)))/365)
+
CEILING(MOD((MIN(Y277,DATE(2018,9,23))-MAX(D277,DATE(2015,5,17)))/365,1),0.25)
)
*
_xlfn.SWITCH(J277,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4000</v>
      </c>
      <c r="AB277" s="1" cm="1">
        <f t="array" aca="1" ref="AB277" ca="1">IF(Y277&lt;DATE(2018,9,24),0,
IF(J277="زراعة",
K277*
(
INT((MIN(Y277,DATE(2023,4,30))-MAX(D277,DATE(2018,9,24)))/365)
+
CEILING(MOD((MIN(Y277,DATE(2023,4,30))-MAX(D277,DATE(2018,9,24)))/365,1),0.25)
)
*1,
K277*
(
DATEDIF(MAX(D277,DATE(2018,9,24)),MIN(Y277,DATE(2023,4,30)),"m")+1
)
*
_xlfn.SWITCH(J277,
"موقف/تندة",IF(D277&lt;DATE(2019,11,30),6,30),
"تشوينات",IF(D277&lt;DATE(2019,11,30),4,20),
"مشاتل",IF(D277&lt;DATE(2019,11,30),2,10),
"كافيتيريا",IF(D277&lt;DATE(2019,11,30),30,150),
"نوادي",IF(D277&lt;DATE(2019,11,30),6,30),
"رسو مراكب",IF(D277&lt;DATE(2019,11,30),2,10),
"مباني",IF(D277&lt;DATE(2018,9,24),2,10),
"عشش",IF(D277&lt;DATE(2019,11,30),2,10),
"كشك (تجاري/صناعي)",IF(D277&lt;DATE(2019,11,30),10,50),
"ردم",20,
0)))</f>
        <v>28000</v>
      </c>
      <c r="AC277" s="1" cm="1">
        <f t="array" aca="1" ref="AC277" ca="1">IF(Y277&lt;DATE(2023,5,1),0,
IF(J277="زراعة",
K277*
(
INT((Y277-MAX(DATE(2023,5,1),D277))/365)
+
CEILING(MOD((Y277-MAX(DATE(2023,5,1),D277))/365,1),0.25)
)
*3,
IF(J277="ردم",
K277*20,
K277*
(
DATEDIF(MAX(DATE(2023,5,1),D277),Y277,"m")+1
)
*
_xlfn.SWITCH(J277,
"موقف/تندة",6,
"تشوينات",4,
"مشاتل",2,
"رسو مراكب",6,
"مباني",3,
"عشش",1,
"كشك (تجاري/صناعي)",20,
"مواسير صرف صحي (&lt;1م)",16,
"مواسير صرف صحي (&gt;1م)",18,
0))))</f>
        <v>27750</v>
      </c>
      <c r="AD277" s="1">
        <f t="shared" ca="1" si="29"/>
        <v>55</v>
      </c>
    </row>
    <row r="278" spans="1:30" ht="18.75" x14ac:dyDescent="0.25">
      <c r="A278" s="37">
        <v>248</v>
      </c>
      <c r="B278" s="3">
        <v>137</v>
      </c>
      <c r="C278" s="3">
        <v>2016</v>
      </c>
      <c r="D278" s="7">
        <v>42687</v>
      </c>
      <c r="E278" s="11"/>
      <c r="F278" s="3"/>
      <c r="G278" s="3" t="s">
        <v>284</v>
      </c>
      <c r="H278" s="6"/>
      <c r="I278" s="6" t="s">
        <v>102</v>
      </c>
      <c r="J278" s="3" t="s">
        <v>27</v>
      </c>
      <c r="K278" s="6">
        <v>250</v>
      </c>
      <c r="L278" s="3" t="s">
        <v>88</v>
      </c>
      <c r="M278" s="7"/>
      <c r="N278" s="6"/>
      <c r="O278" s="9">
        <f>0.47*Table2[[#This Row],[قيمة المحضر]]</f>
        <v>0</v>
      </c>
      <c r="P278" s="9">
        <f>0.17*Table2[[#This Row],[قيمة المحضر]]</f>
        <v>0</v>
      </c>
      <c r="Q278" s="9">
        <f t="shared" ca="1" si="25"/>
        <v>59750</v>
      </c>
      <c r="R278" s="3"/>
      <c r="S278" s="3"/>
      <c r="T278" s="9" t="str">
        <f t="shared" si="26"/>
        <v>-</v>
      </c>
      <c r="U278" s="3" t="s">
        <v>25</v>
      </c>
      <c r="V278" s="9" t="str">
        <f t="shared" si="27"/>
        <v>-</v>
      </c>
      <c r="W278" s="4"/>
      <c r="X278" s="38"/>
      <c r="Y278" s="1">
        <f t="shared" ca="1" si="28"/>
        <v>46162</v>
      </c>
      <c r="Z278" s="1" cm="1">
        <f t="array" ref="Z278">IF(D278&gt;DATE(2015,5,16),0,
K278*
(
INT((MIN(Y278,DATE(2015,5,16))-D278)/365)
+
CEILING(MOD((MIN(Y278,DATE(2015,5,16))-D278)/365,1),0.25)
)
*
_xlfn.SWITCH(J278,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78" s="1" cm="1">
        <f t="array" aca="1" ref="AA278" ca="1">IF(Y278&lt;DATE(2015,5,17),0,
K278*
(
INT((MIN(Y278,DATE(2018,9,23))-MAX(D278,DATE(2015,5,17)))/365)
+
CEILING(MOD((MIN(Y278,DATE(2018,9,23))-MAX(D278,DATE(2015,5,17)))/365,1),0.25)
)
*
_xlfn.SWITCH(J278,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4000</v>
      </c>
      <c r="AB278" s="1" cm="1">
        <f t="array" aca="1" ref="AB278" ca="1">IF(Y278&lt;DATE(2018,9,24),0,
IF(J278="زراعة",
K278*
(
INT((MIN(Y278,DATE(2023,4,30))-MAX(D278,DATE(2018,9,24)))/365)
+
CEILING(MOD((MIN(Y278,DATE(2023,4,30))-MAX(D278,DATE(2018,9,24)))/365,1),0.25)
)
*1,
K278*
(
DATEDIF(MAX(D278,DATE(2018,9,24)),MIN(Y278,DATE(2023,4,30)),"m")+1
)
*
_xlfn.SWITCH(J278,
"موقف/تندة",IF(D278&lt;DATE(2019,11,30),6,30),
"تشوينات",IF(D278&lt;DATE(2019,11,30),4,20),
"مشاتل",IF(D278&lt;DATE(2019,11,30),2,10),
"كافيتيريا",IF(D278&lt;DATE(2019,11,30),30,150),
"نوادي",IF(D278&lt;DATE(2019,11,30),6,30),
"رسو مراكب",IF(D278&lt;DATE(2019,11,30),2,10),
"مباني",IF(D278&lt;DATE(2018,9,24),2,10),
"عشش",IF(D278&lt;DATE(2019,11,30),2,10),
"كشك (تجاري/صناعي)",IF(D278&lt;DATE(2019,11,30),10,50),
"ردم",20,
0)))</f>
        <v>28000</v>
      </c>
      <c r="AC278" s="1" cm="1">
        <f t="array" aca="1" ref="AC278" ca="1">IF(Y278&lt;DATE(2023,5,1),0,
IF(J278="زراعة",
K278*
(
INT((Y278-MAX(DATE(2023,5,1),D278))/365)
+
CEILING(MOD((Y278-MAX(DATE(2023,5,1),D278))/365,1),0.25)
)
*3,
IF(J278="ردم",
K278*20,
K278*
(
DATEDIF(MAX(DATE(2023,5,1),D278),Y278,"m")+1
)
*
_xlfn.SWITCH(J278,
"موقف/تندة",6,
"تشوينات",4,
"مشاتل",2,
"رسو مراكب",6,
"مباني",3,
"عشش",1,
"كشك (تجاري/صناعي)",20,
"مواسير صرف صحي (&lt;1م)",16,
"مواسير صرف صحي (&gt;1م)",18,
0))))</f>
        <v>27750</v>
      </c>
      <c r="AD278" s="1">
        <f t="shared" ca="1" si="29"/>
        <v>55</v>
      </c>
    </row>
    <row r="279" spans="1:30" ht="18.75" x14ac:dyDescent="0.25">
      <c r="A279" s="37">
        <v>249</v>
      </c>
      <c r="B279" s="3">
        <v>138</v>
      </c>
      <c r="C279" s="3">
        <v>2016</v>
      </c>
      <c r="D279" s="7">
        <v>42719</v>
      </c>
      <c r="E279" s="11"/>
      <c r="F279" s="3"/>
      <c r="G279" s="3" t="s">
        <v>353</v>
      </c>
      <c r="H279" s="6"/>
      <c r="I279" s="6" t="s">
        <v>144</v>
      </c>
      <c r="J279" s="3" t="s">
        <v>77</v>
      </c>
      <c r="K279" s="6">
        <v>60</v>
      </c>
      <c r="L279" s="3" t="s">
        <v>369</v>
      </c>
      <c r="M279" s="7"/>
      <c r="N279" s="6"/>
      <c r="O279" s="9">
        <f>0.47*Table2[[#This Row],[قيمة المحضر]]</f>
        <v>0</v>
      </c>
      <c r="P279" s="9">
        <f>0.17*Table2[[#This Row],[قيمة المحضر]]</f>
        <v>0</v>
      </c>
      <c r="Q279" s="9">
        <f t="shared" ca="1" si="25"/>
        <v>70800</v>
      </c>
      <c r="R279" s="3"/>
      <c r="S279" s="3"/>
      <c r="T279" s="9" t="str">
        <f t="shared" si="26"/>
        <v>-</v>
      </c>
      <c r="U279" s="3" t="s">
        <v>25</v>
      </c>
      <c r="V279" s="9" t="str">
        <f t="shared" si="27"/>
        <v>-</v>
      </c>
      <c r="W279" s="4"/>
      <c r="X279" s="38"/>
      <c r="Y279" s="1">
        <f t="shared" ca="1" si="28"/>
        <v>46162</v>
      </c>
      <c r="Z279" s="1" cm="1">
        <f t="array" ref="Z279">IF(D279&gt;DATE(2015,5,16),0,
K279*
(
INT((MIN(Y279,DATE(2015,5,16))-D279)/365)
+
CEILING(MOD((MIN(Y279,DATE(2015,5,16))-D279)/365,1),0.25)
)
*
_xlfn.SWITCH(J279,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79" s="1" cm="1">
        <f t="array" aca="1" ref="AA279" ca="1">IF(Y279&lt;DATE(2015,5,17),0,
K279*
(
INT((MIN(Y279,DATE(2018,9,23))-MAX(D279,DATE(2015,5,17)))/365)
+
CEILING(MOD((MIN(Y279,DATE(2018,9,23))-MAX(D279,DATE(2015,5,17)))/365,1),0.25)
)
*
_xlfn.SWITCH(J279,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2400</v>
      </c>
      <c r="AB279" s="1" cm="1">
        <f t="array" aca="1" ref="AB279" ca="1">IF(Y279&lt;DATE(2018,9,24),0,
IF(J279="زراعة",
K279*
(
INT((MIN(Y279,DATE(2023,4,30))-MAX(D279,DATE(2018,9,24)))/365)
+
CEILING(MOD((MIN(Y279,DATE(2023,4,30))-MAX(D279,DATE(2018,9,24)))/365,1),0.25)
)
*1,
K279*
(
DATEDIF(MAX(D279,DATE(2018,9,24)),MIN(Y279,DATE(2023,4,30)),"m")+1
)
*
_xlfn.SWITCH(J279,
"موقف/تندة",IF(D279&lt;DATE(2019,11,30),6,30),
"تشوينات",IF(D279&lt;DATE(2019,11,30),4,20),
"مشاتل",IF(D279&lt;DATE(2019,11,30),2,10),
"كافيتيريا",IF(D279&lt;DATE(2019,11,30),30,150),
"نوادي",IF(D279&lt;DATE(2019,11,30),6,30),
"رسو مراكب",IF(D279&lt;DATE(2019,11,30),2,10),
"مباني",IF(D279&lt;DATE(2018,9,24),2,10),
"عشش",IF(D279&lt;DATE(2019,11,30),2,10),
"كشك (تجاري/صناعي)",IF(D279&lt;DATE(2019,11,30),10,50),
"ردم",20,
0)))</f>
        <v>67200</v>
      </c>
      <c r="AC279" s="1" cm="1">
        <f t="array" aca="1" ref="AC279" ca="1">IF(Y279&lt;DATE(2023,5,1),0,
IF(J279="زراعة",
K279*
(
INT((Y279-MAX(DATE(2023,5,1),D279))/365)
+
CEILING(MOD((Y279-MAX(DATE(2023,5,1),D279))/365,1),0.25)
)
*3,
IF(J279="ردم",
K279*20,
K279*
(
DATEDIF(MAX(DATE(2023,5,1),D279),Y279,"m")+1
)
*
_xlfn.SWITCH(J279,
"موقف/تندة",6,
"تشوينات",4,
"مشاتل",2,
"رسو مراكب",6,
"مباني",3,
"عشش",1,
"كشك (تجاري/صناعي)",20,
"مواسير صرف صحي (&lt;1م)",16,
"مواسير صرف صحي (&gt;1م)",18,
0))))</f>
        <v>1200</v>
      </c>
      <c r="AD279" s="1">
        <f t="shared" ca="1" si="29"/>
        <v>55</v>
      </c>
    </row>
    <row r="280" spans="1:30" ht="18.75" x14ac:dyDescent="0.25">
      <c r="A280" s="37">
        <v>250</v>
      </c>
      <c r="B280" s="3">
        <v>139</v>
      </c>
      <c r="C280" s="3">
        <v>2016</v>
      </c>
      <c r="D280" s="7">
        <v>42719</v>
      </c>
      <c r="E280" s="11"/>
      <c r="F280" s="3"/>
      <c r="G280" s="3" t="s">
        <v>354</v>
      </c>
      <c r="H280" s="6"/>
      <c r="I280" s="6" t="s">
        <v>144</v>
      </c>
      <c r="J280" s="3" t="s">
        <v>77</v>
      </c>
      <c r="K280" s="6">
        <v>60</v>
      </c>
      <c r="L280" s="3" t="s">
        <v>369</v>
      </c>
      <c r="M280" s="7"/>
      <c r="N280" s="6"/>
      <c r="O280" s="9">
        <f>0.47*Table2[[#This Row],[قيمة المحضر]]</f>
        <v>0</v>
      </c>
      <c r="P280" s="9">
        <f>0.17*Table2[[#This Row],[قيمة المحضر]]</f>
        <v>0</v>
      </c>
      <c r="Q280" s="9">
        <f t="shared" ca="1" si="25"/>
        <v>70800</v>
      </c>
      <c r="R280" s="3"/>
      <c r="S280" s="3"/>
      <c r="T280" s="9" t="str">
        <f t="shared" si="26"/>
        <v>-</v>
      </c>
      <c r="U280" s="3" t="s">
        <v>25</v>
      </c>
      <c r="V280" s="9" t="str">
        <f t="shared" si="27"/>
        <v>-</v>
      </c>
      <c r="W280" s="4"/>
      <c r="X280" s="38"/>
      <c r="Y280" s="1">
        <f t="shared" ca="1" si="28"/>
        <v>46162</v>
      </c>
      <c r="Z280" s="1" cm="1">
        <f t="array" ref="Z280">IF(D280&gt;DATE(2015,5,16),0,
K280*
(
INT((MIN(Y280,DATE(2015,5,16))-D280)/365)
+
CEILING(MOD((MIN(Y280,DATE(2015,5,16))-D280)/365,1),0.25)
)
*
_xlfn.SWITCH(J280,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80" s="1" cm="1">
        <f t="array" aca="1" ref="AA280" ca="1">IF(Y280&lt;DATE(2015,5,17),0,
K280*
(
INT((MIN(Y280,DATE(2018,9,23))-MAX(D280,DATE(2015,5,17)))/365)
+
CEILING(MOD((MIN(Y280,DATE(2018,9,23))-MAX(D280,DATE(2015,5,17)))/365,1),0.25)
)
*
_xlfn.SWITCH(J280,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2400</v>
      </c>
      <c r="AB280" s="1" cm="1">
        <f t="array" aca="1" ref="AB280" ca="1">IF(Y280&lt;DATE(2018,9,24),0,
IF(J280="زراعة",
K280*
(
INT((MIN(Y280,DATE(2023,4,30))-MAX(D280,DATE(2018,9,24)))/365)
+
CEILING(MOD((MIN(Y280,DATE(2023,4,30))-MAX(D280,DATE(2018,9,24)))/365,1),0.25)
)
*1,
K280*
(
DATEDIF(MAX(D280,DATE(2018,9,24)),MIN(Y280,DATE(2023,4,30)),"m")+1
)
*
_xlfn.SWITCH(J280,
"موقف/تندة",IF(D280&lt;DATE(2019,11,30),6,30),
"تشوينات",IF(D280&lt;DATE(2019,11,30),4,20),
"مشاتل",IF(D280&lt;DATE(2019,11,30),2,10),
"كافيتيريا",IF(D280&lt;DATE(2019,11,30),30,150),
"نوادي",IF(D280&lt;DATE(2019,11,30),6,30),
"رسو مراكب",IF(D280&lt;DATE(2019,11,30),2,10),
"مباني",IF(D280&lt;DATE(2018,9,24),2,10),
"عشش",IF(D280&lt;DATE(2019,11,30),2,10),
"كشك (تجاري/صناعي)",IF(D280&lt;DATE(2019,11,30),10,50),
"ردم",20,
0)))</f>
        <v>67200</v>
      </c>
      <c r="AC280" s="1" cm="1">
        <f t="array" aca="1" ref="AC280" ca="1">IF(Y280&lt;DATE(2023,5,1),0,
IF(J280="زراعة",
K280*
(
INT((Y280-MAX(DATE(2023,5,1),D280))/365)
+
CEILING(MOD((Y280-MAX(DATE(2023,5,1),D280))/365,1),0.25)
)
*3,
IF(J280="ردم",
K280*20,
K280*
(
DATEDIF(MAX(DATE(2023,5,1),D280),Y280,"m")+1
)
*
_xlfn.SWITCH(J280,
"موقف/تندة",6,
"تشوينات",4,
"مشاتل",2,
"رسو مراكب",6,
"مباني",3,
"عشش",1,
"كشك (تجاري/صناعي)",20,
"مواسير صرف صحي (&lt;1م)",16,
"مواسير صرف صحي (&gt;1م)",18,
0))))</f>
        <v>1200</v>
      </c>
      <c r="AD280" s="1">
        <f t="shared" ca="1" si="29"/>
        <v>55</v>
      </c>
    </row>
    <row r="281" spans="1:30" ht="18.75" x14ac:dyDescent="0.25">
      <c r="A281" s="37">
        <v>251</v>
      </c>
      <c r="B281" s="3">
        <v>140</v>
      </c>
      <c r="C281" s="3">
        <v>2016</v>
      </c>
      <c r="D281" s="7">
        <v>42719</v>
      </c>
      <c r="E281" s="11"/>
      <c r="F281" s="3"/>
      <c r="G281" s="3" t="s">
        <v>355</v>
      </c>
      <c r="H281" s="6"/>
      <c r="I281" s="6" t="s">
        <v>144</v>
      </c>
      <c r="J281" s="3" t="s">
        <v>77</v>
      </c>
      <c r="K281" s="6">
        <v>35</v>
      </c>
      <c r="L281" s="3" t="s">
        <v>369</v>
      </c>
      <c r="M281" s="7"/>
      <c r="N281" s="6"/>
      <c r="O281" s="9">
        <f>0.47*Table2[[#This Row],[قيمة المحضر]]</f>
        <v>0</v>
      </c>
      <c r="P281" s="9">
        <f>0.17*Table2[[#This Row],[قيمة المحضر]]</f>
        <v>0</v>
      </c>
      <c r="Q281" s="9">
        <f t="shared" ca="1" si="25"/>
        <v>41300</v>
      </c>
      <c r="R281" s="3"/>
      <c r="S281" s="3"/>
      <c r="T281" s="9" t="str">
        <f t="shared" si="26"/>
        <v>-</v>
      </c>
      <c r="U281" s="3" t="s">
        <v>25</v>
      </c>
      <c r="V281" s="9" t="str">
        <f t="shared" si="27"/>
        <v>-</v>
      </c>
      <c r="W281" s="4"/>
      <c r="X281" s="38"/>
      <c r="Y281" s="1">
        <f t="shared" ca="1" si="28"/>
        <v>46162</v>
      </c>
      <c r="Z281" s="1" cm="1">
        <f t="array" ref="Z281">IF(D281&gt;DATE(2015,5,16),0,
K281*
(
INT((MIN(Y281,DATE(2015,5,16))-D281)/365)
+
CEILING(MOD((MIN(Y281,DATE(2015,5,16))-D281)/365,1),0.25)
)
*
_xlfn.SWITCH(J281,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81" s="1" cm="1">
        <f t="array" aca="1" ref="AA281" ca="1">IF(Y281&lt;DATE(2015,5,17),0,
K281*
(
INT((MIN(Y281,DATE(2018,9,23))-MAX(D281,DATE(2015,5,17)))/365)
+
CEILING(MOD((MIN(Y281,DATE(2018,9,23))-MAX(D281,DATE(2015,5,17)))/365,1),0.25)
)
*
_xlfn.SWITCH(J281,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1400</v>
      </c>
      <c r="AB281" s="1" cm="1">
        <f t="array" aca="1" ref="AB281" ca="1">IF(Y281&lt;DATE(2018,9,24),0,
IF(J281="زراعة",
K281*
(
INT((MIN(Y281,DATE(2023,4,30))-MAX(D281,DATE(2018,9,24)))/365)
+
CEILING(MOD((MIN(Y281,DATE(2023,4,30))-MAX(D281,DATE(2018,9,24)))/365,1),0.25)
)
*1,
K281*
(
DATEDIF(MAX(D281,DATE(2018,9,24)),MIN(Y281,DATE(2023,4,30)),"m")+1
)
*
_xlfn.SWITCH(J281,
"موقف/تندة",IF(D281&lt;DATE(2019,11,30),6,30),
"تشوينات",IF(D281&lt;DATE(2019,11,30),4,20),
"مشاتل",IF(D281&lt;DATE(2019,11,30),2,10),
"كافيتيريا",IF(D281&lt;DATE(2019,11,30),30,150),
"نوادي",IF(D281&lt;DATE(2019,11,30),6,30),
"رسو مراكب",IF(D281&lt;DATE(2019,11,30),2,10),
"مباني",IF(D281&lt;DATE(2018,9,24),2,10),
"عشش",IF(D281&lt;DATE(2019,11,30),2,10),
"كشك (تجاري/صناعي)",IF(D281&lt;DATE(2019,11,30),10,50),
"ردم",20,
0)))</f>
        <v>39200</v>
      </c>
      <c r="AC281" s="1" cm="1">
        <f t="array" aca="1" ref="AC281" ca="1">IF(Y281&lt;DATE(2023,5,1),0,
IF(J281="زراعة",
K281*
(
INT((Y281-MAX(DATE(2023,5,1),D281))/365)
+
CEILING(MOD((Y281-MAX(DATE(2023,5,1),D281))/365,1),0.25)
)
*3,
IF(J281="ردم",
K281*20,
K281*
(
DATEDIF(MAX(DATE(2023,5,1),D281),Y281,"m")+1
)
*
_xlfn.SWITCH(J281,
"موقف/تندة",6,
"تشوينات",4,
"مشاتل",2,
"رسو مراكب",6,
"مباني",3,
"عشش",1,
"كشك (تجاري/صناعي)",20,
"مواسير صرف صحي (&lt;1م)",16,
"مواسير صرف صحي (&gt;1م)",18,
0))))</f>
        <v>700</v>
      </c>
      <c r="AD281" s="1">
        <f t="shared" ca="1" si="29"/>
        <v>55</v>
      </c>
    </row>
    <row r="282" spans="1:30" ht="18.75" x14ac:dyDescent="0.25">
      <c r="A282" s="37">
        <v>252</v>
      </c>
      <c r="B282" s="3">
        <v>141</v>
      </c>
      <c r="C282" s="3">
        <v>2016</v>
      </c>
      <c r="D282" s="7">
        <v>42719</v>
      </c>
      <c r="E282" s="11"/>
      <c r="F282" s="3"/>
      <c r="G282" s="3" t="s">
        <v>356</v>
      </c>
      <c r="H282" s="6"/>
      <c r="I282" s="6" t="s">
        <v>378</v>
      </c>
      <c r="J282" s="3" t="s">
        <v>27</v>
      </c>
      <c r="K282" s="6">
        <v>77</v>
      </c>
      <c r="L282" s="3" t="s">
        <v>90</v>
      </c>
      <c r="M282" s="7"/>
      <c r="N282" s="6"/>
      <c r="O282" s="9">
        <f>0.47*Table2[[#This Row],[قيمة المحضر]]</f>
        <v>0</v>
      </c>
      <c r="P282" s="9">
        <f>0.17*Table2[[#This Row],[قيمة المحضر]]</f>
        <v>0</v>
      </c>
      <c r="Q282" s="9">
        <f t="shared" ca="1" si="25"/>
        <v>18403</v>
      </c>
      <c r="R282" s="3"/>
      <c r="S282" s="3"/>
      <c r="T282" s="9" t="str">
        <f t="shared" si="26"/>
        <v>-</v>
      </c>
      <c r="U282" s="3" t="s">
        <v>25</v>
      </c>
      <c r="V282" s="9" t="str">
        <f t="shared" si="27"/>
        <v>-</v>
      </c>
      <c r="W282" s="4"/>
      <c r="X282" s="38"/>
      <c r="Y282" s="1">
        <f t="shared" ca="1" si="28"/>
        <v>46162</v>
      </c>
      <c r="Z282" s="1" cm="1">
        <f t="array" ref="Z282">IF(D282&gt;DATE(2015,5,16),0,
K282*
(
INT((MIN(Y282,DATE(2015,5,16))-D282)/365)
+
CEILING(MOD((MIN(Y282,DATE(2015,5,16))-D282)/365,1),0.25)
)
*
_xlfn.SWITCH(J282,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82" s="1" cm="1">
        <f t="array" aca="1" ref="AA282" ca="1">IF(Y282&lt;DATE(2015,5,17),0,
K282*
(
INT((MIN(Y282,DATE(2018,9,23))-MAX(D282,DATE(2015,5,17)))/365)
+
CEILING(MOD((MIN(Y282,DATE(2018,9,23))-MAX(D282,DATE(2015,5,17)))/365,1),0.25)
)
*
_xlfn.SWITCH(J282,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1232</v>
      </c>
      <c r="AB282" s="1" cm="1">
        <f t="array" aca="1" ref="AB282" ca="1">IF(Y282&lt;DATE(2018,9,24),0,
IF(J282="زراعة",
K282*
(
INT((MIN(Y282,DATE(2023,4,30))-MAX(D282,DATE(2018,9,24)))/365)
+
CEILING(MOD((MIN(Y282,DATE(2023,4,30))-MAX(D282,DATE(2018,9,24)))/365,1),0.25)
)
*1,
K282*
(
DATEDIF(MAX(D282,DATE(2018,9,24)),MIN(Y282,DATE(2023,4,30)),"m")+1
)
*
_xlfn.SWITCH(J282,
"موقف/تندة",IF(D282&lt;DATE(2019,11,30),6,30),
"تشوينات",IF(D282&lt;DATE(2019,11,30),4,20),
"مشاتل",IF(D282&lt;DATE(2019,11,30),2,10),
"كافيتيريا",IF(D282&lt;DATE(2019,11,30),30,150),
"نوادي",IF(D282&lt;DATE(2019,11,30),6,30),
"رسو مراكب",IF(D282&lt;DATE(2019,11,30),2,10),
"مباني",IF(D282&lt;DATE(2018,9,24),2,10),
"عشش",IF(D282&lt;DATE(2019,11,30),2,10),
"كشك (تجاري/صناعي)",IF(D282&lt;DATE(2019,11,30),10,50),
"ردم",20,
0)))</f>
        <v>8624</v>
      </c>
      <c r="AC282" s="1" cm="1">
        <f t="array" aca="1" ref="AC282" ca="1">IF(Y282&lt;DATE(2023,5,1),0,
IF(J282="زراعة",
K282*
(
INT((Y282-MAX(DATE(2023,5,1),D282))/365)
+
CEILING(MOD((Y282-MAX(DATE(2023,5,1),D282))/365,1),0.25)
)
*3,
IF(J282="ردم",
K282*20,
K282*
(
DATEDIF(MAX(DATE(2023,5,1),D282),Y282,"m")+1
)
*
_xlfn.SWITCH(J282,
"موقف/تندة",6,
"تشوينات",4,
"مشاتل",2,
"رسو مراكب",6,
"مباني",3,
"عشش",1,
"كشك (تجاري/صناعي)",20,
"مواسير صرف صحي (&lt;1م)",16,
"مواسير صرف صحي (&gt;1م)",18,
0))))</f>
        <v>8547</v>
      </c>
      <c r="AD282" s="1">
        <f t="shared" ca="1" si="29"/>
        <v>55</v>
      </c>
    </row>
    <row r="283" spans="1:30" ht="18.75" x14ac:dyDescent="0.25">
      <c r="A283" s="37">
        <v>253</v>
      </c>
      <c r="B283" s="3">
        <v>142</v>
      </c>
      <c r="C283" s="3">
        <v>2016</v>
      </c>
      <c r="D283" s="7">
        <v>42719</v>
      </c>
      <c r="E283" s="11"/>
      <c r="F283" s="3"/>
      <c r="G283" s="3" t="s">
        <v>357</v>
      </c>
      <c r="H283" s="6"/>
      <c r="I283" s="6" t="s">
        <v>378</v>
      </c>
      <c r="J283" s="3" t="s">
        <v>27</v>
      </c>
      <c r="K283" s="6">
        <v>50</v>
      </c>
      <c r="L283" s="3" t="s">
        <v>90</v>
      </c>
      <c r="M283" s="7"/>
      <c r="N283" s="6"/>
      <c r="O283" s="9">
        <f>0.47*Table2[[#This Row],[قيمة المحضر]]</f>
        <v>0</v>
      </c>
      <c r="P283" s="9">
        <f>0.17*Table2[[#This Row],[قيمة المحضر]]</f>
        <v>0</v>
      </c>
      <c r="Q283" s="9">
        <f t="shared" ref="Q283:Q346" ca="1" si="30">Z283+AA283+AB283+AC283</f>
        <v>11950</v>
      </c>
      <c r="R283" s="3"/>
      <c r="S283" s="3"/>
      <c r="T283" s="9" t="str">
        <f t="shared" ref="T283:T346" si="31">IF(R283="تم الحجز",Q283+O283+N283,"-")</f>
        <v>-</v>
      </c>
      <c r="U283" s="3" t="s">
        <v>25</v>
      </c>
      <c r="V283" s="9" t="str">
        <f t="shared" ref="V283:V346" si="32">IF(OR(U283="قائم",U283="قائم و سدد مقابل انتفاع"),"-",
IF(U283="تم رد الشئ لأصله",P283+Q283,
IF(U283="ازالة جبرية",N283+O283+Q283,"")))</f>
        <v>-</v>
      </c>
      <c r="W283" s="4"/>
      <c r="X283" s="38"/>
      <c r="Y283" s="1">
        <f t="shared" ca="1" si="28"/>
        <v>46162</v>
      </c>
      <c r="Z283" s="1" cm="1">
        <f t="array" ref="Z283">IF(D283&gt;DATE(2015,5,16),0,
K283*
(
INT((MIN(Y283,DATE(2015,5,16))-D283)/365)
+
CEILING(MOD((MIN(Y283,DATE(2015,5,16))-D283)/365,1),0.25)
)
*
_xlfn.SWITCH(J283,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83" s="1" cm="1">
        <f t="array" aca="1" ref="AA283" ca="1">IF(Y283&lt;DATE(2015,5,17),0,
K283*
(
INT((MIN(Y283,DATE(2018,9,23))-MAX(D283,DATE(2015,5,17)))/365)
+
CEILING(MOD((MIN(Y283,DATE(2018,9,23))-MAX(D283,DATE(2015,5,17)))/365,1),0.25)
)
*
_xlfn.SWITCH(J283,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800</v>
      </c>
      <c r="AB283" s="1" cm="1">
        <f t="array" aca="1" ref="AB283" ca="1">IF(Y283&lt;DATE(2018,9,24),0,
IF(J283="زراعة",
K283*
(
INT((MIN(Y283,DATE(2023,4,30))-MAX(D283,DATE(2018,9,24)))/365)
+
CEILING(MOD((MIN(Y283,DATE(2023,4,30))-MAX(D283,DATE(2018,9,24)))/365,1),0.25)
)
*1,
K283*
(
DATEDIF(MAX(D283,DATE(2018,9,24)),MIN(Y283,DATE(2023,4,30)),"m")+1
)
*
_xlfn.SWITCH(J283,
"موقف/تندة",IF(D283&lt;DATE(2019,11,30),6,30),
"تشوينات",IF(D283&lt;DATE(2019,11,30),4,20),
"مشاتل",IF(D283&lt;DATE(2019,11,30),2,10),
"كافيتيريا",IF(D283&lt;DATE(2019,11,30),30,150),
"نوادي",IF(D283&lt;DATE(2019,11,30),6,30),
"رسو مراكب",IF(D283&lt;DATE(2019,11,30),2,10),
"مباني",IF(D283&lt;DATE(2018,9,24),2,10),
"عشش",IF(D283&lt;DATE(2019,11,30),2,10),
"كشك (تجاري/صناعي)",IF(D283&lt;DATE(2019,11,30),10,50),
"ردم",20,
0)))</f>
        <v>5600</v>
      </c>
      <c r="AC283" s="1" cm="1">
        <f t="array" aca="1" ref="AC283" ca="1">IF(Y283&lt;DATE(2023,5,1),0,
IF(J283="زراعة",
K283*
(
INT((Y283-MAX(DATE(2023,5,1),D283))/365)
+
CEILING(MOD((Y283-MAX(DATE(2023,5,1),D283))/365,1),0.25)
)
*3,
IF(J283="ردم",
K283*20,
K283*
(
DATEDIF(MAX(DATE(2023,5,1),D283),Y283,"m")+1
)
*
_xlfn.SWITCH(J283,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283" s="1">
        <f t="shared" ca="1" si="29"/>
        <v>55</v>
      </c>
    </row>
    <row r="284" spans="1:30" ht="18.75" x14ac:dyDescent="0.25">
      <c r="A284" s="37">
        <v>254</v>
      </c>
      <c r="B284" s="3">
        <v>143</v>
      </c>
      <c r="C284" s="3">
        <v>2016</v>
      </c>
      <c r="D284" s="7">
        <v>42719</v>
      </c>
      <c r="E284" s="11"/>
      <c r="F284" s="3"/>
      <c r="G284" s="3" t="s">
        <v>358</v>
      </c>
      <c r="H284" s="6"/>
      <c r="I284" s="6" t="s">
        <v>373</v>
      </c>
      <c r="J284" s="3" t="s">
        <v>27</v>
      </c>
      <c r="K284" s="6">
        <v>50</v>
      </c>
      <c r="L284" s="3" t="s">
        <v>88</v>
      </c>
      <c r="M284" s="7"/>
      <c r="N284" s="6"/>
      <c r="O284" s="9">
        <f>0.47*Table2[[#This Row],[قيمة المحضر]]</f>
        <v>0</v>
      </c>
      <c r="P284" s="9">
        <f>0.17*Table2[[#This Row],[قيمة المحضر]]</f>
        <v>0</v>
      </c>
      <c r="Q284" s="9">
        <f t="shared" ca="1" si="30"/>
        <v>11950</v>
      </c>
      <c r="R284" s="3"/>
      <c r="S284" s="3"/>
      <c r="T284" s="9" t="str">
        <f t="shared" si="31"/>
        <v>-</v>
      </c>
      <c r="U284" s="3" t="s">
        <v>25</v>
      </c>
      <c r="V284" s="9" t="str">
        <f t="shared" si="32"/>
        <v>-</v>
      </c>
      <c r="W284" s="4"/>
      <c r="X284" s="38"/>
      <c r="Y284" s="1">
        <f t="shared" ca="1" si="28"/>
        <v>46162</v>
      </c>
      <c r="Z284" s="1" cm="1">
        <f t="array" ref="Z284">IF(D284&gt;DATE(2015,5,16),0,
K284*
(
INT((MIN(Y284,DATE(2015,5,16))-D284)/365)
+
CEILING(MOD((MIN(Y284,DATE(2015,5,16))-D284)/365,1),0.25)
)
*
_xlfn.SWITCH(J284,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84" s="1" cm="1">
        <f t="array" aca="1" ref="AA284" ca="1">IF(Y284&lt;DATE(2015,5,17),0,
K284*
(
INT((MIN(Y284,DATE(2018,9,23))-MAX(D284,DATE(2015,5,17)))/365)
+
CEILING(MOD((MIN(Y284,DATE(2018,9,23))-MAX(D284,DATE(2015,5,17)))/365,1),0.25)
)
*
_xlfn.SWITCH(J284,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800</v>
      </c>
      <c r="AB284" s="1" cm="1">
        <f t="array" aca="1" ref="AB284" ca="1">IF(Y284&lt;DATE(2018,9,24),0,
IF(J284="زراعة",
K284*
(
INT((MIN(Y284,DATE(2023,4,30))-MAX(D284,DATE(2018,9,24)))/365)
+
CEILING(MOD((MIN(Y284,DATE(2023,4,30))-MAX(D284,DATE(2018,9,24)))/365,1),0.25)
)
*1,
K284*
(
DATEDIF(MAX(D284,DATE(2018,9,24)),MIN(Y284,DATE(2023,4,30)),"m")+1
)
*
_xlfn.SWITCH(J284,
"موقف/تندة",IF(D284&lt;DATE(2019,11,30),6,30),
"تشوينات",IF(D284&lt;DATE(2019,11,30),4,20),
"مشاتل",IF(D284&lt;DATE(2019,11,30),2,10),
"كافيتيريا",IF(D284&lt;DATE(2019,11,30),30,150),
"نوادي",IF(D284&lt;DATE(2019,11,30),6,30),
"رسو مراكب",IF(D284&lt;DATE(2019,11,30),2,10),
"مباني",IF(D284&lt;DATE(2018,9,24),2,10),
"عشش",IF(D284&lt;DATE(2019,11,30),2,10),
"كشك (تجاري/صناعي)",IF(D284&lt;DATE(2019,11,30),10,50),
"ردم",20,
0)))</f>
        <v>5600</v>
      </c>
      <c r="AC284" s="1" cm="1">
        <f t="array" aca="1" ref="AC284" ca="1">IF(Y284&lt;DATE(2023,5,1),0,
IF(J284="زراعة",
K284*
(
INT((Y284-MAX(DATE(2023,5,1),D284))/365)
+
CEILING(MOD((Y284-MAX(DATE(2023,5,1),D284))/365,1),0.25)
)
*3,
IF(J284="ردم",
K284*20,
K284*
(
DATEDIF(MAX(DATE(2023,5,1),D284),Y284,"m")+1
)
*
_xlfn.SWITCH(J284,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284" s="1">
        <f t="shared" ca="1" si="29"/>
        <v>55</v>
      </c>
    </row>
    <row r="285" spans="1:30" ht="18.75" x14ac:dyDescent="0.25">
      <c r="A285" s="37">
        <v>254</v>
      </c>
      <c r="B285" s="3">
        <v>143</v>
      </c>
      <c r="C285" s="3">
        <v>2016</v>
      </c>
      <c r="D285" s="7">
        <v>42719</v>
      </c>
      <c r="E285" s="11"/>
      <c r="F285" s="3"/>
      <c r="G285" s="3" t="s">
        <v>358</v>
      </c>
      <c r="H285" s="6"/>
      <c r="I285" s="6" t="s">
        <v>373</v>
      </c>
      <c r="J285" s="3" t="s">
        <v>146</v>
      </c>
      <c r="K285" s="6">
        <v>50</v>
      </c>
      <c r="L285" s="3" t="s">
        <v>88</v>
      </c>
      <c r="M285" s="7"/>
      <c r="N285" s="6"/>
      <c r="O285" s="9">
        <f>0.47*Table2[[#This Row],[قيمة المحضر]]</f>
        <v>0</v>
      </c>
      <c r="P285" s="9">
        <f>0.17*Table2[[#This Row],[قيمة المحضر]]</f>
        <v>0</v>
      </c>
      <c r="Q285" s="9">
        <f t="shared" ca="1" si="30"/>
        <v>755</v>
      </c>
      <c r="R285" s="3"/>
      <c r="S285" s="3"/>
      <c r="T285" s="9" t="str">
        <f t="shared" si="31"/>
        <v>-</v>
      </c>
      <c r="U285" s="3" t="s">
        <v>25</v>
      </c>
      <c r="V285" s="9" t="str">
        <f t="shared" si="32"/>
        <v>-</v>
      </c>
      <c r="W285" s="4"/>
      <c r="X285" s="38"/>
      <c r="Y285" s="1">
        <f t="shared" ca="1" si="28"/>
        <v>46162</v>
      </c>
      <c r="Z285" s="1" cm="1">
        <f t="array" ref="Z285">IF(D285&gt;DATE(2015,5,16),0,
K285*
(
INT((MIN(Y285,DATE(2015,5,16))-D285)/365)
+
CEILING(MOD((MIN(Y285,DATE(2015,5,16))-D285)/365,1),0.25)
)
*
_xlfn.SWITCH(J285,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85" s="1" cm="1">
        <f t="array" aca="1" ref="AA285" ca="1">IF(Y285&lt;DATE(2015,5,17),0,
K285*
(
INT((MIN(Y285,DATE(2018,9,23))-MAX(D285,DATE(2015,5,17)))/365)
+
CEILING(MOD((MIN(Y285,DATE(2018,9,23))-MAX(D285,DATE(2015,5,17)))/365,1),0.25)
)
*
_xlfn.SWITCH(J285,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30</v>
      </c>
      <c r="AB285" s="1" cm="1">
        <f t="array" aca="1" ref="AB285" ca="1">IF(Y285&lt;DATE(2018,9,24),0,
IF(J285="زراعة",
K285*
(
INT((MIN(Y285,DATE(2023,4,30))-MAX(D285,DATE(2018,9,24)))/365)
+
CEILING(MOD((MIN(Y285,DATE(2023,4,30))-MAX(D285,DATE(2018,9,24)))/365,1),0.25)
)
*1,
K285*
(
DATEDIF(MAX(D285,DATE(2018,9,24)),MIN(Y285,DATE(2023,4,30)),"m")+1
)
*
_xlfn.SWITCH(J285,
"موقف/تندة",IF(D285&lt;DATE(2019,11,30),6,30),
"تشوينات",IF(D285&lt;DATE(2019,11,30),4,20),
"مشاتل",IF(D285&lt;DATE(2019,11,30),2,10),
"كافيتيريا",IF(D285&lt;DATE(2019,11,30),30,150),
"نوادي",IF(D285&lt;DATE(2019,11,30),6,30),
"رسو مراكب",IF(D285&lt;DATE(2019,11,30),2,10),
"مباني",IF(D285&lt;DATE(2018,9,24),2,10),
"عشش",IF(D285&lt;DATE(2019,11,30),2,10),
"كشك (تجاري/صناعي)",IF(D285&lt;DATE(2019,11,30),10,50),
"ردم",20,
0)))</f>
        <v>237.5</v>
      </c>
      <c r="AC285" s="1" cm="1">
        <f t="array" aca="1" ref="AC285" ca="1">IF(Y285&lt;DATE(2023,5,1),0,
IF(J285="زراعة",
K285*
(
INT((Y285-MAX(DATE(2023,5,1),D285))/365)
+
CEILING(MOD((Y285-MAX(DATE(2023,5,1),D285))/365,1),0.25)
)
*3,
IF(J285="ردم",
K285*20,
K285*
(
DATEDIF(MAX(DATE(2023,5,1),D285),Y285,"m")+1
)
*
_xlfn.SWITCH(J285,
"موقف/تندة",6,
"تشوينات",4,
"مشاتل",2,
"رسو مراكب",6,
"مباني",3,
"عشش",1,
"كشك (تجاري/صناعي)",20,
"مواسير صرف صحي (&lt;1م)",16,
"مواسير صرف صحي (&gt;1م)",18,
0))))</f>
        <v>487.5</v>
      </c>
      <c r="AD285" s="1">
        <f t="shared" ca="1" si="29"/>
        <v>55</v>
      </c>
    </row>
    <row r="286" spans="1:30" ht="18.75" x14ac:dyDescent="0.25">
      <c r="A286" s="37">
        <v>255</v>
      </c>
      <c r="B286" s="3">
        <v>144</v>
      </c>
      <c r="C286" s="3">
        <v>2016</v>
      </c>
      <c r="D286" s="7">
        <v>42719</v>
      </c>
      <c r="E286" s="11"/>
      <c r="F286" s="3"/>
      <c r="G286" s="3" t="s">
        <v>121</v>
      </c>
      <c r="H286" s="6"/>
      <c r="I286" s="6" t="s">
        <v>143</v>
      </c>
      <c r="J286" s="3" t="s">
        <v>195</v>
      </c>
      <c r="K286" s="6"/>
      <c r="L286" s="3" t="s">
        <v>88</v>
      </c>
      <c r="M286" s="7"/>
      <c r="N286" s="6"/>
      <c r="O286" s="9">
        <f>0.47*Table2[[#This Row],[قيمة المحضر]]</f>
        <v>0</v>
      </c>
      <c r="P286" s="9">
        <f>0.17*Table2[[#This Row],[قيمة المحضر]]</f>
        <v>0</v>
      </c>
      <c r="Q286" s="9">
        <f t="shared" ca="1" si="30"/>
        <v>0</v>
      </c>
      <c r="R286" s="3"/>
      <c r="S286" s="3"/>
      <c r="T286" s="9" t="str">
        <f t="shared" si="31"/>
        <v>-</v>
      </c>
      <c r="U286" s="3" t="s">
        <v>25</v>
      </c>
      <c r="V286" s="9" t="str">
        <f t="shared" si="32"/>
        <v>-</v>
      </c>
      <c r="W286" s="4"/>
      <c r="X286" s="38"/>
      <c r="Y286" s="1">
        <f t="shared" ca="1" si="28"/>
        <v>46162</v>
      </c>
      <c r="Z286" s="1" cm="1">
        <f t="array" ref="Z286">IF(D286&gt;DATE(2015,5,16),0,
K286*
(
INT((MIN(Y286,DATE(2015,5,16))-D286)/365)
+
CEILING(MOD((MIN(Y286,DATE(2015,5,16))-D286)/365,1),0.25)
)
*
_xlfn.SWITCH(J286,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86" s="1" cm="1">
        <f t="array" aca="1" ref="AA286" ca="1">IF(Y286&lt;DATE(2015,5,17),0,
K286*
(
INT((MIN(Y286,DATE(2018,9,23))-MAX(D286,DATE(2015,5,17)))/365)
+
CEILING(MOD((MIN(Y286,DATE(2018,9,23))-MAX(D286,DATE(2015,5,17)))/365,1),0.25)
)
*
_xlfn.SWITCH(J286,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86" s="1" cm="1">
        <f t="array" aca="1" ref="AB286" ca="1">IF(Y286&lt;DATE(2018,9,24),0,
IF(J286="زراعة",
K286*
(
INT((MIN(Y286,DATE(2023,4,30))-MAX(D286,DATE(2018,9,24)))/365)
+
CEILING(MOD((MIN(Y286,DATE(2023,4,30))-MAX(D286,DATE(2018,9,24)))/365,1),0.25)
)
*1,
K286*
(
DATEDIF(MAX(D286,DATE(2018,9,24)),MIN(Y286,DATE(2023,4,30)),"m")+1
)
*
_xlfn.SWITCH(J286,
"موقف/تندة",IF(D286&lt;DATE(2019,11,30),6,30),
"تشوينات",IF(D286&lt;DATE(2019,11,30),4,20),
"مشاتل",IF(D286&lt;DATE(2019,11,30),2,10),
"كافيتيريا",IF(D286&lt;DATE(2019,11,30),30,150),
"نوادي",IF(D286&lt;DATE(2019,11,30),6,30),
"رسو مراكب",IF(D286&lt;DATE(2019,11,30),2,10),
"مباني",IF(D286&lt;DATE(2018,9,24),2,10),
"عشش",IF(D286&lt;DATE(2019,11,30),2,10),
"كشك (تجاري/صناعي)",IF(D286&lt;DATE(2019,11,30),10,50),
"ردم",20,
0)))</f>
        <v>0</v>
      </c>
      <c r="AC286" s="1" cm="1">
        <f t="array" aca="1" ref="AC286" ca="1">IF(Y286&lt;DATE(2023,5,1),0,
IF(J286="زراعة",
K286*
(
INT((Y286-MAX(DATE(2023,5,1),D286))/365)
+
CEILING(MOD((Y286-MAX(DATE(2023,5,1),D286))/365,1),0.25)
)
*3,
IF(J286="ردم",
K286*20,
K286*
(
DATEDIF(MAX(DATE(2023,5,1),D286),Y286,"m")+1
)
*
_xlfn.SWITCH(J286,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86" s="1">
        <f t="shared" ca="1" si="29"/>
        <v>55</v>
      </c>
    </row>
    <row r="287" spans="1:30" ht="19.5" thickBot="1" x14ac:dyDescent="0.3">
      <c r="A287" s="37">
        <v>256</v>
      </c>
      <c r="B287" s="40">
        <v>145</v>
      </c>
      <c r="C287" s="40">
        <v>2016</v>
      </c>
      <c r="D287" s="41">
        <v>42719</v>
      </c>
      <c r="E287" s="42"/>
      <c r="F287" s="40"/>
      <c r="G287" s="40" t="s">
        <v>383</v>
      </c>
      <c r="H287" s="40"/>
      <c r="I287" s="40" t="s">
        <v>144</v>
      </c>
      <c r="J287" s="40" t="s">
        <v>27</v>
      </c>
      <c r="K287" s="40">
        <v>70</v>
      </c>
      <c r="L287" s="40" t="s">
        <v>90</v>
      </c>
      <c r="M287" s="41"/>
      <c r="N287" s="40"/>
      <c r="O287" s="43">
        <f>0.47*Table2[[#This Row],[قيمة المحضر]]</f>
        <v>0</v>
      </c>
      <c r="P287" s="43">
        <f>0.17*Table2[[#This Row],[قيمة المحضر]]</f>
        <v>0</v>
      </c>
      <c r="Q287" s="43">
        <f t="shared" ca="1" si="30"/>
        <v>16730</v>
      </c>
      <c r="R287" s="40"/>
      <c r="S287" s="40"/>
      <c r="T287" s="43" t="str">
        <f t="shared" si="31"/>
        <v>-</v>
      </c>
      <c r="U287" s="40" t="s">
        <v>25</v>
      </c>
      <c r="V287" s="43" t="str">
        <f t="shared" si="32"/>
        <v>-</v>
      </c>
      <c r="W287" s="44"/>
      <c r="X287" s="45"/>
      <c r="Y287" s="1">
        <f t="shared" ca="1" si="28"/>
        <v>46162</v>
      </c>
      <c r="Z287" s="1" cm="1">
        <f t="array" ref="Z287">IF(D287&gt;DATE(2015,5,16),0,
K287*
(
INT((MIN(Y287,DATE(2015,5,16))-D287)/365)
+
CEILING(MOD((MIN(Y287,DATE(2015,5,16))-D287)/365,1),0.25)
)
*
_xlfn.SWITCH(J287,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87" s="1" cm="1">
        <f t="array" aca="1" ref="AA287" ca="1">IF(Y287&lt;DATE(2015,5,17),0,
K287*
(
INT((MIN(Y287,DATE(2018,9,23))-MAX(D287,DATE(2015,5,17)))/365)
+
CEILING(MOD((MIN(Y287,DATE(2018,9,23))-MAX(D287,DATE(2015,5,17)))/365,1),0.25)
)
*
_xlfn.SWITCH(J287,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1120</v>
      </c>
      <c r="AB287" s="1" cm="1">
        <f t="array" aca="1" ref="AB287" ca="1">IF(Y287&lt;DATE(2018,9,24),0,
IF(J287="زراعة",
K287*
(
INT((MIN(Y287,DATE(2023,4,30))-MAX(D287,DATE(2018,9,24)))/365)
+
CEILING(MOD((MIN(Y287,DATE(2023,4,30))-MAX(D287,DATE(2018,9,24)))/365,1),0.25)
)
*1,
K287*
(
DATEDIF(MAX(D287,DATE(2018,9,24)),MIN(Y287,DATE(2023,4,30)),"m")+1
)
*
_xlfn.SWITCH(J287,
"موقف/تندة",IF(D287&lt;DATE(2019,11,30),6,30),
"تشوينات",IF(D287&lt;DATE(2019,11,30),4,20),
"مشاتل",IF(D287&lt;DATE(2019,11,30),2,10),
"كافيتيريا",IF(D287&lt;DATE(2019,11,30),30,150),
"نوادي",IF(D287&lt;DATE(2019,11,30),6,30),
"رسو مراكب",IF(D287&lt;DATE(2019,11,30),2,10),
"مباني",IF(D287&lt;DATE(2018,9,24),2,10),
"عشش",IF(D287&lt;DATE(2019,11,30),2,10),
"كشك (تجاري/صناعي)",IF(D287&lt;DATE(2019,11,30),10,50),
"ردم",20,
0)))</f>
        <v>7840</v>
      </c>
      <c r="AC287" s="1" cm="1">
        <f t="array" aca="1" ref="AC287" ca="1">IF(Y287&lt;DATE(2023,5,1),0,
IF(J287="زراعة",
K287*
(
INT((Y287-MAX(DATE(2023,5,1),D287))/365)
+
CEILING(MOD((Y287-MAX(DATE(2023,5,1),D287))/365,1),0.25)
)
*3,
IF(J287="ردم",
K287*20,
K287*
(
DATEDIF(MAX(DATE(2023,5,1),D287),Y287,"m")+1
)
*
_xlfn.SWITCH(J287,
"موقف/تندة",6,
"تشوينات",4,
"مشاتل",2,
"رسو مراكب",6,
"مباني",3,
"عشش",1,
"كشك (تجاري/صناعي)",20,
"مواسير صرف صحي (&lt;1م)",16,
"مواسير صرف صحي (&gt;1م)",18,
0))))</f>
        <v>7770</v>
      </c>
      <c r="AD287" s="1">
        <f t="shared" ca="1" si="29"/>
        <v>55</v>
      </c>
    </row>
    <row r="288" spans="1:30" ht="18.75" x14ac:dyDescent="0.25">
      <c r="A288" s="54">
        <v>257</v>
      </c>
      <c r="B288" s="55">
        <v>1</v>
      </c>
      <c r="C288" s="55">
        <v>2017</v>
      </c>
      <c r="D288" s="56">
        <v>42736</v>
      </c>
      <c r="E288" s="57"/>
      <c r="F288" s="58"/>
      <c r="G288" s="55" t="s">
        <v>379</v>
      </c>
      <c r="H288" s="58"/>
      <c r="I288" s="58" t="s">
        <v>378</v>
      </c>
      <c r="J288" s="55" t="s">
        <v>438</v>
      </c>
      <c r="K288" s="58">
        <v>200</v>
      </c>
      <c r="L288" s="55" t="s">
        <v>90</v>
      </c>
      <c r="M288" s="56"/>
      <c r="N288" s="58"/>
      <c r="O288" s="34">
        <f>0.47*Table2[[#This Row],[قيمة المحضر]]</f>
        <v>0</v>
      </c>
      <c r="P288" s="34">
        <f>0.17*Table2[[#This Row],[قيمة المحضر]]</f>
        <v>0</v>
      </c>
      <c r="Q288" s="34">
        <f t="shared" ca="1" si="30"/>
        <v>77200</v>
      </c>
      <c r="R288" s="31"/>
      <c r="S288" s="31"/>
      <c r="T288" s="34" t="str">
        <f t="shared" si="31"/>
        <v>-</v>
      </c>
      <c r="U288" s="31" t="s">
        <v>25</v>
      </c>
      <c r="V288" s="34" t="str">
        <f t="shared" si="32"/>
        <v>-</v>
      </c>
      <c r="W288" s="35"/>
      <c r="X288" s="36"/>
      <c r="Y288" s="1">
        <f t="shared" ca="1" si="28"/>
        <v>46162</v>
      </c>
      <c r="Z288" s="1" cm="1">
        <f t="array" ref="Z288">IF(D288&gt;DATE(2015,5,16),0,
K288*
(
INT((MIN(Y288,DATE(2015,5,16))-D288)/365)
+
CEILING(MOD((MIN(Y288,DATE(2015,5,16))-D288)/365,1),0.25)
)
*
_xlfn.SWITCH(J288,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88" s="1" cm="1">
        <f t="array" aca="1" ref="AA288" ca="1">IF(Y288&lt;DATE(2015,5,17),0,
K288*
(
INT((MIN(Y288,DATE(2018,9,23))-MAX(D288,DATE(2015,5,17)))/365)
+
CEILING(MOD((MIN(Y288,DATE(2018,9,23))-MAX(D288,DATE(2015,5,17)))/365,1),0.25)
)
*
_xlfn.SWITCH(J288,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2800</v>
      </c>
      <c r="AB288" s="1" cm="1">
        <f t="array" aca="1" ref="AB288" ca="1">IF(Y288&lt;DATE(2018,9,24),0,
IF(J288="زراعة",
K288*
(
INT((MIN(Y288,DATE(2023,4,30))-MAX(D288,DATE(2018,9,24)))/365)
+
CEILING(MOD((MIN(Y288,DATE(2023,4,30))-MAX(D288,DATE(2018,9,24)))/365,1),0.25)
)
*1,
K288*
(
DATEDIF(MAX(D288,DATE(2018,9,24)),MIN(Y288,DATE(2023,4,30)),"m")+1
)
*
_xlfn.SWITCH(J288,
"موقف/تندة",IF(D288&lt;DATE(2019,11,30),6,30),
"تشوينات",IF(D288&lt;DATE(2019,11,30),4,20),
"مشاتل",IF(D288&lt;DATE(2019,11,30),2,10),
"كافيتيريا",IF(D288&lt;DATE(2019,11,30),30,150),
"نوادي",IF(D288&lt;DATE(2019,11,30),6,30),
"رسو مراكب",IF(D288&lt;DATE(2019,11,30),2,10),
"مباني",IF(D288&lt;DATE(2018,9,24),2,10),
"عشش",IF(D288&lt;DATE(2019,11,30),2,10),
"كشك (تجاري/صناعي)",IF(D288&lt;DATE(2019,11,30),10,50),
"ردم",20,
0)))</f>
        <v>44800</v>
      </c>
      <c r="AC288" s="1" cm="1">
        <f t="array" aca="1" ref="AC288" ca="1">IF(Y288&lt;DATE(2023,5,1),0,
IF(J288="زراعة",
K288*
(
INT((Y288-MAX(DATE(2023,5,1),D288))/365)
+
CEILING(MOD((Y288-MAX(DATE(2023,5,1),D288))/365,1),0.25)
)
*3,
IF(J288="ردم",
K288*20,
K288*
(
DATEDIF(MAX(DATE(2023,5,1),D288),Y288,"m")+1
)
*
_xlfn.SWITCH(J288,
"موقف/تندة",6,
"تشوينات",4,
"مشاتل",2,
"رسو مراكب",6,
"مباني",3,
"عشش",1,
"كشك (تجاري/صناعي)",20,
"مواسير صرف صحي (&lt;1م)",16,
"مواسير صرف صحي (&gt;1م)",18,
0))))</f>
        <v>29600</v>
      </c>
      <c r="AD288" s="1">
        <f t="shared" ca="1" si="29"/>
        <v>55</v>
      </c>
    </row>
    <row r="289" spans="1:30" ht="18.75" x14ac:dyDescent="0.25">
      <c r="A289" s="52">
        <v>258</v>
      </c>
      <c r="B289" s="6">
        <v>2</v>
      </c>
      <c r="C289" s="6">
        <v>2017</v>
      </c>
      <c r="D289" s="7">
        <v>42744</v>
      </c>
      <c r="E289" s="12"/>
      <c r="F289" s="6"/>
      <c r="G289" s="6" t="s">
        <v>380</v>
      </c>
      <c r="H289" s="6"/>
      <c r="I289" s="6" t="s">
        <v>378</v>
      </c>
      <c r="J289" s="3" t="s">
        <v>438</v>
      </c>
      <c r="K289" s="6"/>
      <c r="L289" s="3" t="s">
        <v>90</v>
      </c>
      <c r="M289" s="7"/>
      <c r="N289" s="6"/>
      <c r="O289" s="9">
        <f>0.47*Table2[[#This Row],[قيمة المحضر]]</f>
        <v>0</v>
      </c>
      <c r="P289" s="9">
        <f>0.17*Table2[[#This Row],[قيمة المحضر]]</f>
        <v>0</v>
      </c>
      <c r="Q289" s="9">
        <f t="shared" ca="1" si="30"/>
        <v>0</v>
      </c>
      <c r="R289" s="3"/>
      <c r="S289" s="3"/>
      <c r="T289" s="9" t="str">
        <f t="shared" si="31"/>
        <v>-</v>
      </c>
      <c r="U289" s="3" t="s">
        <v>25</v>
      </c>
      <c r="V289" s="9" t="str">
        <f t="shared" si="32"/>
        <v>-</v>
      </c>
      <c r="W289" s="4"/>
      <c r="X289" s="38"/>
      <c r="Y289" s="1">
        <f t="shared" ca="1" si="28"/>
        <v>46162</v>
      </c>
      <c r="Z289" s="1" cm="1">
        <f t="array" ref="Z289">IF(D289&gt;DATE(2015,5,16),0,
K289*
(
INT((MIN(Y289,DATE(2015,5,16))-D289)/365)
+
CEILING(MOD((MIN(Y289,DATE(2015,5,16))-D289)/365,1),0.25)
)
*
_xlfn.SWITCH(J289,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89" s="1" cm="1">
        <f t="array" aca="1" ref="AA289" ca="1">IF(Y289&lt;DATE(2015,5,17),0,
K289*
(
INT((MIN(Y289,DATE(2018,9,23))-MAX(D289,DATE(2015,5,17)))/365)
+
CEILING(MOD((MIN(Y289,DATE(2018,9,23))-MAX(D289,DATE(2015,5,17)))/365,1),0.25)
)
*
_xlfn.SWITCH(J289,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89" s="1" cm="1">
        <f t="array" aca="1" ref="AB289" ca="1">IF(Y289&lt;DATE(2018,9,24),0,
IF(J289="زراعة",
K289*
(
INT((MIN(Y289,DATE(2023,4,30))-MAX(D289,DATE(2018,9,24)))/365)
+
CEILING(MOD((MIN(Y289,DATE(2023,4,30))-MAX(D289,DATE(2018,9,24)))/365,1),0.25)
)
*1,
K289*
(
DATEDIF(MAX(D289,DATE(2018,9,24)),MIN(Y289,DATE(2023,4,30)),"m")+1
)
*
_xlfn.SWITCH(J289,
"موقف/تندة",IF(D289&lt;DATE(2019,11,30),6,30),
"تشوينات",IF(D289&lt;DATE(2019,11,30),4,20),
"مشاتل",IF(D289&lt;DATE(2019,11,30),2,10),
"كافيتيريا",IF(D289&lt;DATE(2019,11,30),30,150),
"نوادي",IF(D289&lt;DATE(2019,11,30),6,30),
"رسو مراكب",IF(D289&lt;DATE(2019,11,30),2,10),
"مباني",IF(D289&lt;DATE(2018,9,24),2,10),
"عشش",IF(D289&lt;DATE(2019,11,30),2,10),
"كشك (تجاري/صناعي)",IF(D289&lt;DATE(2019,11,30),10,50),
"ردم",20,
0)))</f>
        <v>0</v>
      </c>
      <c r="AC289" s="1" cm="1">
        <f t="array" aca="1" ref="AC289" ca="1">IF(Y289&lt;DATE(2023,5,1),0,
IF(J289="زراعة",
K289*
(
INT((Y289-MAX(DATE(2023,5,1),D289))/365)
+
CEILING(MOD((Y289-MAX(DATE(2023,5,1),D289))/365,1),0.25)
)
*3,
IF(J289="ردم",
K289*20,
K289*
(
DATEDIF(MAX(DATE(2023,5,1),D289),Y289,"m")+1
)
*
_xlfn.SWITCH(J289,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89" s="1">
        <f t="shared" ca="1" si="29"/>
        <v>55</v>
      </c>
    </row>
    <row r="290" spans="1:30" ht="18.75" x14ac:dyDescent="0.25">
      <c r="A290" s="53">
        <v>259</v>
      </c>
      <c r="B290" s="17">
        <v>3</v>
      </c>
      <c r="C290" s="17">
        <v>2017</v>
      </c>
      <c r="D290" s="18">
        <v>42744</v>
      </c>
      <c r="E290" s="16"/>
      <c r="F290" s="17"/>
      <c r="G290" s="17" t="s">
        <v>380</v>
      </c>
      <c r="H290" s="17"/>
      <c r="I290" s="17"/>
      <c r="J290" s="14" t="s">
        <v>146</v>
      </c>
      <c r="K290" s="17">
        <f>50*5</f>
        <v>250</v>
      </c>
      <c r="L290" s="14" t="s">
        <v>90</v>
      </c>
      <c r="M290" s="18"/>
      <c r="N290" s="17"/>
      <c r="O290" s="9">
        <f>0.47*Table2[[#This Row],[قيمة المحضر]]</f>
        <v>0</v>
      </c>
      <c r="P290" s="9">
        <f>0.17*Table2[[#This Row],[قيمة المحضر]]</f>
        <v>0</v>
      </c>
      <c r="Q290" s="9">
        <f t="shared" ca="1" si="30"/>
        <v>3756.25</v>
      </c>
      <c r="R290" s="3"/>
      <c r="S290" s="3"/>
      <c r="T290" s="9" t="str">
        <f t="shared" si="31"/>
        <v>-</v>
      </c>
      <c r="U290" s="3" t="s">
        <v>25</v>
      </c>
      <c r="V290" s="9" t="str">
        <f t="shared" si="32"/>
        <v>-</v>
      </c>
      <c r="W290" s="4"/>
      <c r="X290" s="38"/>
      <c r="Y290" s="1">
        <f t="shared" ca="1" si="28"/>
        <v>46162</v>
      </c>
      <c r="Z290" s="1" cm="1">
        <f t="array" ref="Z290">IF(D290&gt;DATE(2015,5,16),0,
K290*
(
INT((MIN(Y290,DATE(2015,5,16))-D290)/365)
+
CEILING(MOD((MIN(Y290,DATE(2015,5,16))-D290)/365,1),0.25)
)
*
_xlfn.SWITCH(J290,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90" s="1" cm="1">
        <f t="array" aca="1" ref="AA290" ca="1">IF(Y290&lt;DATE(2015,5,17),0,
K290*
(
INT((MIN(Y290,DATE(2018,9,23))-MAX(D290,DATE(2015,5,17)))/365)
+
CEILING(MOD((MIN(Y290,DATE(2018,9,23))-MAX(D290,DATE(2015,5,17)))/365,1),0.25)
)
*
_xlfn.SWITCH(J290,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131.25</v>
      </c>
      <c r="AB290" s="1" cm="1">
        <f t="array" aca="1" ref="AB290" ca="1">IF(Y290&lt;DATE(2018,9,24),0,
IF(J290="زراعة",
K290*
(
INT((MIN(Y290,DATE(2023,4,30))-MAX(D290,DATE(2018,9,24)))/365)
+
CEILING(MOD((MIN(Y290,DATE(2023,4,30))-MAX(D290,DATE(2018,9,24)))/365,1),0.25)
)
*1,
K290*
(
DATEDIF(MAX(D290,DATE(2018,9,24)),MIN(Y290,DATE(2023,4,30)),"m")+1
)
*
_xlfn.SWITCH(J290,
"موقف/تندة",IF(D290&lt;DATE(2019,11,30),6,30),
"تشوينات",IF(D290&lt;DATE(2019,11,30),4,20),
"مشاتل",IF(D290&lt;DATE(2019,11,30),2,10),
"كافيتيريا",IF(D290&lt;DATE(2019,11,30),30,150),
"نوادي",IF(D290&lt;DATE(2019,11,30),6,30),
"رسو مراكب",IF(D290&lt;DATE(2019,11,30),2,10),
"مباني",IF(D290&lt;DATE(2018,9,24),2,10),
"عشش",IF(D290&lt;DATE(2019,11,30),2,10),
"كشك (تجاري/صناعي)",IF(D290&lt;DATE(2019,11,30),10,50),
"ردم",20,
0)))</f>
        <v>1187.5</v>
      </c>
      <c r="AC290" s="1" cm="1">
        <f t="array" aca="1" ref="AC290" ca="1">IF(Y290&lt;DATE(2023,5,1),0,
IF(J290="زراعة",
K290*
(
INT((Y290-MAX(DATE(2023,5,1),D290))/365)
+
CEILING(MOD((Y290-MAX(DATE(2023,5,1),D290))/365,1),0.25)
)
*3,
IF(J290="ردم",
K290*20,
K290*
(
DATEDIF(MAX(DATE(2023,5,1),D290),Y290,"m")+1
)
*
_xlfn.SWITCH(J290,
"موقف/تندة",6,
"تشوينات",4,
"مشاتل",2,
"رسو مراكب",6,
"مباني",3,
"عشش",1,
"كشك (تجاري/صناعي)",20,
"مواسير صرف صحي (&lt;1م)",16,
"مواسير صرف صحي (&gt;1م)",18,
0))))</f>
        <v>2437.5</v>
      </c>
      <c r="AD290" s="1">
        <f t="shared" ca="1" si="29"/>
        <v>55</v>
      </c>
    </row>
    <row r="291" spans="1:30" ht="18.75" x14ac:dyDescent="0.25">
      <c r="A291" s="52">
        <v>260</v>
      </c>
      <c r="B291" s="6">
        <v>4</v>
      </c>
      <c r="C291" s="6">
        <v>2017</v>
      </c>
      <c r="D291" s="7">
        <v>42746</v>
      </c>
      <c r="E291" s="12"/>
      <c r="F291" s="6"/>
      <c r="G291" s="6" t="s">
        <v>381</v>
      </c>
      <c r="H291" s="6"/>
      <c r="I291" s="6" t="s">
        <v>105</v>
      </c>
      <c r="J291" s="3" t="s">
        <v>27</v>
      </c>
      <c r="K291" s="6">
        <f>4*13</f>
        <v>52</v>
      </c>
      <c r="L291" s="3" t="s">
        <v>90</v>
      </c>
      <c r="M291" s="7"/>
      <c r="N291" s="6"/>
      <c r="O291" s="9">
        <f>0.47*Table2[[#This Row],[قيمة المحضر]]</f>
        <v>0</v>
      </c>
      <c r="P291" s="9">
        <f>0.17*Table2[[#This Row],[قيمة المحضر]]</f>
        <v>0</v>
      </c>
      <c r="Q291" s="9">
        <f t="shared" ca="1" si="30"/>
        <v>12324</v>
      </c>
      <c r="R291" s="3"/>
      <c r="S291" s="3"/>
      <c r="T291" s="9" t="str">
        <f t="shared" si="31"/>
        <v>-</v>
      </c>
      <c r="U291" s="3" t="s">
        <v>25</v>
      </c>
      <c r="V291" s="9" t="str">
        <f t="shared" si="32"/>
        <v>-</v>
      </c>
      <c r="W291" s="4"/>
      <c r="X291" s="38"/>
      <c r="Y291" s="1">
        <f t="shared" ca="1" si="28"/>
        <v>46162</v>
      </c>
      <c r="Z291" s="1" cm="1">
        <f t="array" ref="Z291">IF(D291&gt;DATE(2015,5,16),0,
K291*
(
INT((MIN(Y291,DATE(2015,5,16))-D291)/365)
+
CEILING(MOD((MIN(Y291,DATE(2015,5,16))-D291)/365,1),0.25)
)
*
_xlfn.SWITCH(J291,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91" s="1" cm="1">
        <f t="array" aca="1" ref="AA291" ca="1">IF(Y291&lt;DATE(2015,5,17),0,
K291*
(
INT((MIN(Y291,DATE(2018,9,23))-MAX(D291,DATE(2015,5,17)))/365)
+
CEILING(MOD((MIN(Y291,DATE(2018,9,23))-MAX(D291,DATE(2015,5,17)))/365,1),0.25)
)
*
_xlfn.SWITCH(J291,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728</v>
      </c>
      <c r="AB291" s="1" cm="1">
        <f t="array" aca="1" ref="AB291" ca="1">IF(Y291&lt;DATE(2018,9,24),0,
IF(J291="زراعة",
K291*
(
INT((MIN(Y291,DATE(2023,4,30))-MAX(D291,DATE(2018,9,24)))/365)
+
CEILING(MOD((MIN(Y291,DATE(2023,4,30))-MAX(D291,DATE(2018,9,24)))/365,1),0.25)
)
*1,
K291*
(
DATEDIF(MAX(D291,DATE(2018,9,24)),MIN(Y291,DATE(2023,4,30)),"m")+1
)
*
_xlfn.SWITCH(J291,
"موقف/تندة",IF(D291&lt;DATE(2019,11,30),6,30),
"تشوينات",IF(D291&lt;DATE(2019,11,30),4,20),
"مشاتل",IF(D291&lt;DATE(2019,11,30),2,10),
"كافيتيريا",IF(D291&lt;DATE(2019,11,30),30,150),
"نوادي",IF(D291&lt;DATE(2019,11,30),6,30),
"رسو مراكب",IF(D291&lt;DATE(2019,11,30),2,10),
"مباني",IF(D291&lt;DATE(2018,9,24),2,10),
"عشش",IF(D291&lt;DATE(2019,11,30),2,10),
"كشك (تجاري/صناعي)",IF(D291&lt;DATE(2019,11,30),10,50),
"ردم",20,
0)))</f>
        <v>5824</v>
      </c>
      <c r="AC291" s="1" cm="1">
        <f t="array" aca="1" ref="AC291" ca="1">IF(Y291&lt;DATE(2023,5,1),0,
IF(J291="زراعة",
K291*
(
INT((Y291-MAX(DATE(2023,5,1),D291))/365)
+
CEILING(MOD((Y291-MAX(DATE(2023,5,1),D291))/365,1),0.25)
)
*3,
IF(J291="ردم",
K291*20,
K291*
(
DATEDIF(MAX(DATE(2023,5,1),D291),Y291,"m")+1
)
*
_xlfn.SWITCH(J291,
"موقف/تندة",6,
"تشوينات",4,
"مشاتل",2,
"رسو مراكب",6,
"مباني",3,
"عشش",1,
"كشك (تجاري/صناعي)",20,
"مواسير صرف صحي (&lt;1م)",16,
"مواسير صرف صحي (&gt;1م)",18,
0))))</f>
        <v>5772</v>
      </c>
      <c r="AD291" s="1">
        <f t="shared" ca="1" si="29"/>
        <v>55</v>
      </c>
    </row>
    <row r="292" spans="1:30" ht="18.75" x14ac:dyDescent="0.25">
      <c r="A292" s="52">
        <v>261</v>
      </c>
      <c r="B292" s="6">
        <v>5</v>
      </c>
      <c r="C292" s="6">
        <v>2017</v>
      </c>
      <c r="D292" s="7">
        <v>42746</v>
      </c>
      <c r="E292" s="12"/>
      <c r="F292" s="6"/>
      <c r="G292" s="6" t="s">
        <v>382</v>
      </c>
      <c r="H292" s="6"/>
      <c r="I292" s="6" t="s">
        <v>192</v>
      </c>
      <c r="J292" s="3" t="s">
        <v>29</v>
      </c>
      <c r="K292" s="6">
        <v>15</v>
      </c>
      <c r="L292" s="3" t="s">
        <v>90</v>
      </c>
      <c r="M292" s="7"/>
      <c r="N292" s="6"/>
      <c r="O292" s="9">
        <f>0.47*Table2[[#This Row],[قيمة المحضر]]</f>
        <v>0</v>
      </c>
      <c r="P292" s="9">
        <f>0.17*Table2[[#This Row],[قيمة المحضر]]</f>
        <v>0</v>
      </c>
      <c r="Q292" s="9">
        <f t="shared" ca="1" si="30"/>
        <v>22650</v>
      </c>
      <c r="R292" s="3"/>
      <c r="S292" s="3"/>
      <c r="T292" s="9" t="str">
        <f t="shared" si="31"/>
        <v>-</v>
      </c>
      <c r="U292" s="3" t="s">
        <v>25</v>
      </c>
      <c r="V292" s="9" t="str">
        <f t="shared" si="32"/>
        <v>-</v>
      </c>
      <c r="W292" s="4"/>
      <c r="X292" s="38"/>
      <c r="Y292" s="1">
        <f t="shared" ca="1" si="28"/>
        <v>46162</v>
      </c>
      <c r="Z292" s="1" cm="1">
        <f t="array" ref="Z292">IF(D292&gt;DATE(2015,5,16),0,
K292*
(
INT((MIN(Y292,DATE(2015,5,16))-D292)/365)
+
CEILING(MOD((MIN(Y292,DATE(2015,5,16))-D292)/365,1),0.25)
)
*
_xlfn.SWITCH(J292,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92" s="1" cm="1">
        <f t="array" aca="1" ref="AA292" ca="1">IF(Y292&lt;DATE(2015,5,17),0,
K292*
(
INT((MIN(Y292,DATE(2018,9,23))-MAX(D292,DATE(2015,5,17)))/365)
+
CEILING(MOD((MIN(Y292,DATE(2018,9,23))-MAX(D292,DATE(2015,5,17)))/365,1),0.25)
)
*
_xlfn.SWITCH(J292,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3150</v>
      </c>
      <c r="AB292" s="1" cm="1">
        <f t="array" aca="1" ref="AB292" ca="1">IF(Y292&lt;DATE(2018,9,24),0,
IF(J292="زراعة",
K292*
(
INT((MIN(Y292,DATE(2023,4,30))-MAX(D292,DATE(2018,9,24)))/365)
+
CEILING(MOD((MIN(Y292,DATE(2023,4,30))-MAX(D292,DATE(2018,9,24)))/365,1),0.25)
)
*1,
K292*
(
DATEDIF(MAX(D292,DATE(2018,9,24)),MIN(Y292,DATE(2023,4,30)),"m")+1
)
*
_xlfn.SWITCH(J292,
"موقف/تندة",IF(D292&lt;DATE(2019,11,30),6,30),
"تشوينات",IF(D292&lt;DATE(2019,11,30),4,20),
"مشاتل",IF(D292&lt;DATE(2019,11,30),2,10),
"كافيتيريا",IF(D292&lt;DATE(2019,11,30),30,150),
"نوادي",IF(D292&lt;DATE(2019,11,30),6,30),
"رسو مراكب",IF(D292&lt;DATE(2019,11,30),2,10),
"مباني",IF(D292&lt;DATE(2018,9,24),2,10),
"عشش",IF(D292&lt;DATE(2019,11,30),2,10),
"كشك (تجاري/صناعي)",IF(D292&lt;DATE(2019,11,30),10,50),
"ردم",20,
0)))</f>
        <v>8400</v>
      </c>
      <c r="AC292" s="1" cm="1">
        <f t="array" aca="1" ref="AC292" ca="1">IF(Y292&lt;DATE(2023,5,1),0,
IF(J292="زراعة",
K292*
(
INT((Y292-MAX(DATE(2023,5,1),D292))/365)
+
CEILING(MOD((Y292-MAX(DATE(2023,5,1),D292))/365,1),0.25)
)
*3,
IF(J292="ردم",
K292*20,
K292*
(
DATEDIF(MAX(DATE(2023,5,1),D292),Y292,"m")+1
)
*
_xlfn.SWITCH(J292,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292" s="1">
        <f t="shared" ca="1" si="29"/>
        <v>55</v>
      </c>
    </row>
    <row r="293" spans="1:30" ht="18.75" x14ac:dyDescent="0.25">
      <c r="A293" s="52">
        <v>262</v>
      </c>
      <c r="B293" s="6">
        <v>6</v>
      </c>
      <c r="C293" s="6">
        <v>2017</v>
      </c>
      <c r="D293" s="7">
        <v>42746</v>
      </c>
      <c r="E293" s="12"/>
      <c r="F293" s="6"/>
      <c r="G293" s="6" t="s">
        <v>383</v>
      </c>
      <c r="H293" s="6"/>
      <c r="I293" s="6" t="s">
        <v>144</v>
      </c>
      <c r="J293" s="3" t="s">
        <v>27</v>
      </c>
      <c r="K293" s="6">
        <f>2.5*4</f>
        <v>10</v>
      </c>
      <c r="L293" s="3" t="s">
        <v>90</v>
      </c>
      <c r="M293" s="7"/>
      <c r="N293" s="6"/>
      <c r="O293" s="9">
        <f>0.47*Table2[[#This Row],[قيمة المحضر]]</f>
        <v>0</v>
      </c>
      <c r="P293" s="9">
        <f>0.17*Table2[[#This Row],[قيمة المحضر]]</f>
        <v>0</v>
      </c>
      <c r="Q293" s="9">
        <f t="shared" ca="1" si="30"/>
        <v>2370</v>
      </c>
      <c r="R293" s="3"/>
      <c r="S293" s="3"/>
      <c r="T293" s="9" t="str">
        <f t="shared" si="31"/>
        <v>-</v>
      </c>
      <c r="U293" s="3" t="s">
        <v>25</v>
      </c>
      <c r="V293" s="9" t="str">
        <f t="shared" si="32"/>
        <v>-</v>
      </c>
      <c r="W293" s="4"/>
      <c r="X293" s="38"/>
      <c r="Y293" s="1">
        <f t="shared" ca="1" si="28"/>
        <v>46162</v>
      </c>
      <c r="Z293" s="1" cm="1">
        <f t="array" ref="Z293">IF(D293&gt;DATE(2015,5,16),0,
K293*
(
INT((MIN(Y293,DATE(2015,5,16))-D293)/365)
+
CEILING(MOD((MIN(Y293,DATE(2015,5,16))-D293)/365,1),0.25)
)
*
_xlfn.SWITCH(J293,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93" s="1" cm="1">
        <f t="array" aca="1" ref="AA293" ca="1">IF(Y293&lt;DATE(2015,5,17),0,
K293*
(
INT((MIN(Y293,DATE(2018,9,23))-MAX(D293,DATE(2015,5,17)))/365)
+
CEILING(MOD((MIN(Y293,DATE(2018,9,23))-MAX(D293,DATE(2015,5,17)))/365,1),0.25)
)
*
_xlfn.SWITCH(J293,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</v>
      </c>
      <c r="AB293" s="1" cm="1">
        <f t="array" aca="1" ref="AB293" ca="1">IF(Y293&lt;DATE(2018,9,24),0,
IF(J293="زراعة",
K293*
(
INT((MIN(Y293,DATE(2023,4,30))-MAX(D293,DATE(2018,9,24)))/365)
+
CEILING(MOD((MIN(Y293,DATE(2023,4,30))-MAX(D293,DATE(2018,9,24)))/365,1),0.25)
)
*1,
K293*
(
DATEDIF(MAX(D293,DATE(2018,9,24)),MIN(Y293,DATE(2023,4,30)),"m")+1
)
*
_xlfn.SWITCH(J293,
"موقف/تندة",IF(D293&lt;DATE(2019,11,30),6,30),
"تشوينات",IF(D293&lt;DATE(2019,11,30),4,20),
"مشاتل",IF(D293&lt;DATE(2019,11,30),2,10),
"كافيتيريا",IF(D293&lt;DATE(2019,11,30),30,150),
"نوادي",IF(D293&lt;DATE(2019,11,30),6,30),
"رسو مراكب",IF(D293&lt;DATE(2019,11,30),2,10),
"مباني",IF(D293&lt;DATE(2018,9,24),2,10),
"عشش",IF(D293&lt;DATE(2019,11,30),2,10),
"كشك (تجاري/صناعي)",IF(D293&lt;DATE(2019,11,30),10,50),
"ردم",20,
0)))</f>
        <v>1120</v>
      </c>
      <c r="AC293" s="1" cm="1">
        <f t="array" aca="1" ref="AC293" ca="1">IF(Y293&lt;DATE(2023,5,1),0,
IF(J293="زراعة",
K293*
(
INT((Y293-MAX(DATE(2023,5,1),D293))/365)
+
CEILING(MOD((Y293-MAX(DATE(2023,5,1),D293))/365,1),0.25)
)
*3,
IF(J293="ردم",
K293*20,
K293*
(
DATEDIF(MAX(DATE(2023,5,1),D293),Y293,"m")+1
)
*
_xlfn.SWITCH(J293,
"موقف/تندة",6,
"تشوينات",4,
"مشاتل",2,
"رسو مراكب",6,
"مباني",3,
"عشش",1,
"كشك (تجاري/صناعي)",20,
"مواسير صرف صحي (&lt;1م)",16,
"مواسير صرف صحي (&gt;1م)",18,
0))))</f>
        <v>1110</v>
      </c>
      <c r="AD293" s="1">
        <f t="shared" ca="1" si="29"/>
        <v>55</v>
      </c>
    </row>
    <row r="294" spans="1:30" ht="18.75" x14ac:dyDescent="0.25">
      <c r="A294" s="52">
        <v>263</v>
      </c>
      <c r="B294" s="6">
        <v>7</v>
      </c>
      <c r="C294" s="6">
        <v>2017</v>
      </c>
      <c r="D294" s="7">
        <v>42803</v>
      </c>
      <c r="E294" s="12"/>
      <c r="F294" s="6"/>
      <c r="G294" s="6" t="s">
        <v>384</v>
      </c>
      <c r="H294" s="6"/>
      <c r="I294" s="6" t="s">
        <v>436</v>
      </c>
      <c r="J294" s="3" t="s">
        <v>145</v>
      </c>
      <c r="K294" s="6"/>
      <c r="L294" s="3" t="s">
        <v>90</v>
      </c>
      <c r="M294" s="7"/>
      <c r="N294" s="6"/>
      <c r="O294" s="9">
        <f>0.47*Table2[[#This Row],[قيمة المحضر]]</f>
        <v>0</v>
      </c>
      <c r="P294" s="9">
        <f>0.17*Table2[[#This Row],[قيمة المحضر]]</f>
        <v>0</v>
      </c>
      <c r="Q294" s="9">
        <f t="shared" ca="1" si="30"/>
        <v>0</v>
      </c>
      <c r="R294" s="3"/>
      <c r="S294" s="3"/>
      <c r="T294" s="9" t="str">
        <f t="shared" si="31"/>
        <v>-</v>
      </c>
      <c r="U294" s="3" t="s">
        <v>25</v>
      </c>
      <c r="V294" s="9" t="str">
        <f t="shared" si="32"/>
        <v>-</v>
      </c>
      <c r="W294" s="4"/>
      <c r="X294" s="38"/>
      <c r="Y294" s="1">
        <f t="shared" ca="1" si="28"/>
        <v>46162</v>
      </c>
      <c r="Z294" s="1" cm="1">
        <f t="array" ref="Z294">IF(D294&gt;DATE(2015,5,16),0,
K294*
(
INT((MIN(Y294,DATE(2015,5,16))-D294)/365)
+
CEILING(MOD((MIN(Y294,DATE(2015,5,16))-D294)/365,1),0.25)
)
*
_xlfn.SWITCH(J294,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94" s="1" cm="1">
        <f t="array" aca="1" ref="AA294" ca="1">IF(Y294&lt;DATE(2015,5,17),0,
K294*
(
INT((MIN(Y294,DATE(2018,9,23))-MAX(D294,DATE(2015,5,17)))/365)
+
CEILING(MOD((MIN(Y294,DATE(2018,9,23))-MAX(D294,DATE(2015,5,17)))/365,1),0.25)
)
*
_xlfn.SWITCH(J294,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294" s="1" cm="1">
        <f t="array" aca="1" ref="AB294" ca="1">IF(Y294&lt;DATE(2018,9,24),0,
IF(J294="زراعة",
K294*
(
INT((MIN(Y294,DATE(2023,4,30))-MAX(D294,DATE(2018,9,24)))/365)
+
CEILING(MOD((MIN(Y294,DATE(2023,4,30))-MAX(D294,DATE(2018,9,24)))/365,1),0.25)
)
*1,
K294*
(
DATEDIF(MAX(D294,DATE(2018,9,24)),MIN(Y294,DATE(2023,4,30)),"m")+1
)
*
_xlfn.SWITCH(J294,
"موقف/تندة",IF(D294&lt;DATE(2019,11,30),6,30),
"تشوينات",IF(D294&lt;DATE(2019,11,30),4,20),
"مشاتل",IF(D294&lt;DATE(2019,11,30),2,10),
"كافيتيريا",IF(D294&lt;DATE(2019,11,30),30,150),
"نوادي",IF(D294&lt;DATE(2019,11,30),6,30),
"رسو مراكب",IF(D294&lt;DATE(2019,11,30),2,10),
"مباني",IF(D294&lt;DATE(2018,9,24),2,10),
"عشش",IF(D294&lt;DATE(2019,11,30),2,10),
"كشك (تجاري/صناعي)",IF(D294&lt;DATE(2019,11,30),10,50),
"ردم",20,
0)))</f>
        <v>0</v>
      </c>
      <c r="AC294" s="1" cm="1">
        <f t="array" aca="1" ref="AC294" ca="1">IF(Y294&lt;DATE(2023,5,1),0,
IF(J294="زراعة",
K294*
(
INT((Y294-MAX(DATE(2023,5,1),D294))/365)
+
CEILING(MOD((Y294-MAX(DATE(2023,5,1),D294))/365,1),0.25)
)
*3,
IF(J294="ردم",
K294*20,
K294*
(
DATEDIF(MAX(DATE(2023,5,1),D294),Y294,"m")+1
)
*
_xlfn.SWITCH(J294,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294" s="1">
        <f t="shared" ca="1" si="29"/>
        <v>55</v>
      </c>
    </row>
    <row r="295" spans="1:30" ht="18.75" x14ac:dyDescent="0.25">
      <c r="A295" s="52">
        <v>264</v>
      </c>
      <c r="B295" s="6">
        <v>8</v>
      </c>
      <c r="C295" s="6">
        <v>2017</v>
      </c>
      <c r="D295" s="7">
        <v>42803</v>
      </c>
      <c r="E295" s="12"/>
      <c r="F295" s="6"/>
      <c r="G295" s="6" t="s">
        <v>385</v>
      </c>
      <c r="H295" s="6"/>
      <c r="I295" s="6" t="s">
        <v>297</v>
      </c>
      <c r="J295" s="3" t="s">
        <v>146</v>
      </c>
      <c r="K295" s="6">
        <f>4*400</f>
        <v>1600</v>
      </c>
      <c r="L295" s="3" t="s">
        <v>88</v>
      </c>
      <c r="M295" s="7"/>
      <c r="N295" s="6"/>
      <c r="O295" s="9">
        <f>0.47*Table2[[#This Row],[قيمة المحضر]]</f>
        <v>0</v>
      </c>
      <c r="P295" s="9">
        <f>0.17*Table2[[#This Row],[قيمة المحضر]]</f>
        <v>0</v>
      </c>
      <c r="Q295" s="9">
        <f t="shared" ca="1" si="30"/>
        <v>24040</v>
      </c>
      <c r="R295" s="3"/>
      <c r="S295" s="3"/>
      <c r="T295" s="9" t="str">
        <f t="shared" si="31"/>
        <v>-</v>
      </c>
      <c r="U295" s="3" t="s">
        <v>25</v>
      </c>
      <c r="V295" s="9" t="str">
        <f t="shared" si="32"/>
        <v>-</v>
      </c>
      <c r="W295" s="4"/>
      <c r="X295" s="38"/>
      <c r="Y295" s="1">
        <f t="shared" ca="1" si="28"/>
        <v>46162</v>
      </c>
      <c r="Z295" s="1" cm="1">
        <f t="array" ref="Z295">IF(D295&gt;DATE(2015,5,16),0,
K295*
(
INT((MIN(Y295,DATE(2015,5,16))-D295)/365)
+
CEILING(MOD((MIN(Y295,DATE(2015,5,16))-D295)/365,1),0.25)
)
*
_xlfn.SWITCH(J295,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95" s="1" cm="1">
        <f t="array" aca="1" ref="AA295" ca="1">IF(Y295&lt;DATE(2015,5,17),0,
K295*
(
INT((MIN(Y295,DATE(2018,9,23))-MAX(D295,DATE(2015,5,17)))/365)
+
CEILING(MOD((MIN(Y295,DATE(2018,9,23))-MAX(D295,DATE(2015,5,17)))/365,1),0.25)
)
*
_xlfn.SWITCH(J295,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840</v>
      </c>
      <c r="AB295" s="1" cm="1">
        <f t="array" aca="1" ref="AB295" ca="1">IF(Y295&lt;DATE(2018,9,24),0,
IF(J295="زراعة",
K295*
(
INT((MIN(Y295,DATE(2023,4,30))-MAX(D295,DATE(2018,9,24)))/365)
+
CEILING(MOD((MIN(Y295,DATE(2023,4,30))-MAX(D295,DATE(2018,9,24)))/365,1),0.25)
)
*1,
K295*
(
DATEDIF(MAX(D295,DATE(2018,9,24)),MIN(Y295,DATE(2023,4,30)),"m")+1
)
*
_xlfn.SWITCH(J295,
"موقف/تندة",IF(D295&lt;DATE(2019,11,30),6,30),
"تشوينات",IF(D295&lt;DATE(2019,11,30),4,20),
"مشاتل",IF(D295&lt;DATE(2019,11,30),2,10),
"كافيتيريا",IF(D295&lt;DATE(2019,11,30),30,150),
"نوادي",IF(D295&lt;DATE(2019,11,30),6,30),
"رسو مراكب",IF(D295&lt;DATE(2019,11,30),2,10),
"مباني",IF(D295&lt;DATE(2018,9,24),2,10),
"عشش",IF(D295&lt;DATE(2019,11,30),2,10),
"كشك (تجاري/صناعي)",IF(D295&lt;DATE(2019,11,30),10,50),
"ردم",20,
0)))</f>
        <v>7600</v>
      </c>
      <c r="AC295" s="1" cm="1">
        <f t="array" aca="1" ref="AC295" ca="1">IF(Y295&lt;DATE(2023,5,1),0,
IF(J295="زراعة",
K295*
(
INT((Y295-MAX(DATE(2023,5,1),D295))/365)
+
CEILING(MOD((Y295-MAX(DATE(2023,5,1),D295))/365,1),0.25)
)
*3,
IF(J295="ردم",
K295*20,
K295*
(
DATEDIF(MAX(DATE(2023,5,1),D295),Y295,"m")+1
)
*
_xlfn.SWITCH(J295,
"موقف/تندة",6,
"تشوينات",4,
"مشاتل",2,
"رسو مراكب",6,
"مباني",3,
"عشش",1,
"كشك (تجاري/صناعي)",20,
"مواسير صرف صحي (&lt;1م)",16,
"مواسير صرف صحي (&gt;1م)",18,
0))))</f>
        <v>15600</v>
      </c>
      <c r="AD295" s="1">
        <f t="shared" ca="1" si="29"/>
        <v>55</v>
      </c>
    </row>
    <row r="296" spans="1:30" ht="18.75" x14ac:dyDescent="0.25">
      <c r="A296" s="52">
        <v>265</v>
      </c>
      <c r="B296" s="6">
        <v>9</v>
      </c>
      <c r="C296" s="6">
        <v>2017</v>
      </c>
      <c r="D296" s="7">
        <v>42803</v>
      </c>
      <c r="E296" s="12"/>
      <c r="F296" s="6"/>
      <c r="G296" s="6" t="s">
        <v>386</v>
      </c>
      <c r="H296" s="6"/>
      <c r="I296" s="6" t="s">
        <v>297</v>
      </c>
      <c r="J296" s="3" t="s">
        <v>146</v>
      </c>
      <c r="K296" s="6">
        <v>400</v>
      </c>
      <c r="L296" s="3" t="s">
        <v>88</v>
      </c>
      <c r="M296" s="7"/>
      <c r="N296" s="6"/>
      <c r="O296" s="9">
        <f>0.47*Table2[[#This Row],[قيمة المحضر]]</f>
        <v>0</v>
      </c>
      <c r="P296" s="9">
        <f>0.17*Table2[[#This Row],[قيمة المحضر]]</f>
        <v>0</v>
      </c>
      <c r="Q296" s="9">
        <f t="shared" ca="1" si="30"/>
        <v>6010</v>
      </c>
      <c r="R296" s="3"/>
      <c r="S296" s="3"/>
      <c r="T296" s="9" t="str">
        <f t="shared" si="31"/>
        <v>-</v>
      </c>
      <c r="U296" s="3" t="s">
        <v>25</v>
      </c>
      <c r="V296" s="9" t="str">
        <f t="shared" si="32"/>
        <v>-</v>
      </c>
      <c r="W296" s="4"/>
      <c r="X296" s="38"/>
      <c r="Y296" s="1">
        <f t="shared" ca="1" si="28"/>
        <v>46162</v>
      </c>
      <c r="Z296" s="1" cm="1">
        <f t="array" ref="Z296">IF(D296&gt;DATE(2015,5,16),0,
K296*
(
INT((MIN(Y296,DATE(2015,5,16))-D296)/365)
+
CEILING(MOD((MIN(Y296,DATE(2015,5,16))-D296)/365,1),0.25)
)
*
_xlfn.SWITCH(J296,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96" s="1" cm="1">
        <f t="array" aca="1" ref="AA296" ca="1">IF(Y296&lt;DATE(2015,5,17),0,
K296*
(
INT((MIN(Y296,DATE(2018,9,23))-MAX(D296,DATE(2015,5,17)))/365)
+
CEILING(MOD((MIN(Y296,DATE(2018,9,23))-MAX(D296,DATE(2015,5,17)))/365,1),0.25)
)
*
_xlfn.SWITCH(J296,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210</v>
      </c>
      <c r="AB296" s="1" cm="1">
        <f t="array" aca="1" ref="AB296" ca="1">IF(Y296&lt;DATE(2018,9,24),0,
IF(J296="زراعة",
K296*
(
INT((MIN(Y296,DATE(2023,4,30))-MAX(D296,DATE(2018,9,24)))/365)
+
CEILING(MOD((MIN(Y296,DATE(2023,4,30))-MAX(D296,DATE(2018,9,24)))/365,1),0.25)
)
*1,
K296*
(
DATEDIF(MAX(D296,DATE(2018,9,24)),MIN(Y296,DATE(2023,4,30)),"m")+1
)
*
_xlfn.SWITCH(J296,
"موقف/تندة",IF(D296&lt;DATE(2019,11,30),6,30),
"تشوينات",IF(D296&lt;DATE(2019,11,30),4,20),
"مشاتل",IF(D296&lt;DATE(2019,11,30),2,10),
"كافيتيريا",IF(D296&lt;DATE(2019,11,30),30,150),
"نوادي",IF(D296&lt;DATE(2019,11,30),6,30),
"رسو مراكب",IF(D296&lt;DATE(2019,11,30),2,10),
"مباني",IF(D296&lt;DATE(2018,9,24),2,10),
"عشش",IF(D296&lt;DATE(2019,11,30),2,10),
"كشك (تجاري/صناعي)",IF(D296&lt;DATE(2019,11,30),10,50),
"ردم",20,
0)))</f>
        <v>1900</v>
      </c>
      <c r="AC296" s="1" cm="1">
        <f t="array" aca="1" ref="AC296" ca="1">IF(Y296&lt;DATE(2023,5,1),0,
IF(J296="زراعة",
K296*
(
INT((Y296-MAX(DATE(2023,5,1),D296))/365)
+
CEILING(MOD((Y296-MAX(DATE(2023,5,1),D296))/365,1),0.25)
)
*3,
IF(J296="ردم",
K296*20,
K296*
(
DATEDIF(MAX(DATE(2023,5,1),D296),Y296,"m")+1
)
*
_xlfn.SWITCH(J296,
"موقف/تندة",6,
"تشوينات",4,
"مشاتل",2,
"رسو مراكب",6,
"مباني",3,
"عشش",1,
"كشك (تجاري/صناعي)",20,
"مواسير صرف صحي (&lt;1م)",16,
"مواسير صرف صحي (&gt;1م)",18,
0))))</f>
        <v>3900</v>
      </c>
      <c r="AD296" s="1">
        <f t="shared" ca="1" si="29"/>
        <v>55</v>
      </c>
    </row>
    <row r="297" spans="1:30" ht="18.75" x14ac:dyDescent="0.25">
      <c r="A297" s="52">
        <v>266</v>
      </c>
      <c r="B297" s="6">
        <v>10</v>
      </c>
      <c r="C297" s="6">
        <v>2017</v>
      </c>
      <c r="D297" s="7">
        <v>42803</v>
      </c>
      <c r="E297" s="12"/>
      <c r="F297" s="6"/>
      <c r="G297" s="6" t="s">
        <v>387</v>
      </c>
      <c r="H297" s="6"/>
      <c r="I297" s="6" t="s">
        <v>297</v>
      </c>
      <c r="J297" s="3" t="s">
        <v>146</v>
      </c>
      <c r="K297" s="6">
        <v>400</v>
      </c>
      <c r="L297" s="3" t="s">
        <v>88</v>
      </c>
      <c r="M297" s="7"/>
      <c r="N297" s="6"/>
      <c r="O297" s="9">
        <f>0.47*Table2[[#This Row],[قيمة المحضر]]</f>
        <v>0</v>
      </c>
      <c r="P297" s="9">
        <f>0.17*Table2[[#This Row],[قيمة المحضر]]</f>
        <v>0</v>
      </c>
      <c r="Q297" s="9">
        <f t="shared" ca="1" si="30"/>
        <v>6010</v>
      </c>
      <c r="R297" s="3"/>
      <c r="S297" s="3"/>
      <c r="T297" s="9" t="str">
        <f t="shared" si="31"/>
        <v>-</v>
      </c>
      <c r="U297" s="3" t="s">
        <v>25</v>
      </c>
      <c r="V297" s="9" t="str">
        <f t="shared" si="32"/>
        <v>-</v>
      </c>
      <c r="W297" s="4"/>
      <c r="X297" s="38"/>
      <c r="Y297" s="1">
        <f t="shared" ca="1" si="28"/>
        <v>46162</v>
      </c>
      <c r="Z297" s="1" cm="1">
        <f t="array" ref="Z297">IF(D297&gt;DATE(2015,5,16),0,
K297*
(
INT((MIN(Y297,DATE(2015,5,16))-D297)/365)
+
CEILING(MOD((MIN(Y297,DATE(2015,5,16))-D297)/365,1),0.25)
)
*
_xlfn.SWITCH(J297,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97" s="1" cm="1">
        <f t="array" aca="1" ref="AA297" ca="1">IF(Y297&lt;DATE(2015,5,17),0,
K297*
(
INT((MIN(Y297,DATE(2018,9,23))-MAX(D297,DATE(2015,5,17)))/365)
+
CEILING(MOD((MIN(Y297,DATE(2018,9,23))-MAX(D297,DATE(2015,5,17)))/365,1),0.25)
)
*
_xlfn.SWITCH(J297,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210</v>
      </c>
      <c r="AB297" s="1" cm="1">
        <f t="array" aca="1" ref="AB297" ca="1">IF(Y297&lt;DATE(2018,9,24),0,
IF(J297="زراعة",
K297*
(
INT((MIN(Y297,DATE(2023,4,30))-MAX(D297,DATE(2018,9,24)))/365)
+
CEILING(MOD((MIN(Y297,DATE(2023,4,30))-MAX(D297,DATE(2018,9,24)))/365,1),0.25)
)
*1,
K297*
(
DATEDIF(MAX(D297,DATE(2018,9,24)),MIN(Y297,DATE(2023,4,30)),"m")+1
)
*
_xlfn.SWITCH(J297,
"موقف/تندة",IF(D297&lt;DATE(2019,11,30),6,30),
"تشوينات",IF(D297&lt;DATE(2019,11,30),4,20),
"مشاتل",IF(D297&lt;DATE(2019,11,30),2,10),
"كافيتيريا",IF(D297&lt;DATE(2019,11,30),30,150),
"نوادي",IF(D297&lt;DATE(2019,11,30),6,30),
"رسو مراكب",IF(D297&lt;DATE(2019,11,30),2,10),
"مباني",IF(D297&lt;DATE(2018,9,24),2,10),
"عشش",IF(D297&lt;DATE(2019,11,30),2,10),
"كشك (تجاري/صناعي)",IF(D297&lt;DATE(2019,11,30),10,50),
"ردم",20,
0)))</f>
        <v>1900</v>
      </c>
      <c r="AC297" s="1" cm="1">
        <f t="array" aca="1" ref="AC297" ca="1">IF(Y297&lt;DATE(2023,5,1),0,
IF(J297="زراعة",
K297*
(
INT((Y297-MAX(DATE(2023,5,1),D297))/365)
+
CEILING(MOD((Y297-MAX(DATE(2023,5,1),D297))/365,1),0.25)
)
*3,
IF(J297="ردم",
K297*20,
K297*
(
DATEDIF(MAX(DATE(2023,5,1),D297),Y297,"m")+1
)
*
_xlfn.SWITCH(J297,
"موقف/تندة",6,
"تشوينات",4,
"مشاتل",2,
"رسو مراكب",6,
"مباني",3,
"عشش",1,
"كشك (تجاري/صناعي)",20,
"مواسير صرف صحي (&lt;1م)",16,
"مواسير صرف صحي (&gt;1م)",18,
0))))</f>
        <v>3900</v>
      </c>
      <c r="AD297" s="1">
        <f t="shared" ca="1" si="29"/>
        <v>55</v>
      </c>
    </row>
    <row r="298" spans="1:30" ht="18.75" x14ac:dyDescent="0.25">
      <c r="A298" s="52">
        <v>267</v>
      </c>
      <c r="B298" s="6">
        <v>11</v>
      </c>
      <c r="C298" s="6">
        <v>2017</v>
      </c>
      <c r="D298" s="7">
        <v>42803</v>
      </c>
      <c r="E298" s="12"/>
      <c r="F298" s="6"/>
      <c r="G298" s="6" t="s">
        <v>388</v>
      </c>
      <c r="H298" s="6"/>
      <c r="I298" s="6" t="s">
        <v>297</v>
      </c>
      <c r="J298" s="3" t="s">
        <v>28</v>
      </c>
      <c r="K298" s="6">
        <v>36</v>
      </c>
      <c r="L298" s="3" t="s">
        <v>88</v>
      </c>
      <c r="M298" s="7"/>
      <c r="N298" s="6"/>
      <c r="O298" s="9">
        <f>0.47*Table2[[#This Row],[قيمة المحضر]]</f>
        <v>0</v>
      </c>
      <c r="P298" s="9">
        <f>0.17*Table2[[#This Row],[قيمة المحضر]]</f>
        <v>0</v>
      </c>
      <c r="Q298" s="9">
        <f t="shared" ca="1" si="30"/>
        <v>5616</v>
      </c>
      <c r="R298" s="3"/>
      <c r="S298" s="3"/>
      <c r="T298" s="9" t="str">
        <f t="shared" si="31"/>
        <v>-</v>
      </c>
      <c r="U298" s="3" t="s">
        <v>25</v>
      </c>
      <c r="V298" s="9" t="str">
        <f t="shared" si="32"/>
        <v>-</v>
      </c>
      <c r="W298" s="4"/>
      <c r="X298" s="38"/>
      <c r="Y298" s="1">
        <f t="shared" ca="1" si="28"/>
        <v>46162</v>
      </c>
      <c r="Z298" s="1" cm="1">
        <f t="array" ref="Z298">IF(D298&gt;DATE(2015,5,16),0,
K298*
(
INT((MIN(Y298,DATE(2015,5,16))-D298)/365)
+
CEILING(MOD((MIN(Y298,DATE(2015,5,16))-D298)/365,1),0.25)
)
*
_xlfn.SWITCH(J298,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98" s="1" cm="1">
        <f t="array" aca="1" ref="AA298" ca="1">IF(Y298&lt;DATE(2015,5,17),0,
K298*
(
INT((MIN(Y298,DATE(2018,9,23))-MAX(D298,DATE(2015,5,17)))/365)
+
CEILING(MOD((MIN(Y298,DATE(2018,9,23))-MAX(D298,DATE(2015,5,17)))/365,1),0.25)
)
*
_xlfn.SWITCH(J298,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252</v>
      </c>
      <c r="AB298" s="1" cm="1">
        <f t="array" aca="1" ref="AB298" ca="1">IF(Y298&lt;DATE(2018,9,24),0,
IF(J298="زراعة",
K298*
(
INT((MIN(Y298,DATE(2023,4,30))-MAX(D298,DATE(2018,9,24)))/365)
+
CEILING(MOD((MIN(Y298,DATE(2023,4,30))-MAX(D298,DATE(2018,9,24)))/365,1),0.25)
)
*1,
K298*
(
DATEDIF(MAX(D298,DATE(2018,9,24)),MIN(Y298,DATE(2023,4,30)),"m")+1
)
*
_xlfn.SWITCH(J298,
"موقف/تندة",IF(D298&lt;DATE(2019,11,30),6,30),
"تشوينات",IF(D298&lt;DATE(2019,11,30),4,20),
"مشاتل",IF(D298&lt;DATE(2019,11,30),2,10),
"كافيتيريا",IF(D298&lt;DATE(2019,11,30),30,150),
"نوادي",IF(D298&lt;DATE(2019,11,30),6,30),
"رسو مراكب",IF(D298&lt;DATE(2019,11,30),2,10),
"مباني",IF(D298&lt;DATE(2018,9,24),2,10),
"عشش",IF(D298&lt;DATE(2019,11,30),2,10),
"كشك (تجاري/صناعي)",IF(D298&lt;DATE(2019,11,30),10,50),
"ردم",20,
0)))</f>
        <v>4032</v>
      </c>
      <c r="AC298" s="1" cm="1">
        <f t="array" aca="1" ref="AC298" ca="1">IF(Y298&lt;DATE(2023,5,1),0,
IF(J298="زراعة",
K298*
(
INT((Y298-MAX(DATE(2023,5,1),D298))/365)
+
CEILING(MOD((Y298-MAX(DATE(2023,5,1),D298))/365,1),0.25)
)
*3,
IF(J298="ردم",
K298*20,
K298*
(
DATEDIF(MAX(DATE(2023,5,1),D298),Y298,"m")+1
)
*
_xlfn.SWITCH(J298,
"موقف/تندة",6,
"تشوينات",4,
"مشاتل",2,
"رسو مراكب",6,
"مباني",3,
"عشش",1,
"كشك (تجاري/صناعي)",20,
"مواسير صرف صحي (&lt;1م)",16,
"مواسير صرف صحي (&gt;1م)",18,
0))))</f>
        <v>1332</v>
      </c>
      <c r="AD298" s="1">
        <f t="shared" ca="1" si="29"/>
        <v>55</v>
      </c>
    </row>
    <row r="299" spans="1:30" ht="18.75" x14ac:dyDescent="0.25">
      <c r="A299" s="52">
        <v>268</v>
      </c>
      <c r="B299" s="6">
        <v>12</v>
      </c>
      <c r="C299" s="6">
        <v>2017</v>
      </c>
      <c r="D299" s="7">
        <v>42803</v>
      </c>
      <c r="E299" s="12"/>
      <c r="F299" s="6"/>
      <c r="G299" s="6" t="s">
        <v>278</v>
      </c>
      <c r="H299" s="6"/>
      <c r="I299" s="6" t="s">
        <v>297</v>
      </c>
      <c r="J299" s="3" t="s">
        <v>28</v>
      </c>
      <c r="K299" s="6">
        <v>36</v>
      </c>
      <c r="L299" s="3" t="s">
        <v>88</v>
      </c>
      <c r="M299" s="7"/>
      <c r="N299" s="6"/>
      <c r="O299" s="9">
        <f>0.47*Table2[[#This Row],[قيمة المحضر]]</f>
        <v>0</v>
      </c>
      <c r="P299" s="9">
        <f>0.17*Table2[[#This Row],[قيمة المحضر]]</f>
        <v>0</v>
      </c>
      <c r="Q299" s="9">
        <f t="shared" ca="1" si="30"/>
        <v>5616</v>
      </c>
      <c r="R299" s="3"/>
      <c r="S299" s="3"/>
      <c r="T299" s="9" t="str">
        <f t="shared" si="31"/>
        <v>-</v>
      </c>
      <c r="U299" s="3" t="s">
        <v>25</v>
      </c>
      <c r="V299" s="9" t="str">
        <f t="shared" si="32"/>
        <v>-</v>
      </c>
      <c r="W299" s="4"/>
      <c r="X299" s="38"/>
      <c r="Y299" s="1">
        <f t="shared" ca="1" si="28"/>
        <v>46162</v>
      </c>
      <c r="Z299" s="1" cm="1">
        <f t="array" ref="Z299">IF(D299&gt;DATE(2015,5,16),0,
K299*
(
INT((MIN(Y299,DATE(2015,5,16))-D299)/365)
+
CEILING(MOD((MIN(Y299,DATE(2015,5,16))-D299)/365,1),0.25)
)
*
_xlfn.SWITCH(J299,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299" s="1" cm="1">
        <f t="array" aca="1" ref="AA299" ca="1">IF(Y299&lt;DATE(2015,5,17),0,
K299*
(
INT((MIN(Y299,DATE(2018,9,23))-MAX(D299,DATE(2015,5,17)))/365)
+
CEILING(MOD((MIN(Y299,DATE(2018,9,23))-MAX(D299,DATE(2015,5,17)))/365,1),0.25)
)
*
_xlfn.SWITCH(J299,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252</v>
      </c>
      <c r="AB299" s="1" cm="1">
        <f t="array" aca="1" ref="AB299" ca="1">IF(Y299&lt;DATE(2018,9,24),0,
IF(J299="زراعة",
K299*
(
INT((MIN(Y299,DATE(2023,4,30))-MAX(D299,DATE(2018,9,24)))/365)
+
CEILING(MOD((MIN(Y299,DATE(2023,4,30))-MAX(D299,DATE(2018,9,24)))/365,1),0.25)
)
*1,
K299*
(
DATEDIF(MAX(D299,DATE(2018,9,24)),MIN(Y299,DATE(2023,4,30)),"m")+1
)
*
_xlfn.SWITCH(J299,
"موقف/تندة",IF(D299&lt;DATE(2019,11,30),6,30),
"تشوينات",IF(D299&lt;DATE(2019,11,30),4,20),
"مشاتل",IF(D299&lt;DATE(2019,11,30),2,10),
"كافيتيريا",IF(D299&lt;DATE(2019,11,30),30,150),
"نوادي",IF(D299&lt;DATE(2019,11,30),6,30),
"رسو مراكب",IF(D299&lt;DATE(2019,11,30),2,10),
"مباني",IF(D299&lt;DATE(2018,9,24),2,10),
"عشش",IF(D299&lt;DATE(2019,11,30),2,10),
"كشك (تجاري/صناعي)",IF(D299&lt;DATE(2019,11,30),10,50),
"ردم",20,
0)))</f>
        <v>4032</v>
      </c>
      <c r="AC299" s="1" cm="1">
        <f t="array" aca="1" ref="AC299" ca="1">IF(Y299&lt;DATE(2023,5,1),0,
IF(J299="زراعة",
K299*
(
INT((Y299-MAX(DATE(2023,5,1),D299))/365)
+
CEILING(MOD((Y299-MAX(DATE(2023,5,1),D299))/365,1),0.25)
)
*3,
IF(J299="ردم",
K299*20,
K299*
(
DATEDIF(MAX(DATE(2023,5,1),D299),Y299,"m")+1
)
*
_xlfn.SWITCH(J299,
"موقف/تندة",6,
"تشوينات",4,
"مشاتل",2,
"رسو مراكب",6,
"مباني",3,
"عشش",1,
"كشك (تجاري/صناعي)",20,
"مواسير صرف صحي (&lt;1م)",16,
"مواسير صرف صحي (&gt;1م)",18,
0))))</f>
        <v>1332</v>
      </c>
      <c r="AD299" s="1">
        <f t="shared" ca="1" si="29"/>
        <v>55</v>
      </c>
    </row>
    <row r="300" spans="1:30" ht="18.75" x14ac:dyDescent="0.25">
      <c r="A300" s="52">
        <v>269</v>
      </c>
      <c r="B300" s="82">
        <v>13</v>
      </c>
      <c r="C300" s="6">
        <v>2017</v>
      </c>
      <c r="D300" s="7">
        <v>42803</v>
      </c>
      <c r="E300" s="12"/>
      <c r="F300" s="6"/>
      <c r="G300" s="6" t="s">
        <v>279</v>
      </c>
      <c r="H300" s="6"/>
      <c r="I300" s="6" t="s">
        <v>297</v>
      </c>
      <c r="J300" s="3" t="s">
        <v>77</v>
      </c>
      <c r="K300" s="6">
        <v>30</v>
      </c>
      <c r="L300" s="3" t="s">
        <v>88</v>
      </c>
      <c r="M300" s="7"/>
      <c r="N300" s="6"/>
      <c r="O300" s="9">
        <f>0.47*Table2[[#This Row],[قيمة المحضر]]</f>
        <v>0</v>
      </c>
      <c r="P300" s="9">
        <f>0.17*Table2[[#This Row],[قيمة المحضر]]</f>
        <v>0</v>
      </c>
      <c r="Q300" s="9">
        <f t="shared" ca="1" si="30"/>
        <v>35250</v>
      </c>
      <c r="R300" s="3"/>
      <c r="S300" s="3"/>
      <c r="T300" s="9" t="str">
        <f t="shared" si="31"/>
        <v>-</v>
      </c>
      <c r="U300" s="3" t="s">
        <v>25</v>
      </c>
      <c r="V300" s="9" t="str">
        <f t="shared" si="32"/>
        <v>-</v>
      </c>
      <c r="W300" s="4"/>
      <c r="X300" s="38"/>
      <c r="Y300" s="1">
        <f t="shared" ca="1" si="28"/>
        <v>46162</v>
      </c>
      <c r="Z300" s="1" cm="1">
        <f t="array" ref="Z300">IF(D300&gt;DATE(2015,5,16),0,
K300*
(
INT((MIN(Y300,DATE(2015,5,16))-D300)/365)
+
CEILING(MOD((MIN(Y300,DATE(2015,5,16))-D300)/365,1),0.25)
)
*
_xlfn.SWITCH(J300,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00" s="1" cm="1">
        <f t="array" aca="1" ref="AA300" ca="1">IF(Y300&lt;DATE(2015,5,17),0,
K300*
(
INT((MIN(Y300,DATE(2018,9,23))-MAX(D300,DATE(2015,5,17)))/365)
+
CEILING(MOD((MIN(Y300,DATE(2018,9,23))-MAX(D300,DATE(2015,5,17)))/365,1),0.25)
)
*
_xlfn.SWITCH(J300,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1050</v>
      </c>
      <c r="AB300" s="1" cm="1">
        <f t="array" aca="1" ref="AB300" ca="1">IF(Y300&lt;DATE(2018,9,24),0,
IF(J300="زراعة",
K300*
(
INT((MIN(Y300,DATE(2023,4,30))-MAX(D300,DATE(2018,9,24)))/365)
+
CEILING(MOD((MIN(Y300,DATE(2023,4,30))-MAX(D300,DATE(2018,9,24)))/365,1),0.25)
)
*1,
K300*
(
DATEDIF(MAX(D300,DATE(2018,9,24)),MIN(Y300,DATE(2023,4,30)),"m")+1
)
*
_xlfn.SWITCH(J300,
"موقف/تندة",IF(D300&lt;DATE(2019,11,30),6,30),
"تشوينات",IF(D300&lt;DATE(2019,11,30),4,20),
"مشاتل",IF(D300&lt;DATE(2019,11,30),2,10),
"كافيتيريا",IF(D300&lt;DATE(2019,11,30),30,150),
"نوادي",IF(D300&lt;DATE(2019,11,30),6,30),
"رسو مراكب",IF(D300&lt;DATE(2019,11,30),2,10),
"مباني",IF(D300&lt;DATE(2018,9,24),2,10),
"عشش",IF(D300&lt;DATE(2019,11,30),2,10),
"كشك (تجاري/صناعي)",IF(D300&lt;DATE(2019,11,30),10,50),
"ردم",20,
0)))</f>
        <v>33600</v>
      </c>
      <c r="AC300" s="1" cm="1">
        <f t="array" aca="1" ref="AC300" ca="1">IF(Y300&lt;DATE(2023,5,1),0,
IF(J300="زراعة",
K300*
(
INT((Y300-MAX(DATE(2023,5,1),D300))/365)
+
CEILING(MOD((Y300-MAX(DATE(2023,5,1),D300))/365,1),0.25)
)
*3,
IF(J300="ردم",
K300*20,
K300*
(
DATEDIF(MAX(DATE(2023,5,1),D300),Y300,"m")+1
)
*
_xlfn.SWITCH(J300,
"موقف/تندة",6,
"تشوينات",4,
"مشاتل",2,
"رسو مراكب",6,
"مباني",3,
"عشش",1,
"كشك (تجاري/صناعي)",20,
"مواسير صرف صحي (&lt;1م)",16,
"مواسير صرف صحي (&gt;1م)",18,
0))))</f>
        <v>600</v>
      </c>
      <c r="AD300" s="1">
        <f t="shared" ca="1" si="29"/>
        <v>55</v>
      </c>
    </row>
    <row r="301" spans="1:30" ht="18.75" x14ac:dyDescent="0.25">
      <c r="A301" s="52">
        <v>269</v>
      </c>
      <c r="B301" s="82">
        <v>13</v>
      </c>
      <c r="C301" s="6">
        <v>2017</v>
      </c>
      <c r="D301" s="7">
        <v>42803</v>
      </c>
      <c r="E301" s="12"/>
      <c r="F301" s="6"/>
      <c r="G301" s="6" t="s">
        <v>279</v>
      </c>
      <c r="H301" s="6"/>
      <c r="I301" s="6" t="s">
        <v>297</v>
      </c>
      <c r="J301" s="3" t="s">
        <v>28</v>
      </c>
      <c r="K301" s="6">
        <v>30</v>
      </c>
      <c r="L301" s="3" t="s">
        <v>88</v>
      </c>
      <c r="M301" s="7"/>
      <c r="N301" s="6"/>
      <c r="O301" s="9">
        <f>0.47*Table2[[#This Row],[قيمة المحضر]]</f>
        <v>0</v>
      </c>
      <c r="P301" s="9">
        <f>0.17*Table2[[#This Row],[قيمة المحضر]]</f>
        <v>0</v>
      </c>
      <c r="Q301" s="9">
        <f t="shared" ca="1" si="30"/>
        <v>4680</v>
      </c>
      <c r="R301" s="3"/>
      <c r="S301" s="3"/>
      <c r="T301" s="9" t="str">
        <f t="shared" si="31"/>
        <v>-</v>
      </c>
      <c r="U301" s="3" t="s">
        <v>25</v>
      </c>
      <c r="V301" s="9" t="str">
        <f t="shared" si="32"/>
        <v>-</v>
      </c>
      <c r="W301" s="4"/>
      <c r="X301" s="38"/>
      <c r="Y301" s="1">
        <f t="shared" ca="1" si="28"/>
        <v>46162</v>
      </c>
      <c r="Z301" s="1" cm="1">
        <f t="array" ref="Z301">IF(D301&gt;DATE(2015,5,16),0,
K301*
(
INT((MIN(Y301,DATE(2015,5,16))-D301)/365)
+
CEILING(MOD((MIN(Y301,DATE(2015,5,16))-D301)/365,1),0.25)
)
*
_xlfn.SWITCH(J301,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01" s="1" cm="1">
        <f t="array" aca="1" ref="AA301" ca="1">IF(Y301&lt;DATE(2015,5,17),0,
K301*
(
INT((MIN(Y301,DATE(2018,9,23))-MAX(D301,DATE(2015,5,17)))/365)
+
CEILING(MOD((MIN(Y301,DATE(2018,9,23))-MAX(D301,DATE(2015,5,17)))/365,1),0.25)
)
*
_xlfn.SWITCH(J301,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210</v>
      </c>
      <c r="AB301" s="1" cm="1">
        <f t="array" aca="1" ref="AB301" ca="1">IF(Y301&lt;DATE(2018,9,24),0,
IF(J301="زراعة",
K301*
(
INT((MIN(Y301,DATE(2023,4,30))-MAX(D301,DATE(2018,9,24)))/365)
+
CEILING(MOD((MIN(Y301,DATE(2023,4,30))-MAX(D301,DATE(2018,9,24)))/365,1),0.25)
)
*1,
K301*
(
DATEDIF(MAX(D301,DATE(2018,9,24)),MIN(Y301,DATE(2023,4,30)),"m")+1
)
*
_xlfn.SWITCH(J301,
"موقف/تندة",IF(D301&lt;DATE(2019,11,30),6,30),
"تشوينات",IF(D301&lt;DATE(2019,11,30),4,20),
"مشاتل",IF(D301&lt;DATE(2019,11,30),2,10),
"كافيتيريا",IF(D301&lt;DATE(2019,11,30),30,150),
"نوادي",IF(D301&lt;DATE(2019,11,30),6,30),
"رسو مراكب",IF(D301&lt;DATE(2019,11,30),2,10),
"مباني",IF(D301&lt;DATE(2018,9,24),2,10),
"عشش",IF(D301&lt;DATE(2019,11,30),2,10),
"كشك (تجاري/صناعي)",IF(D301&lt;DATE(2019,11,30),10,50),
"ردم",20,
0)))</f>
        <v>3360</v>
      </c>
      <c r="AC301" s="1" cm="1">
        <f t="array" aca="1" ref="AC301" ca="1">IF(Y301&lt;DATE(2023,5,1),0,
IF(J301="زراعة",
K301*
(
INT((Y301-MAX(DATE(2023,5,1),D301))/365)
+
CEILING(MOD((Y301-MAX(DATE(2023,5,1),D301))/365,1),0.25)
)
*3,
IF(J301="ردم",
K301*20,
K301*
(
DATEDIF(MAX(DATE(2023,5,1),D301),Y301,"m")+1
)
*
_xlfn.SWITCH(J301,
"موقف/تندة",6,
"تشوينات",4,
"مشاتل",2,
"رسو مراكب",6,
"مباني",3,
"عشش",1,
"كشك (تجاري/صناعي)",20,
"مواسير صرف صحي (&lt;1م)",16,
"مواسير صرف صحي (&gt;1م)",18,
0))))</f>
        <v>1110</v>
      </c>
      <c r="AD301" s="1">
        <f t="shared" ca="1" si="29"/>
        <v>55</v>
      </c>
    </row>
    <row r="302" spans="1:30" ht="18.75" x14ac:dyDescent="0.25">
      <c r="A302" s="52">
        <v>270</v>
      </c>
      <c r="B302" s="82">
        <v>14</v>
      </c>
      <c r="C302" s="6">
        <v>2017</v>
      </c>
      <c r="D302" s="7">
        <v>42803</v>
      </c>
      <c r="E302" s="12"/>
      <c r="F302" s="6"/>
      <c r="G302" s="6" t="s">
        <v>280</v>
      </c>
      <c r="H302" s="6"/>
      <c r="I302" s="6" t="s">
        <v>297</v>
      </c>
      <c r="J302" s="3" t="s">
        <v>77</v>
      </c>
      <c r="K302" s="6">
        <v>30</v>
      </c>
      <c r="L302" s="3" t="s">
        <v>88</v>
      </c>
      <c r="M302" s="7"/>
      <c r="N302" s="6"/>
      <c r="O302" s="9">
        <f>0.47*Table2[[#This Row],[قيمة المحضر]]</f>
        <v>0</v>
      </c>
      <c r="P302" s="9">
        <f>0.17*Table2[[#This Row],[قيمة المحضر]]</f>
        <v>0</v>
      </c>
      <c r="Q302" s="9">
        <f t="shared" ca="1" si="30"/>
        <v>35250</v>
      </c>
      <c r="R302" s="3"/>
      <c r="S302" s="3"/>
      <c r="T302" s="9" t="str">
        <f t="shared" si="31"/>
        <v>-</v>
      </c>
      <c r="U302" s="3" t="s">
        <v>25</v>
      </c>
      <c r="V302" s="9" t="str">
        <f t="shared" si="32"/>
        <v>-</v>
      </c>
      <c r="W302" s="4"/>
      <c r="X302" s="38"/>
      <c r="Y302" s="1">
        <f t="shared" ca="1" si="28"/>
        <v>46162</v>
      </c>
      <c r="Z302" s="1" cm="1">
        <f t="array" ref="Z302">IF(D302&gt;DATE(2015,5,16),0,
K302*
(
INT((MIN(Y302,DATE(2015,5,16))-D302)/365)
+
CEILING(MOD((MIN(Y302,DATE(2015,5,16))-D302)/365,1),0.25)
)
*
_xlfn.SWITCH(J302,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02" s="1" cm="1">
        <f t="array" aca="1" ref="AA302" ca="1">IF(Y302&lt;DATE(2015,5,17),0,
K302*
(
INT((MIN(Y302,DATE(2018,9,23))-MAX(D302,DATE(2015,5,17)))/365)
+
CEILING(MOD((MIN(Y302,DATE(2018,9,23))-MAX(D302,DATE(2015,5,17)))/365,1),0.25)
)
*
_xlfn.SWITCH(J302,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1050</v>
      </c>
      <c r="AB302" s="1" cm="1">
        <f t="array" aca="1" ref="AB302" ca="1">IF(Y302&lt;DATE(2018,9,24),0,
IF(J302="زراعة",
K302*
(
INT((MIN(Y302,DATE(2023,4,30))-MAX(D302,DATE(2018,9,24)))/365)
+
CEILING(MOD((MIN(Y302,DATE(2023,4,30))-MAX(D302,DATE(2018,9,24)))/365,1),0.25)
)
*1,
K302*
(
DATEDIF(MAX(D302,DATE(2018,9,24)),MIN(Y302,DATE(2023,4,30)),"m")+1
)
*
_xlfn.SWITCH(J302,
"موقف/تندة",IF(D302&lt;DATE(2019,11,30),6,30),
"تشوينات",IF(D302&lt;DATE(2019,11,30),4,20),
"مشاتل",IF(D302&lt;DATE(2019,11,30),2,10),
"كافيتيريا",IF(D302&lt;DATE(2019,11,30),30,150),
"نوادي",IF(D302&lt;DATE(2019,11,30),6,30),
"رسو مراكب",IF(D302&lt;DATE(2019,11,30),2,10),
"مباني",IF(D302&lt;DATE(2018,9,24),2,10),
"عشش",IF(D302&lt;DATE(2019,11,30),2,10),
"كشك (تجاري/صناعي)",IF(D302&lt;DATE(2019,11,30),10,50),
"ردم",20,
0)))</f>
        <v>33600</v>
      </c>
      <c r="AC302" s="1" cm="1">
        <f t="array" aca="1" ref="AC302" ca="1">IF(Y302&lt;DATE(2023,5,1),0,
IF(J302="زراعة",
K302*
(
INT((Y302-MAX(DATE(2023,5,1),D302))/365)
+
CEILING(MOD((Y302-MAX(DATE(2023,5,1),D302))/365,1),0.25)
)
*3,
IF(J302="ردم",
K302*20,
K302*
(
DATEDIF(MAX(DATE(2023,5,1),D302),Y302,"m")+1
)
*
_xlfn.SWITCH(J302,
"موقف/تندة",6,
"تشوينات",4,
"مشاتل",2,
"رسو مراكب",6,
"مباني",3,
"عشش",1,
"كشك (تجاري/صناعي)",20,
"مواسير صرف صحي (&lt;1م)",16,
"مواسير صرف صحي (&gt;1م)",18,
0))))</f>
        <v>600</v>
      </c>
      <c r="AD302" s="1">
        <f t="shared" ca="1" si="29"/>
        <v>55</v>
      </c>
    </row>
    <row r="303" spans="1:30" ht="18.75" x14ac:dyDescent="0.25">
      <c r="A303" s="52">
        <v>270</v>
      </c>
      <c r="B303" s="82">
        <v>14</v>
      </c>
      <c r="C303" s="6">
        <v>2017</v>
      </c>
      <c r="D303" s="7">
        <v>42803</v>
      </c>
      <c r="E303" s="12"/>
      <c r="F303" s="6"/>
      <c r="G303" s="6" t="s">
        <v>280</v>
      </c>
      <c r="H303" s="6"/>
      <c r="I303" s="6" t="s">
        <v>297</v>
      </c>
      <c r="J303" s="3" t="s">
        <v>28</v>
      </c>
      <c r="K303" s="6">
        <v>30</v>
      </c>
      <c r="L303" s="3" t="s">
        <v>88</v>
      </c>
      <c r="M303" s="7"/>
      <c r="N303" s="6"/>
      <c r="O303" s="9">
        <f>0.47*Table2[[#This Row],[قيمة المحضر]]</f>
        <v>0</v>
      </c>
      <c r="P303" s="9">
        <f>0.17*Table2[[#This Row],[قيمة المحضر]]</f>
        <v>0</v>
      </c>
      <c r="Q303" s="9">
        <f t="shared" ca="1" si="30"/>
        <v>4680</v>
      </c>
      <c r="R303" s="3"/>
      <c r="S303" s="3"/>
      <c r="T303" s="9" t="str">
        <f t="shared" si="31"/>
        <v>-</v>
      </c>
      <c r="U303" s="3" t="s">
        <v>25</v>
      </c>
      <c r="V303" s="9" t="str">
        <f t="shared" si="32"/>
        <v>-</v>
      </c>
      <c r="W303" s="4"/>
      <c r="X303" s="38"/>
      <c r="Y303" s="1">
        <f t="shared" ca="1" si="28"/>
        <v>46162</v>
      </c>
      <c r="Z303" s="1" cm="1">
        <f t="array" ref="Z303">IF(D303&gt;DATE(2015,5,16),0,
K303*
(
INT((MIN(Y303,DATE(2015,5,16))-D303)/365)
+
CEILING(MOD((MIN(Y303,DATE(2015,5,16))-D303)/365,1),0.25)
)
*
_xlfn.SWITCH(J303,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03" s="1" cm="1">
        <f t="array" aca="1" ref="AA303" ca="1">IF(Y303&lt;DATE(2015,5,17),0,
K303*
(
INT((MIN(Y303,DATE(2018,9,23))-MAX(D303,DATE(2015,5,17)))/365)
+
CEILING(MOD((MIN(Y303,DATE(2018,9,23))-MAX(D303,DATE(2015,5,17)))/365,1),0.25)
)
*
_xlfn.SWITCH(J303,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210</v>
      </c>
      <c r="AB303" s="1" cm="1">
        <f t="array" aca="1" ref="AB303" ca="1">IF(Y303&lt;DATE(2018,9,24),0,
IF(J303="زراعة",
K303*
(
INT((MIN(Y303,DATE(2023,4,30))-MAX(D303,DATE(2018,9,24)))/365)
+
CEILING(MOD((MIN(Y303,DATE(2023,4,30))-MAX(D303,DATE(2018,9,24)))/365,1),0.25)
)
*1,
K303*
(
DATEDIF(MAX(D303,DATE(2018,9,24)),MIN(Y303,DATE(2023,4,30)),"m")+1
)
*
_xlfn.SWITCH(J303,
"موقف/تندة",IF(D303&lt;DATE(2019,11,30),6,30),
"تشوينات",IF(D303&lt;DATE(2019,11,30),4,20),
"مشاتل",IF(D303&lt;DATE(2019,11,30),2,10),
"كافيتيريا",IF(D303&lt;DATE(2019,11,30),30,150),
"نوادي",IF(D303&lt;DATE(2019,11,30),6,30),
"رسو مراكب",IF(D303&lt;DATE(2019,11,30),2,10),
"مباني",IF(D303&lt;DATE(2018,9,24),2,10),
"عشش",IF(D303&lt;DATE(2019,11,30),2,10),
"كشك (تجاري/صناعي)",IF(D303&lt;DATE(2019,11,30),10,50),
"ردم",20,
0)))</f>
        <v>3360</v>
      </c>
      <c r="AC303" s="1" cm="1">
        <f t="array" aca="1" ref="AC303" ca="1">IF(Y303&lt;DATE(2023,5,1),0,
IF(J303="زراعة",
K303*
(
INT((Y303-MAX(DATE(2023,5,1),D303))/365)
+
CEILING(MOD((Y303-MAX(DATE(2023,5,1),D303))/365,1),0.25)
)
*3,
IF(J303="ردم",
K303*20,
K303*
(
DATEDIF(MAX(DATE(2023,5,1),D303),Y303,"m")+1
)
*
_xlfn.SWITCH(J303,
"موقف/تندة",6,
"تشوينات",4,
"مشاتل",2,
"رسو مراكب",6,
"مباني",3,
"عشش",1,
"كشك (تجاري/صناعي)",20,
"مواسير صرف صحي (&lt;1م)",16,
"مواسير صرف صحي (&gt;1م)",18,
0))))</f>
        <v>1110</v>
      </c>
      <c r="AD303" s="1">
        <f t="shared" ca="1" si="29"/>
        <v>55</v>
      </c>
    </row>
    <row r="304" spans="1:30" ht="18.75" x14ac:dyDescent="0.25">
      <c r="A304" s="52">
        <v>271</v>
      </c>
      <c r="B304" s="82">
        <v>15</v>
      </c>
      <c r="C304" s="6">
        <v>2017</v>
      </c>
      <c r="D304" s="7">
        <v>42803</v>
      </c>
      <c r="E304" s="12"/>
      <c r="F304" s="6"/>
      <c r="G304" s="6" t="s">
        <v>281</v>
      </c>
      <c r="H304" s="6"/>
      <c r="I304" s="6" t="s">
        <v>297</v>
      </c>
      <c r="J304" s="3" t="s">
        <v>77</v>
      </c>
      <c r="K304" s="6">
        <v>36</v>
      </c>
      <c r="L304" s="3" t="s">
        <v>88</v>
      </c>
      <c r="M304" s="7"/>
      <c r="N304" s="6"/>
      <c r="O304" s="9">
        <f>0.47*Table2[[#This Row],[قيمة المحضر]]</f>
        <v>0</v>
      </c>
      <c r="P304" s="9">
        <f>0.17*Table2[[#This Row],[قيمة المحضر]]</f>
        <v>0</v>
      </c>
      <c r="Q304" s="9">
        <f t="shared" ca="1" si="30"/>
        <v>42300</v>
      </c>
      <c r="R304" s="3"/>
      <c r="S304" s="3"/>
      <c r="T304" s="9" t="str">
        <f t="shared" si="31"/>
        <v>-</v>
      </c>
      <c r="U304" s="3" t="s">
        <v>25</v>
      </c>
      <c r="V304" s="9" t="str">
        <f t="shared" si="32"/>
        <v>-</v>
      </c>
      <c r="W304" s="4"/>
      <c r="X304" s="38"/>
      <c r="Y304" s="1">
        <f t="shared" ca="1" si="28"/>
        <v>46162</v>
      </c>
      <c r="Z304" s="1" cm="1">
        <f t="array" ref="Z304">IF(D304&gt;DATE(2015,5,16),0,
K304*
(
INT((MIN(Y304,DATE(2015,5,16))-D304)/365)
+
CEILING(MOD((MIN(Y304,DATE(2015,5,16))-D304)/365,1),0.25)
)
*
_xlfn.SWITCH(J304,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04" s="1" cm="1">
        <f t="array" aca="1" ref="AA304" ca="1">IF(Y304&lt;DATE(2015,5,17),0,
K304*
(
INT((MIN(Y304,DATE(2018,9,23))-MAX(D304,DATE(2015,5,17)))/365)
+
CEILING(MOD((MIN(Y304,DATE(2018,9,23))-MAX(D304,DATE(2015,5,17)))/365,1),0.25)
)
*
_xlfn.SWITCH(J304,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1260</v>
      </c>
      <c r="AB304" s="1" cm="1">
        <f t="array" aca="1" ref="AB304" ca="1">IF(Y304&lt;DATE(2018,9,24),0,
IF(J304="زراعة",
K304*
(
INT((MIN(Y304,DATE(2023,4,30))-MAX(D304,DATE(2018,9,24)))/365)
+
CEILING(MOD((MIN(Y304,DATE(2023,4,30))-MAX(D304,DATE(2018,9,24)))/365,1),0.25)
)
*1,
K304*
(
DATEDIF(MAX(D304,DATE(2018,9,24)),MIN(Y304,DATE(2023,4,30)),"m")+1
)
*
_xlfn.SWITCH(J304,
"موقف/تندة",IF(D304&lt;DATE(2019,11,30),6,30),
"تشوينات",IF(D304&lt;DATE(2019,11,30),4,20),
"مشاتل",IF(D304&lt;DATE(2019,11,30),2,10),
"كافيتيريا",IF(D304&lt;DATE(2019,11,30),30,150),
"نوادي",IF(D304&lt;DATE(2019,11,30),6,30),
"رسو مراكب",IF(D304&lt;DATE(2019,11,30),2,10),
"مباني",IF(D304&lt;DATE(2018,9,24),2,10),
"عشش",IF(D304&lt;DATE(2019,11,30),2,10),
"كشك (تجاري/صناعي)",IF(D304&lt;DATE(2019,11,30),10,50),
"ردم",20,
0)))</f>
        <v>40320</v>
      </c>
      <c r="AC304" s="1" cm="1">
        <f t="array" aca="1" ref="AC304" ca="1">IF(Y304&lt;DATE(2023,5,1),0,
IF(J304="زراعة",
K304*
(
INT((Y304-MAX(DATE(2023,5,1),D304))/365)
+
CEILING(MOD((Y304-MAX(DATE(2023,5,1),D304))/365,1),0.25)
)
*3,
IF(J304="ردم",
K304*20,
K304*
(
DATEDIF(MAX(DATE(2023,5,1),D304),Y304,"m")+1
)
*
_xlfn.SWITCH(J304,
"موقف/تندة",6,
"تشوينات",4,
"مشاتل",2,
"رسو مراكب",6,
"مباني",3,
"عشش",1,
"كشك (تجاري/صناعي)",20,
"مواسير صرف صحي (&lt;1م)",16,
"مواسير صرف صحي (&gt;1م)",18,
0))))</f>
        <v>720</v>
      </c>
      <c r="AD304" s="1">
        <f t="shared" ca="1" si="29"/>
        <v>55</v>
      </c>
    </row>
    <row r="305" spans="1:30" ht="18.75" x14ac:dyDescent="0.25">
      <c r="A305" s="52">
        <v>271</v>
      </c>
      <c r="B305" s="82">
        <v>15</v>
      </c>
      <c r="C305" s="6">
        <v>2017</v>
      </c>
      <c r="D305" s="7">
        <v>42803</v>
      </c>
      <c r="E305" s="12"/>
      <c r="F305" s="6"/>
      <c r="G305" s="6" t="s">
        <v>281</v>
      </c>
      <c r="H305" s="6"/>
      <c r="I305" s="6" t="s">
        <v>297</v>
      </c>
      <c r="J305" s="3" t="s">
        <v>28</v>
      </c>
      <c r="K305" s="6">
        <v>36</v>
      </c>
      <c r="L305" s="3" t="s">
        <v>88</v>
      </c>
      <c r="M305" s="7"/>
      <c r="N305" s="6"/>
      <c r="O305" s="9">
        <f>0.47*Table2[[#This Row],[قيمة المحضر]]</f>
        <v>0</v>
      </c>
      <c r="P305" s="9">
        <f>0.17*Table2[[#This Row],[قيمة المحضر]]</f>
        <v>0</v>
      </c>
      <c r="Q305" s="9">
        <f t="shared" ca="1" si="30"/>
        <v>5616</v>
      </c>
      <c r="R305" s="3"/>
      <c r="S305" s="3"/>
      <c r="T305" s="9" t="str">
        <f t="shared" si="31"/>
        <v>-</v>
      </c>
      <c r="U305" s="3" t="s">
        <v>25</v>
      </c>
      <c r="V305" s="9" t="str">
        <f t="shared" si="32"/>
        <v>-</v>
      </c>
      <c r="W305" s="4"/>
      <c r="X305" s="38"/>
      <c r="Y305" s="1">
        <f t="shared" ca="1" si="28"/>
        <v>46162</v>
      </c>
      <c r="Z305" s="1" cm="1">
        <f t="array" ref="Z305">IF(D305&gt;DATE(2015,5,16),0,
K305*
(
INT((MIN(Y305,DATE(2015,5,16))-D305)/365)
+
CEILING(MOD((MIN(Y305,DATE(2015,5,16))-D305)/365,1),0.25)
)
*
_xlfn.SWITCH(J305,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05" s="1" cm="1">
        <f t="array" aca="1" ref="AA305" ca="1">IF(Y305&lt;DATE(2015,5,17),0,
K305*
(
INT((MIN(Y305,DATE(2018,9,23))-MAX(D305,DATE(2015,5,17)))/365)
+
CEILING(MOD((MIN(Y305,DATE(2018,9,23))-MAX(D305,DATE(2015,5,17)))/365,1),0.25)
)
*
_xlfn.SWITCH(J305,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252</v>
      </c>
      <c r="AB305" s="1" cm="1">
        <f t="array" aca="1" ref="AB305" ca="1">IF(Y305&lt;DATE(2018,9,24),0,
IF(J305="زراعة",
K305*
(
INT((MIN(Y305,DATE(2023,4,30))-MAX(D305,DATE(2018,9,24)))/365)
+
CEILING(MOD((MIN(Y305,DATE(2023,4,30))-MAX(D305,DATE(2018,9,24)))/365,1),0.25)
)
*1,
K305*
(
DATEDIF(MAX(D305,DATE(2018,9,24)),MIN(Y305,DATE(2023,4,30)),"m")+1
)
*
_xlfn.SWITCH(J305,
"موقف/تندة",IF(D305&lt;DATE(2019,11,30),6,30),
"تشوينات",IF(D305&lt;DATE(2019,11,30),4,20),
"مشاتل",IF(D305&lt;DATE(2019,11,30),2,10),
"كافيتيريا",IF(D305&lt;DATE(2019,11,30),30,150),
"نوادي",IF(D305&lt;DATE(2019,11,30),6,30),
"رسو مراكب",IF(D305&lt;DATE(2019,11,30),2,10),
"مباني",IF(D305&lt;DATE(2018,9,24),2,10),
"عشش",IF(D305&lt;DATE(2019,11,30),2,10),
"كشك (تجاري/صناعي)",IF(D305&lt;DATE(2019,11,30),10,50),
"ردم",20,
0)))</f>
        <v>4032</v>
      </c>
      <c r="AC305" s="1" cm="1">
        <f t="array" aca="1" ref="AC305" ca="1">IF(Y305&lt;DATE(2023,5,1),0,
IF(J305="زراعة",
K305*
(
INT((Y305-MAX(DATE(2023,5,1),D305))/365)
+
CEILING(MOD((Y305-MAX(DATE(2023,5,1),D305))/365,1),0.25)
)
*3,
IF(J305="ردم",
K305*20,
K305*
(
DATEDIF(MAX(DATE(2023,5,1),D305),Y305,"m")+1
)
*
_xlfn.SWITCH(J305,
"موقف/تندة",6,
"تشوينات",4,
"مشاتل",2,
"رسو مراكب",6,
"مباني",3,
"عشش",1,
"كشك (تجاري/صناعي)",20,
"مواسير صرف صحي (&lt;1م)",16,
"مواسير صرف صحي (&gt;1م)",18,
0))))</f>
        <v>1332</v>
      </c>
      <c r="AD305" s="1">
        <f t="shared" ca="1" si="29"/>
        <v>55</v>
      </c>
    </row>
    <row r="306" spans="1:30" ht="18.75" x14ac:dyDescent="0.25">
      <c r="A306" s="52">
        <v>272</v>
      </c>
      <c r="B306" s="82">
        <v>16</v>
      </c>
      <c r="C306" s="6">
        <v>2017</v>
      </c>
      <c r="D306" s="7">
        <v>42803</v>
      </c>
      <c r="E306" s="12"/>
      <c r="F306" s="6"/>
      <c r="G306" s="6" t="s">
        <v>389</v>
      </c>
      <c r="H306" s="6"/>
      <c r="I306" s="6" t="s">
        <v>297</v>
      </c>
      <c r="J306" s="3" t="s">
        <v>77</v>
      </c>
      <c r="K306" s="6">
        <v>25</v>
      </c>
      <c r="L306" s="3" t="s">
        <v>88</v>
      </c>
      <c r="M306" s="7"/>
      <c r="N306" s="6"/>
      <c r="O306" s="9">
        <f>0.47*Table2[[#This Row],[قيمة المحضر]]</f>
        <v>0</v>
      </c>
      <c r="P306" s="9">
        <f>0.17*Table2[[#This Row],[قيمة المحضر]]</f>
        <v>0</v>
      </c>
      <c r="Q306" s="9">
        <f t="shared" ca="1" si="30"/>
        <v>29375</v>
      </c>
      <c r="R306" s="3"/>
      <c r="S306" s="3"/>
      <c r="T306" s="9" t="str">
        <f t="shared" si="31"/>
        <v>-</v>
      </c>
      <c r="U306" s="3" t="s">
        <v>25</v>
      </c>
      <c r="V306" s="9" t="str">
        <f t="shared" si="32"/>
        <v>-</v>
      </c>
      <c r="W306" s="4"/>
      <c r="X306" s="38"/>
      <c r="Y306" s="1">
        <f t="shared" ca="1" si="28"/>
        <v>46162</v>
      </c>
      <c r="Z306" s="1" cm="1">
        <f t="array" ref="Z306">IF(D306&gt;DATE(2015,5,16),0,
K306*
(
INT((MIN(Y306,DATE(2015,5,16))-D306)/365)
+
CEILING(MOD((MIN(Y306,DATE(2015,5,16))-D306)/365,1),0.25)
)
*
_xlfn.SWITCH(J306,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06" s="1" cm="1">
        <f t="array" aca="1" ref="AA306" ca="1">IF(Y306&lt;DATE(2015,5,17),0,
K306*
(
INT((MIN(Y306,DATE(2018,9,23))-MAX(D306,DATE(2015,5,17)))/365)
+
CEILING(MOD((MIN(Y306,DATE(2018,9,23))-MAX(D306,DATE(2015,5,17)))/365,1),0.25)
)
*
_xlfn.SWITCH(J306,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875</v>
      </c>
      <c r="AB306" s="1" cm="1">
        <f t="array" aca="1" ref="AB306" ca="1">IF(Y306&lt;DATE(2018,9,24),0,
IF(J306="زراعة",
K306*
(
INT((MIN(Y306,DATE(2023,4,30))-MAX(D306,DATE(2018,9,24)))/365)
+
CEILING(MOD((MIN(Y306,DATE(2023,4,30))-MAX(D306,DATE(2018,9,24)))/365,1),0.25)
)
*1,
K306*
(
DATEDIF(MAX(D306,DATE(2018,9,24)),MIN(Y306,DATE(2023,4,30)),"m")+1
)
*
_xlfn.SWITCH(J306,
"موقف/تندة",IF(D306&lt;DATE(2019,11,30),6,30),
"تشوينات",IF(D306&lt;DATE(2019,11,30),4,20),
"مشاتل",IF(D306&lt;DATE(2019,11,30),2,10),
"كافيتيريا",IF(D306&lt;DATE(2019,11,30),30,150),
"نوادي",IF(D306&lt;DATE(2019,11,30),6,30),
"رسو مراكب",IF(D306&lt;DATE(2019,11,30),2,10),
"مباني",IF(D306&lt;DATE(2018,9,24),2,10),
"عشش",IF(D306&lt;DATE(2019,11,30),2,10),
"كشك (تجاري/صناعي)",IF(D306&lt;DATE(2019,11,30),10,50),
"ردم",20,
0)))</f>
        <v>28000</v>
      </c>
      <c r="AC306" s="1" cm="1">
        <f t="array" aca="1" ref="AC306" ca="1">IF(Y306&lt;DATE(2023,5,1),0,
IF(J306="زراعة",
K306*
(
INT((Y306-MAX(DATE(2023,5,1),D306))/365)
+
CEILING(MOD((Y306-MAX(DATE(2023,5,1),D306))/365,1),0.25)
)
*3,
IF(J306="ردم",
K306*20,
K306*
(
DATEDIF(MAX(DATE(2023,5,1),D306),Y306,"m")+1
)
*
_xlfn.SWITCH(J306,
"موقف/تندة",6,
"تشوينات",4,
"مشاتل",2,
"رسو مراكب",6,
"مباني",3,
"عشش",1,
"كشك (تجاري/صناعي)",20,
"مواسير صرف صحي (&lt;1م)",16,
"مواسير صرف صحي (&gt;1م)",18,
0))))</f>
        <v>500</v>
      </c>
      <c r="AD306" s="1">
        <f t="shared" ca="1" si="29"/>
        <v>55</v>
      </c>
    </row>
    <row r="307" spans="1:30" ht="18.75" x14ac:dyDescent="0.25">
      <c r="A307" s="52">
        <v>272</v>
      </c>
      <c r="B307" s="82">
        <v>16</v>
      </c>
      <c r="C307" s="6">
        <v>2017</v>
      </c>
      <c r="D307" s="7">
        <v>42803</v>
      </c>
      <c r="E307" s="12"/>
      <c r="F307" s="6"/>
      <c r="G307" s="6" t="s">
        <v>389</v>
      </c>
      <c r="H307" s="6"/>
      <c r="I307" s="6" t="s">
        <v>297</v>
      </c>
      <c r="J307" s="3" t="s">
        <v>28</v>
      </c>
      <c r="K307" s="6">
        <v>25</v>
      </c>
      <c r="L307" s="3" t="s">
        <v>88</v>
      </c>
      <c r="M307" s="7"/>
      <c r="N307" s="6"/>
      <c r="O307" s="9">
        <f>0.47*Table2[[#This Row],[قيمة المحضر]]</f>
        <v>0</v>
      </c>
      <c r="P307" s="9">
        <f>0.17*Table2[[#This Row],[قيمة المحضر]]</f>
        <v>0</v>
      </c>
      <c r="Q307" s="9">
        <f t="shared" ca="1" si="30"/>
        <v>3900</v>
      </c>
      <c r="R307" s="3"/>
      <c r="S307" s="3"/>
      <c r="T307" s="9" t="str">
        <f t="shared" si="31"/>
        <v>-</v>
      </c>
      <c r="U307" s="3" t="s">
        <v>25</v>
      </c>
      <c r="V307" s="9" t="str">
        <f t="shared" si="32"/>
        <v>-</v>
      </c>
      <c r="W307" s="4"/>
      <c r="X307" s="38"/>
      <c r="Y307" s="1">
        <f t="shared" ca="1" si="28"/>
        <v>46162</v>
      </c>
      <c r="Z307" s="1" cm="1">
        <f t="array" ref="Z307">IF(D307&gt;DATE(2015,5,16),0,
K307*
(
INT((MIN(Y307,DATE(2015,5,16))-D307)/365)
+
CEILING(MOD((MIN(Y307,DATE(2015,5,16))-D307)/365,1),0.25)
)
*
_xlfn.SWITCH(J307,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07" s="1" cm="1">
        <f t="array" aca="1" ref="AA307" ca="1">IF(Y307&lt;DATE(2015,5,17),0,
K307*
(
INT((MIN(Y307,DATE(2018,9,23))-MAX(D307,DATE(2015,5,17)))/365)
+
CEILING(MOD((MIN(Y307,DATE(2018,9,23))-MAX(D307,DATE(2015,5,17)))/365,1),0.25)
)
*
_xlfn.SWITCH(J307,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175</v>
      </c>
      <c r="AB307" s="1" cm="1">
        <f t="array" aca="1" ref="AB307" ca="1">IF(Y307&lt;DATE(2018,9,24),0,
IF(J307="زراعة",
K307*
(
INT((MIN(Y307,DATE(2023,4,30))-MAX(D307,DATE(2018,9,24)))/365)
+
CEILING(MOD((MIN(Y307,DATE(2023,4,30))-MAX(D307,DATE(2018,9,24)))/365,1),0.25)
)
*1,
K307*
(
DATEDIF(MAX(D307,DATE(2018,9,24)),MIN(Y307,DATE(2023,4,30)),"m")+1
)
*
_xlfn.SWITCH(J307,
"موقف/تندة",IF(D307&lt;DATE(2019,11,30),6,30),
"تشوينات",IF(D307&lt;DATE(2019,11,30),4,20),
"مشاتل",IF(D307&lt;DATE(2019,11,30),2,10),
"كافيتيريا",IF(D307&lt;DATE(2019,11,30),30,150),
"نوادي",IF(D307&lt;DATE(2019,11,30),6,30),
"رسو مراكب",IF(D307&lt;DATE(2019,11,30),2,10),
"مباني",IF(D307&lt;DATE(2018,9,24),2,10),
"عشش",IF(D307&lt;DATE(2019,11,30),2,10),
"كشك (تجاري/صناعي)",IF(D307&lt;DATE(2019,11,30),10,50),
"ردم",20,
0)))</f>
        <v>2800</v>
      </c>
      <c r="AC307" s="1" cm="1">
        <f t="array" aca="1" ref="AC307" ca="1">IF(Y307&lt;DATE(2023,5,1),0,
IF(J307="زراعة",
K307*
(
INT((Y307-MAX(DATE(2023,5,1),D307))/365)
+
CEILING(MOD((Y307-MAX(DATE(2023,5,1),D307))/365,1),0.25)
)
*3,
IF(J307="ردم",
K307*20,
K307*
(
DATEDIF(MAX(DATE(2023,5,1),D307),Y307,"m")+1
)
*
_xlfn.SWITCH(J307,
"موقف/تندة",6,
"تشوينات",4,
"مشاتل",2,
"رسو مراكب",6,
"مباني",3,
"عشش",1,
"كشك (تجاري/صناعي)",20,
"مواسير صرف صحي (&lt;1م)",16,
"مواسير صرف صحي (&gt;1م)",18,
0))))</f>
        <v>925</v>
      </c>
      <c r="AD307" s="1">
        <f t="shared" ca="1" si="29"/>
        <v>55</v>
      </c>
    </row>
    <row r="308" spans="1:30" ht="18.75" x14ac:dyDescent="0.25">
      <c r="A308" s="52">
        <v>273</v>
      </c>
      <c r="B308" s="82">
        <v>17</v>
      </c>
      <c r="C308" s="6">
        <v>2017</v>
      </c>
      <c r="D308" s="7">
        <v>42803</v>
      </c>
      <c r="E308" s="12"/>
      <c r="F308" s="6"/>
      <c r="G308" s="6" t="s">
        <v>390</v>
      </c>
      <c r="H308" s="6"/>
      <c r="I308" s="6" t="s">
        <v>297</v>
      </c>
      <c r="J308" s="3" t="s">
        <v>77</v>
      </c>
      <c r="K308" s="6">
        <v>15</v>
      </c>
      <c r="L308" s="3" t="s">
        <v>88</v>
      </c>
      <c r="M308" s="7"/>
      <c r="N308" s="6"/>
      <c r="O308" s="9">
        <f>0.47*Table2[[#This Row],[قيمة المحضر]]</f>
        <v>0</v>
      </c>
      <c r="P308" s="9">
        <f>0.17*Table2[[#This Row],[قيمة المحضر]]</f>
        <v>0</v>
      </c>
      <c r="Q308" s="9">
        <f t="shared" ca="1" si="30"/>
        <v>17625</v>
      </c>
      <c r="R308" s="3"/>
      <c r="S308" s="3"/>
      <c r="T308" s="9" t="str">
        <f t="shared" si="31"/>
        <v>-</v>
      </c>
      <c r="U308" s="3" t="s">
        <v>25</v>
      </c>
      <c r="V308" s="9" t="str">
        <f t="shared" si="32"/>
        <v>-</v>
      </c>
      <c r="W308" s="4"/>
      <c r="X308" s="38"/>
      <c r="Y308" s="1">
        <f t="shared" ca="1" si="28"/>
        <v>46162</v>
      </c>
      <c r="Z308" s="1" cm="1">
        <f t="array" ref="Z308">IF(D308&gt;DATE(2015,5,16),0,
K308*
(
INT((MIN(Y308,DATE(2015,5,16))-D308)/365)
+
CEILING(MOD((MIN(Y308,DATE(2015,5,16))-D308)/365,1),0.25)
)
*
_xlfn.SWITCH(J308,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08" s="1" cm="1">
        <f t="array" aca="1" ref="AA308" ca="1">IF(Y308&lt;DATE(2015,5,17),0,
K308*
(
INT((MIN(Y308,DATE(2018,9,23))-MAX(D308,DATE(2015,5,17)))/365)
+
CEILING(MOD((MIN(Y308,DATE(2018,9,23))-MAX(D308,DATE(2015,5,17)))/365,1),0.25)
)
*
_xlfn.SWITCH(J308,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525</v>
      </c>
      <c r="AB308" s="1" cm="1">
        <f t="array" aca="1" ref="AB308" ca="1">IF(Y308&lt;DATE(2018,9,24),0,
IF(J308="زراعة",
K308*
(
INT((MIN(Y308,DATE(2023,4,30))-MAX(D308,DATE(2018,9,24)))/365)
+
CEILING(MOD((MIN(Y308,DATE(2023,4,30))-MAX(D308,DATE(2018,9,24)))/365,1),0.25)
)
*1,
K308*
(
DATEDIF(MAX(D308,DATE(2018,9,24)),MIN(Y308,DATE(2023,4,30)),"m")+1
)
*
_xlfn.SWITCH(J308,
"موقف/تندة",IF(D308&lt;DATE(2019,11,30),6,30),
"تشوينات",IF(D308&lt;DATE(2019,11,30),4,20),
"مشاتل",IF(D308&lt;DATE(2019,11,30),2,10),
"كافيتيريا",IF(D308&lt;DATE(2019,11,30),30,150),
"نوادي",IF(D308&lt;DATE(2019,11,30),6,30),
"رسو مراكب",IF(D308&lt;DATE(2019,11,30),2,10),
"مباني",IF(D308&lt;DATE(2018,9,24),2,10),
"عشش",IF(D308&lt;DATE(2019,11,30),2,10),
"كشك (تجاري/صناعي)",IF(D308&lt;DATE(2019,11,30),10,50),
"ردم",20,
0)))</f>
        <v>16800</v>
      </c>
      <c r="AC308" s="1" cm="1">
        <f t="array" aca="1" ref="AC308" ca="1">IF(Y308&lt;DATE(2023,5,1),0,
IF(J308="زراعة",
K308*
(
INT((Y308-MAX(DATE(2023,5,1),D308))/365)
+
CEILING(MOD((Y308-MAX(DATE(2023,5,1),D308))/365,1),0.25)
)
*3,
IF(J308="ردم",
K308*20,
K308*
(
DATEDIF(MAX(DATE(2023,5,1),D308),Y308,"m")+1
)
*
_xlfn.SWITCH(J308,
"موقف/تندة",6,
"تشوينات",4,
"مشاتل",2,
"رسو مراكب",6,
"مباني",3,
"عشش",1,
"كشك (تجاري/صناعي)",20,
"مواسير صرف صحي (&lt;1م)",16,
"مواسير صرف صحي (&gt;1م)",18,
0))))</f>
        <v>300</v>
      </c>
      <c r="AD308" s="1">
        <f t="shared" ca="1" si="29"/>
        <v>55</v>
      </c>
    </row>
    <row r="309" spans="1:30" ht="18.75" x14ac:dyDescent="0.25">
      <c r="A309" s="52">
        <v>273</v>
      </c>
      <c r="B309" s="82">
        <v>17</v>
      </c>
      <c r="C309" s="6">
        <v>2017</v>
      </c>
      <c r="D309" s="7">
        <v>42803</v>
      </c>
      <c r="E309" s="12"/>
      <c r="F309" s="6"/>
      <c r="G309" s="6" t="s">
        <v>390</v>
      </c>
      <c r="H309" s="6"/>
      <c r="I309" s="6" t="s">
        <v>297</v>
      </c>
      <c r="J309" s="3" t="s">
        <v>28</v>
      </c>
      <c r="K309" s="6">
        <v>15</v>
      </c>
      <c r="L309" s="3" t="s">
        <v>88</v>
      </c>
      <c r="M309" s="7"/>
      <c r="N309" s="6"/>
      <c r="O309" s="9">
        <f>0.47*Table2[[#This Row],[قيمة المحضر]]</f>
        <v>0</v>
      </c>
      <c r="P309" s="9">
        <f>0.17*Table2[[#This Row],[قيمة المحضر]]</f>
        <v>0</v>
      </c>
      <c r="Q309" s="9">
        <f t="shared" ca="1" si="30"/>
        <v>2340</v>
      </c>
      <c r="R309" s="3"/>
      <c r="S309" s="3"/>
      <c r="T309" s="9" t="str">
        <f t="shared" si="31"/>
        <v>-</v>
      </c>
      <c r="U309" s="3" t="s">
        <v>25</v>
      </c>
      <c r="V309" s="9" t="str">
        <f t="shared" si="32"/>
        <v>-</v>
      </c>
      <c r="W309" s="4"/>
      <c r="X309" s="38"/>
      <c r="Y309" s="1">
        <f t="shared" ca="1" si="28"/>
        <v>46162</v>
      </c>
      <c r="Z309" s="1" cm="1">
        <f t="array" ref="Z309">IF(D309&gt;DATE(2015,5,16),0,
K309*
(
INT((MIN(Y309,DATE(2015,5,16))-D309)/365)
+
CEILING(MOD((MIN(Y309,DATE(2015,5,16))-D309)/365,1),0.25)
)
*
_xlfn.SWITCH(J309,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09" s="1" cm="1">
        <f t="array" aca="1" ref="AA309" ca="1">IF(Y309&lt;DATE(2015,5,17),0,
K309*
(
INT((MIN(Y309,DATE(2018,9,23))-MAX(D309,DATE(2015,5,17)))/365)
+
CEILING(MOD((MIN(Y309,DATE(2018,9,23))-MAX(D309,DATE(2015,5,17)))/365,1),0.25)
)
*
_xlfn.SWITCH(J309,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105</v>
      </c>
      <c r="AB309" s="1" cm="1">
        <f t="array" aca="1" ref="AB309" ca="1">IF(Y309&lt;DATE(2018,9,24),0,
IF(J309="زراعة",
K309*
(
INT((MIN(Y309,DATE(2023,4,30))-MAX(D309,DATE(2018,9,24)))/365)
+
CEILING(MOD((MIN(Y309,DATE(2023,4,30))-MAX(D309,DATE(2018,9,24)))/365,1),0.25)
)
*1,
K309*
(
DATEDIF(MAX(D309,DATE(2018,9,24)),MIN(Y309,DATE(2023,4,30)),"m")+1
)
*
_xlfn.SWITCH(J309,
"موقف/تندة",IF(D309&lt;DATE(2019,11,30),6,30),
"تشوينات",IF(D309&lt;DATE(2019,11,30),4,20),
"مشاتل",IF(D309&lt;DATE(2019,11,30),2,10),
"كافيتيريا",IF(D309&lt;DATE(2019,11,30),30,150),
"نوادي",IF(D309&lt;DATE(2019,11,30),6,30),
"رسو مراكب",IF(D309&lt;DATE(2019,11,30),2,10),
"مباني",IF(D309&lt;DATE(2018,9,24),2,10),
"عشش",IF(D309&lt;DATE(2019,11,30),2,10),
"كشك (تجاري/صناعي)",IF(D309&lt;DATE(2019,11,30),10,50),
"ردم",20,
0)))</f>
        <v>1680</v>
      </c>
      <c r="AC309" s="1" cm="1">
        <f t="array" aca="1" ref="AC309" ca="1">IF(Y309&lt;DATE(2023,5,1),0,
IF(J309="زراعة",
K309*
(
INT((Y309-MAX(DATE(2023,5,1),D309))/365)
+
CEILING(MOD((Y309-MAX(DATE(2023,5,1),D309))/365,1),0.25)
)
*3,
IF(J309="ردم",
K309*20,
K309*
(
DATEDIF(MAX(DATE(2023,5,1),D309),Y309,"m")+1
)
*
_xlfn.SWITCH(J309,
"موقف/تندة",6,
"تشوينات",4,
"مشاتل",2,
"رسو مراكب",6,
"مباني",3,
"عشش",1,
"كشك (تجاري/صناعي)",20,
"مواسير صرف صحي (&lt;1م)",16,
"مواسير صرف صحي (&gt;1م)",18,
0))))</f>
        <v>555</v>
      </c>
      <c r="AD309" s="1">
        <f t="shared" ca="1" si="29"/>
        <v>55</v>
      </c>
    </row>
    <row r="310" spans="1:30" ht="18.75" x14ac:dyDescent="0.25">
      <c r="A310" s="52">
        <v>274</v>
      </c>
      <c r="B310" s="82">
        <v>18</v>
      </c>
      <c r="C310" s="6">
        <v>2017</v>
      </c>
      <c r="D310" s="7">
        <v>42803</v>
      </c>
      <c r="E310" s="12"/>
      <c r="F310" s="6"/>
      <c r="G310" s="6" t="s">
        <v>391</v>
      </c>
      <c r="H310" s="6"/>
      <c r="I310" s="6" t="s">
        <v>297</v>
      </c>
      <c r="J310" s="3" t="s">
        <v>77</v>
      </c>
      <c r="K310" s="6">
        <v>35</v>
      </c>
      <c r="L310" s="3" t="s">
        <v>88</v>
      </c>
      <c r="M310" s="7"/>
      <c r="N310" s="6"/>
      <c r="O310" s="9">
        <f>0.47*Table2[[#This Row],[قيمة المحضر]]</f>
        <v>0</v>
      </c>
      <c r="P310" s="9">
        <f>0.17*Table2[[#This Row],[قيمة المحضر]]</f>
        <v>0</v>
      </c>
      <c r="Q310" s="9">
        <f t="shared" ca="1" si="30"/>
        <v>41125</v>
      </c>
      <c r="R310" s="3"/>
      <c r="S310" s="3"/>
      <c r="T310" s="9" t="str">
        <f t="shared" si="31"/>
        <v>-</v>
      </c>
      <c r="U310" s="3" t="s">
        <v>25</v>
      </c>
      <c r="V310" s="9" t="str">
        <f t="shared" si="32"/>
        <v>-</v>
      </c>
      <c r="W310" s="4"/>
      <c r="X310" s="38"/>
      <c r="Y310" s="1">
        <f t="shared" ca="1" si="28"/>
        <v>46162</v>
      </c>
      <c r="Z310" s="1" cm="1">
        <f t="array" ref="Z310">IF(D310&gt;DATE(2015,5,16),0,
K310*
(
INT((MIN(Y310,DATE(2015,5,16))-D310)/365)
+
CEILING(MOD((MIN(Y310,DATE(2015,5,16))-D310)/365,1),0.25)
)
*
_xlfn.SWITCH(J310,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10" s="1" cm="1">
        <f t="array" aca="1" ref="AA310" ca="1">IF(Y310&lt;DATE(2015,5,17),0,
K310*
(
INT((MIN(Y310,DATE(2018,9,23))-MAX(D310,DATE(2015,5,17)))/365)
+
CEILING(MOD((MIN(Y310,DATE(2018,9,23))-MAX(D310,DATE(2015,5,17)))/365,1),0.25)
)
*
_xlfn.SWITCH(J310,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1225</v>
      </c>
      <c r="AB310" s="1" cm="1">
        <f t="array" aca="1" ref="AB310" ca="1">IF(Y310&lt;DATE(2018,9,24),0,
IF(J310="زراعة",
K310*
(
INT((MIN(Y310,DATE(2023,4,30))-MAX(D310,DATE(2018,9,24)))/365)
+
CEILING(MOD((MIN(Y310,DATE(2023,4,30))-MAX(D310,DATE(2018,9,24)))/365,1),0.25)
)
*1,
K310*
(
DATEDIF(MAX(D310,DATE(2018,9,24)),MIN(Y310,DATE(2023,4,30)),"m")+1
)
*
_xlfn.SWITCH(J310,
"موقف/تندة",IF(D310&lt;DATE(2019,11,30),6,30),
"تشوينات",IF(D310&lt;DATE(2019,11,30),4,20),
"مشاتل",IF(D310&lt;DATE(2019,11,30),2,10),
"كافيتيريا",IF(D310&lt;DATE(2019,11,30),30,150),
"نوادي",IF(D310&lt;DATE(2019,11,30),6,30),
"رسو مراكب",IF(D310&lt;DATE(2019,11,30),2,10),
"مباني",IF(D310&lt;DATE(2018,9,24),2,10),
"عشش",IF(D310&lt;DATE(2019,11,30),2,10),
"كشك (تجاري/صناعي)",IF(D310&lt;DATE(2019,11,30),10,50),
"ردم",20,
0)))</f>
        <v>39200</v>
      </c>
      <c r="AC310" s="1" cm="1">
        <f t="array" aca="1" ref="AC310" ca="1">IF(Y310&lt;DATE(2023,5,1),0,
IF(J310="زراعة",
K310*
(
INT((Y310-MAX(DATE(2023,5,1),D310))/365)
+
CEILING(MOD((Y310-MAX(DATE(2023,5,1),D310))/365,1),0.25)
)
*3,
IF(J310="ردم",
K310*20,
K310*
(
DATEDIF(MAX(DATE(2023,5,1),D310),Y310,"m")+1
)
*
_xlfn.SWITCH(J310,
"موقف/تندة",6,
"تشوينات",4,
"مشاتل",2,
"رسو مراكب",6,
"مباني",3,
"عشش",1,
"كشك (تجاري/صناعي)",20,
"مواسير صرف صحي (&lt;1م)",16,
"مواسير صرف صحي (&gt;1م)",18,
0))))</f>
        <v>700</v>
      </c>
      <c r="AD310" s="1">
        <f t="shared" ca="1" si="29"/>
        <v>55</v>
      </c>
    </row>
    <row r="311" spans="1:30" ht="18.75" x14ac:dyDescent="0.25">
      <c r="A311" s="52">
        <v>274</v>
      </c>
      <c r="B311" s="82">
        <v>18</v>
      </c>
      <c r="C311" s="6">
        <v>2017</v>
      </c>
      <c r="D311" s="7">
        <v>42803</v>
      </c>
      <c r="E311" s="12"/>
      <c r="F311" s="6"/>
      <c r="G311" s="6" t="s">
        <v>391</v>
      </c>
      <c r="H311" s="6"/>
      <c r="I311" s="6" t="s">
        <v>297</v>
      </c>
      <c r="J311" s="3" t="s">
        <v>28</v>
      </c>
      <c r="K311" s="6">
        <v>35</v>
      </c>
      <c r="L311" s="3" t="s">
        <v>88</v>
      </c>
      <c r="M311" s="7"/>
      <c r="N311" s="6"/>
      <c r="O311" s="9">
        <f>0.47*Table2[[#This Row],[قيمة المحضر]]</f>
        <v>0</v>
      </c>
      <c r="P311" s="9">
        <f>0.17*Table2[[#This Row],[قيمة المحضر]]</f>
        <v>0</v>
      </c>
      <c r="Q311" s="9">
        <f t="shared" ca="1" si="30"/>
        <v>5460</v>
      </c>
      <c r="R311" s="3"/>
      <c r="S311" s="3"/>
      <c r="T311" s="9" t="str">
        <f t="shared" si="31"/>
        <v>-</v>
      </c>
      <c r="U311" s="3" t="s">
        <v>25</v>
      </c>
      <c r="V311" s="9" t="str">
        <f t="shared" si="32"/>
        <v>-</v>
      </c>
      <c r="W311" s="4"/>
      <c r="X311" s="38"/>
      <c r="Y311" s="1">
        <f t="shared" ca="1" si="28"/>
        <v>46162</v>
      </c>
      <c r="Z311" s="1" cm="1">
        <f t="array" ref="Z311">IF(D311&gt;DATE(2015,5,16),0,
K311*
(
INT((MIN(Y311,DATE(2015,5,16))-D311)/365)
+
CEILING(MOD((MIN(Y311,DATE(2015,5,16))-D311)/365,1),0.25)
)
*
_xlfn.SWITCH(J311,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11" s="1" cm="1">
        <f t="array" aca="1" ref="AA311" ca="1">IF(Y311&lt;DATE(2015,5,17),0,
K311*
(
INT((MIN(Y311,DATE(2018,9,23))-MAX(D311,DATE(2015,5,17)))/365)
+
CEILING(MOD((MIN(Y311,DATE(2018,9,23))-MAX(D311,DATE(2015,5,17)))/365,1),0.25)
)
*
_xlfn.SWITCH(J311,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245</v>
      </c>
      <c r="AB311" s="1" cm="1">
        <f t="array" aca="1" ref="AB311" ca="1">IF(Y311&lt;DATE(2018,9,24),0,
IF(J311="زراعة",
K311*
(
INT((MIN(Y311,DATE(2023,4,30))-MAX(D311,DATE(2018,9,24)))/365)
+
CEILING(MOD((MIN(Y311,DATE(2023,4,30))-MAX(D311,DATE(2018,9,24)))/365,1),0.25)
)
*1,
K311*
(
DATEDIF(MAX(D311,DATE(2018,9,24)),MIN(Y311,DATE(2023,4,30)),"m")+1
)
*
_xlfn.SWITCH(J311,
"موقف/تندة",IF(D311&lt;DATE(2019,11,30),6,30),
"تشوينات",IF(D311&lt;DATE(2019,11,30),4,20),
"مشاتل",IF(D311&lt;DATE(2019,11,30),2,10),
"كافيتيريا",IF(D311&lt;DATE(2019,11,30),30,150),
"نوادي",IF(D311&lt;DATE(2019,11,30),6,30),
"رسو مراكب",IF(D311&lt;DATE(2019,11,30),2,10),
"مباني",IF(D311&lt;DATE(2018,9,24),2,10),
"عشش",IF(D311&lt;DATE(2019,11,30),2,10),
"كشك (تجاري/صناعي)",IF(D311&lt;DATE(2019,11,30),10,50),
"ردم",20,
0)))</f>
        <v>3920</v>
      </c>
      <c r="AC311" s="1" cm="1">
        <f t="array" aca="1" ref="AC311" ca="1">IF(Y311&lt;DATE(2023,5,1),0,
IF(J311="زراعة",
K311*
(
INT((Y311-MAX(DATE(2023,5,1),D311))/365)
+
CEILING(MOD((Y311-MAX(DATE(2023,5,1),D311))/365,1),0.25)
)
*3,
IF(J311="ردم",
K311*20,
K311*
(
DATEDIF(MAX(DATE(2023,5,1),D311),Y311,"m")+1
)
*
_xlfn.SWITCH(J311,
"موقف/تندة",6,
"تشوينات",4,
"مشاتل",2,
"رسو مراكب",6,
"مباني",3,
"عشش",1,
"كشك (تجاري/صناعي)",20,
"مواسير صرف صحي (&lt;1م)",16,
"مواسير صرف صحي (&gt;1م)",18,
0))))</f>
        <v>1295</v>
      </c>
      <c r="AD311" s="1">
        <f t="shared" ca="1" si="29"/>
        <v>55</v>
      </c>
    </row>
    <row r="312" spans="1:30" ht="18.75" x14ac:dyDescent="0.25">
      <c r="A312" s="52">
        <v>275</v>
      </c>
      <c r="B312" s="17">
        <v>19</v>
      </c>
      <c r="C312" s="17">
        <v>2017</v>
      </c>
      <c r="D312" s="18">
        <v>42803</v>
      </c>
      <c r="E312" s="16"/>
      <c r="F312" s="17"/>
      <c r="G312" s="17" t="s">
        <v>392</v>
      </c>
      <c r="H312" s="17"/>
      <c r="I312" s="17"/>
      <c r="J312" s="14" t="s">
        <v>146</v>
      </c>
      <c r="K312" s="17">
        <v>400</v>
      </c>
      <c r="L312" s="14" t="s">
        <v>191</v>
      </c>
      <c r="M312" s="18"/>
      <c r="N312" s="17"/>
      <c r="O312" s="9">
        <f>0.47*Table2[[#This Row],[قيمة المحضر]]</f>
        <v>0</v>
      </c>
      <c r="P312" s="9">
        <f>0.17*Table2[[#This Row],[قيمة المحضر]]</f>
        <v>0</v>
      </c>
      <c r="Q312" s="9">
        <f t="shared" ca="1" si="30"/>
        <v>6010</v>
      </c>
      <c r="R312" s="3"/>
      <c r="S312" s="3"/>
      <c r="T312" s="9" t="str">
        <f t="shared" si="31"/>
        <v>-</v>
      </c>
      <c r="U312" s="3" t="s">
        <v>25</v>
      </c>
      <c r="V312" s="9" t="str">
        <f t="shared" si="32"/>
        <v>-</v>
      </c>
      <c r="W312" s="4"/>
      <c r="X312" s="38"/>
      <c r="Y312" s="1">
        <f t="shared" ca="1" si="28"/>
        <v>46162</v>
      </c>
      <c r="Z312" s="1" cm="1">
        <f t="array" ref="Z312">IF(D312&gt;DATE(2015,5,16),0,
K312*
(
INT((MIN(Y312,DATE(2015,5,16))-D312)/365)
+
CEILING(MOD((MIN(Y312,DATE(2015,5,16))-D312)/365,1),0.25)
)
*
_xlfn.SWITCH(J312,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12" s="1" cm="1">
        <f t="array" aca="1" ref="AA312" ca="1">IF(Y312&lt;DATE(2015,5,17),0,
K312*
(
INT((MIN(Y312,DATE(2018,9,23))-MAX(D312,DATE(2015,5,17)))/365)
+
CEILING(MOD((MIN(Y312,DATE(2018,9,23))-MAX(D312,DATE(2015,5,17)))/365,1),0.25)
)
*
_xlfn.SWITCH(J312,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210</v>
      </c>
      <c r="AB312" s="1" cm="1">
        <f t="array" aca="1" ref="AB312" ca="1">IF(Y312&lt;DATE(2018,9,24),0,
IF(J312="زراعة",
K312*
(
INT((MIN(Y312,DATE(2023,4,30))-MAX(D312,DATE(2018,9,24)))/365)
+
CEILING(MOD((MIN(Y312,DATE(2023,4,30))-MAX(D312,DATE(2018,9,24)))/365,1),0.25)
)
*1,
K312*
(
DATEDIF(MAX(D312,DATE(2018,9,24)),MIN(Y312,DATE(2023,4,30)),"m")+1
)
*
_xlfn.SWITCH(J312,
"موقف/تندة",IF(D312&lt;DATE(2019,11,30),6,30),
"تشوينات",IF(D312&lt;DATE(2019,11,30),4,20),
"مشاتل",IF(D312&lt;DATE(2019,11,30),2,10),
"كافيتيريا",IF(D312&lt;DATE(2019,11,30),30,150),
"نوادي",IF(D312&lt;DATE(2019,11,30),6,30),
"رسو مراكب",IF(D312&lt;DATE(2019,11,30),2,10),
"مباني",IF(D312&lt;DATE(2018,9,24),2,10),
"عشش",IF(D312&lt;DATE(2019,11,30),2,10),
"كشك (تجاري/صناعي)",IF(D312&lt;DATE(2019,11,30),10,50),
"ردم",20,
0)))</f>
        <v>1900</v>
      </c>
      <c r="AC312" s="1" cm="1">
        <f t="array" aca="1" ref="AC312" ca="1">IF(Y312&lt;DATE(2023,5,1),0,
IF(J312="زراعة",
K312*
(
INT((Y312-MAX(DATE(2023,5,1),D312))/365)
+
CEILING(MOD((Y312-MAX(DATE(2023,5,1),D312))/365,1),0.25)
)
*3,
IF(J312="ردم",
K312*20,
K312*
(
DATEDIF(MAX(DATE(2023,5,1),D312),Y312,"m")+1
)
*
_xlfn.SWITCH(J312,
"موقف/تندة",6,
"تشوينات",4,
"مشاتل",2,
"رسو مراكب",6,
"مباني",3,
"عشش",1,
"كشك (تجاري/صناعي)",20,
"مواسير صرف صحي (&lt;1م)",16,
"مواسير صرف صحي (&gt;1م)",18,
0))))</f>
        <v>3900</v>
      </c>
      <c r="AD312" s="1">
        <f t="shared" ca="1" si="29"/>
        <v>55</v>
      </c>
    </row>
    <row r="313" spans="1:30" ht="18.75" x14ac:dyDescent="0.25">
      <c r="A313" s="52">
        <v>276</v>
      </c>
      <c r="B313" s="6">
        <v>20</v>
      </c>
      <c r="C313" s="6">
        <v>2017</v>
      </c>
      <c r="D313" s="7">
        <v>42803</v>
      </c>
      <c r="E313" s="12"/>
      <c r="F313" s="6"/>
      <c r="G313" s="6" t="s">
        <v>393</v>
      </c>
      <c r="H313" s="6"/>
      <c r="I313" s="6" t="s">
        <v>372</v>
      </c>
      <c r="J313" s="3" t="s">
        <v>106</v>
      </c>
      <c r="K313" s="6"/>
      <c r="L313" s="3" t="s">
        <v>191</v>
      </c>
      <c r="M313" s="7"/>
      <c r="N313" s="6"/>
      <c r="O313" s="9">
        <f>0.47*Table2[[#This Row],[قيمة المحضر]]</f>
        <v>0</v>
      </c>
      <c r="P313" s="9">
        <f>0.17*Table2[[#This Row],[قيمة المحضر]]</f>
        <v>0</v>
      </c>
      <c r="Q313" s="9">
        <f t="shared" ca="1" si="30"/>
        <v>0</v>
      </c>
      <c r="R313" s="3"/>
      <c r="S313" s="3"/>
      <c r="T313" s="9" t="str">
        <f t="shared" si="31"/>
        <v>-</v>
      </c>
      <c r="U313" s="3" t="s">
        <v>25</v>
      </c>
      <c r="V313" s="9" t="str">
        <f t="shared" si="32"/>
        <v>-</v>
      </c>
      <c r="W313" s="4"/>
      <c r="X313" s="38"/>
      <c r="Y313" s="1">
        <f t="shared" ca="1" si="28"/>
        <v>46162</v>
      </c>
      <c r="Z313" s="1" cm="1">
        <f t="array" ref="Z313">IF(D313&gt;DATE(2015,5,16),0,
K313*
(
INT((MIN(Y313,DATE(2015,5,16))-D313)/365)
+
CEILING(MOD((MIN(Y313,DATE(2015,5,16))-D313)/365,1),0.25)
)
*
_xlfn.SWITCH(J313,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13" s="1" cm="1">
        <f t="array" aca="1" ref="AA313" ca="1">IF(Y313&lt;DATE(2015,5,17),0,
K313*
(
INT((MIN(Y313,DATE(2018,9,23))-MAX(D313,DATE(2015,5,17)))/365)
+
CEILING(MOD((MIN(Y313,DATE(2018,9,23))-MAX(D313,DATE(2015,5,17)))/365,1),0.25)
)
*
_xlfn.SWITCH(J313,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313" s="1" cm="1">
        <f t="array" aca="1" ref="AB313" ca="1">IF(Y313&lt;DATE(2018,9,24),0,
IF(J313="زراعة",
K313*
(
INT((MIN(Y313,DATE(2023,4,30))-MAX(D313,DATE(2018,9,24)))/365)
+
CEILING(MOD((MIN(Y313,DATE(2023,4,30))-MAX(D313,DATE(2018,9,24)))/365,1),0.25)
)
*1,
K313*
(
DATEDIF(MAX(D313,DATE(2018,9,24)),MIN(Y313,DATE(2023,4,30)),"m")+1
)
*
_xlfn.SWITCH(J313,
"موقف/تندة",IF(D313&lt;DATE(2019,11,30),6,30),
"تشوينات",IF(D313&lt;DATE(2019,11,30),4,20),
"مشاتل",IF(D313&lt;DATE(2019,11,30),2,10),
"كافيتيريا",IF(D313&lt;DATE(2019,11,30),30,150),
"نوادي",IF(D313&lt;DATE(2019,11,30),6,30),
"رسو مراكب",IF(D313&lt;DATE(2019,11,30),2,10),
"مباني",IF(D313&lt;DATE(2018,9,24),2,10),
"عشش",IF(D313&lt;DATE(2019,11,30),2,10),
"كشك (تجاري/صناعي)",IF(D313&lt;DATE(2019,11,30),10,50),
"ردم",20,
0)))</f>
        <v>0</v>
      </c>
      <c r="AC313" s="1" cm="1">
        <f t="array" aca="1" ref="AC313" ca="1">IF(Y313&lt;DATE(2023,5,1),0,
IF(J313="زراعة",
K313*
(
INT((Y313-MAX(DATE(2023,5,1),D313))/365)
+
CEILING(MOD((Y313-MAX(DATE(2023,5,1),D313))/365,1),0.25)
)
*3,
IF(J313="ردم",
K313*20,
K313*
(
DATEDIF(MAX(DATE(2023,5,1),D313),Y313,"m")+1
)
*
_xlfn.SWITCH(J313,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313" s="1">
        <f t="shared" ca="1" si="29"/>
        <v>55</v>
      </c>
    </row>
    <row r="314" spans="1:30" ht="18.75" x14ac:dyDescent="0.25">
      <c r="A314" s="52">
        <v>277</v>
      </c>
      <c r="B314" s="6">
        <v>21</v>
      </c>
      <c r="C314" s="6">
        <v>2017</v>
      </c>
      <c r="D314" s="7">
        <v>42843</v>
      </c>
      <c r="E314" s="12"/>
      <c r="F314" s="6"/>
      <c r="G314" s="6" t="s">
        <v>394</v>
      </c>
      <c r="H314" s="6"/>
      <c r="I314" s="6" t="s">
        <v>377</v>
      </c>
      <c r="J314" s="3" t="s">
        <v>27</v>
      </c>
      <c r="K314" s="6">
        <v>60</v>
      </c>
      <c r="L314" s="3" t="s">
        <v>196</v>
      </c>
      <c r="M314" s="7"/>
      <c r="N314" s="6"/>
      <c r="O314" s="9">
        <f>0.47*Table2[[#This Row],[قيمة المحضر]]</f>
        <v>0</v>
      </c>
      <c r="P314" s="9">
        <f>0.17*Table2[[#This Row],[قيمة المحضر]]</f>
        <v>0</v>
      </c>
      <c r="Q314" s="9">
        <f t="shared" ca="1" si="30"/>
        <v>14100</v>
      </c>
      <c r="R314" s="3"/>
      <c r="S314" s="3"/>
      <c r="T314" s="9" t="str">
        <f t="shared" si="31"/>
        <v>-</v>
      </c>
      <c r="U314" s="3" t="s">
        <v>25</v>
      </c>
      <c r="V314" s="9" t="str">
        <f t="shared" si="32"/>
        <v>-</v>
      </c>
      <c r="W314" s="4"/>
      <c r="X314" s="38"/>
      <c r="Y314" s="1">
        <f t="shared" ca="1" si="28"/>
        <v>46162</v>
      </c>
      <c r="Z314" s="1" cm="1">
        <f t="array" ref="Z314">IF(D314&gt;DATE(2015,5,16),0,
K314*
(
INT((MIN(Y314,DATE(2015,5,16))-D314)/365)
+
CEILING(MOD((MIN(Y314,DATE(2015,5,16))-D314)/365,1),0.25)
)
*
_xlfn.SWITCH(J314,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14" s="1" cm="1">
        <f t="array" aca="1" ref="AA314" ca="1">IF(Y314&lt;DATE(2015,5,17),0,
K314*
(
INT((MIN(Y314,DATE(2018,9,23))-MAX(D314,DATE(2015,5,17)))/365)
+
CEILING(MOD((MIN(Y314,DATE(2018,9,23))-MAX(D314,DATE(2015,5,17)))/365,1),0.25)
)
*
_xlfn.SWITCH(J314,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720</v>
      </c>
      <c r="AB314" s="1" cm="1">
        <f t="array" aca="1" ref="AB314" ca="1">IF(Y314&lt;DATE(2018,9,24),0,
IF(J314="زراعة",
K314*
(
INT((MIN(Y314,DATE(2023,4,30))-MAX(D314,DATE(2018,9,24)))/365)
+
CEILING(MOD((MIN(Y314,DATE(2023,4,30))-MAX(D314,DATE(2018,9,24)))/365,1),0.25)
)
*1,
K314*
(
DATEDIF(MAX(D314,DATE(2018,9,24)),MIN(Y314,DATE(2023,4,30)),"m")+1
)
*
_xlfn.SWITCH(J314,
"موقف/تندة",IF(D314&lt;DATE(2019,11,30),6,30),
"تشوينات",IF(D314&lt;DATE(2019,11,30),4,20),
"مشاتل",IF(D314&lt;DATE(2019,11,30),2,10),
"كافيتيريا",IF(D314&lt;DATE(2019,11,30),30,150),
"نوادي",IF(D314&lt;DATE(2019,11,30),6,30),
"رسو مراكب",IF(D314&lt;DATE(2019,11,30),2,10),
"مباني",IF(D314&lt;DATE(2018,9,24),2,10),
"عشش",IF(D314&lt;DATE(2019,11,30),2,10),
"كشك (تجاري/صناعي)",IF(D314&lt;DATE(2019,11,30),10,50),
"ردم",20,
0)))</f>
        <v>6720</v>
      </c>
      <c r="AC314" s="1" cm="1">
        <f t="array" aca="1" ref="AC314" ca="1">IF(Y314&lt;DATE(2023,5,1),0,
IF(J314="زراعة",
K314*
(
INT((Y314-MAX(DATE(2023,5,1),D314))/365)
+
CEILING(MOD((Y314-MAX(DATE(2023,5,1),D314))/365,1),0.25)
)
*3,
IF(J314="ردم",
K314*20,
K314*
(
DATEDIF(MAX(DATE(2023,5,1),D314),Y314,"m")+1
)
*
_xlfn.SWITCH(J314,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314" s="1">
        <f t="shared" ca="1" si="29"/>
        <v>55</v>
      </c>
    </row>
    <row r="315" spans="1:30" ht="18.75" x14ac:dyDescent="0.25">
      <c r="A315" s="52">
        <v>278</v>
      </c>
      <c r="B315" s="6">
        <v>22</v>
      </c>
      <c r="C315" s="6">
        <v>2017</v>
      </c>
      <c r="D315" s="7">
        <v>42843</v>
      </c>
      <c r="E315" s="12"/>
      <c r="F315" s="6"/>
      <c r="G315" s="6" t="s">
        <v>395</v>
      </c>
      <c r="H315" s="6"/>
      <c r="I315" s="6" t="s">
        <v>377</v>
      </c>
      <c r="J315" s="3" t="s">
        <v>27</v>
      </c>
      <c r="K315" s="6">
        <v>60</v>
      </c>
      <c r="L315" s="3" t="s">
        <v>196</v>
      </c>
      <c r="M315" s="7"/>
      <c r="N315" s="6"/>
      <c r="O315" s="9">
        <f>0.47*Table2[[#This Row],[قيمة المحضر]]</f>
        <v>0</v>
      </c>
      <c r="P315" s="9">
        <f>0.17*Table2[[#This Row],[قيمة المحضر]]</f>
        <v>0</v>
      </c>
      <c r="Q315" s="9">
        <f t="shared" ca="1" si="30"/>
        <v>14100</v>
      </c>
      <c r="R315" s="3"/>
      <c r="S315" s="3"/>
      <c r="T315" s="9" t="str">
        <f t="shared" si="31"/>
        <v>-</v>
      </c>
      <c r="U315" s="3" t="s">
        <v>25</v>
      </c>
      <c r="V315" s="9" t="str">
        <f t="shared" si="32"/>
        <v>-</v>
      </c>
      <c r="W315" s="4"/>
      <c r="X315" s="38"/>
      <c r="Y315" s="1">
        <f t="shared" ca="1" si="28"/>
        <v>46162</v>
      </c>
      <c r="Z315" s="1" cm="1">
        <f t="array" ref="Z315">IF(D315&gt;DATE(2015,5,16),0,
K315*
(
INT((MIN(Y315,DATE(2015,5,16))-D315)/365)
+
CEILING(MOD((MIN(Y315,DATE(2015,5,16))-D315)/365,1),0.25)
)
*
_xlfn.SWITCH(J315,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15" s="1" cm="1">
        <f t="array" aca="1" ref="AA315" ca="1">IF(Y315&lt;DATE(2015,5,17),0,
K315*
(
INT((MIN(Y315,DATE(2018,9,23))-MAX(D315,DATE(2015,5,17)))/365)
+
CEILING(MOD((MIN(Y315,DATE(2018,9,23))-MAX(D315,DATE(2015,5,17)))/365,1),0.25)
)
*
_xlfn.SWITCH(J315,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720</v>
      </c>
      <c r="AB315" s="1" cm="1">
        <f t="array" aca="1" ref="AB315" ca="1">IF(Y315&lt;DATE(2018,9,24),0,
IF(J315="زراعة",
K315*
(
INT((MIN(Y315,DATE(2023,4,30))-MAX(D315,DATE(2018,9,24)))/365)
+
CEILING(MOD((MIN(Y315,DATE(2023,4,30))-MAX(D315,DATE(2018,9,24)))/365,1),0.25)
)
*1,
K315*
(
DATEDIF(MAX(D315,DATE(2018,9,24)),MIN(Y315,DATE(2023,4,30)),"m")+1
)
*
_xlfn.SWITCH(J315,
"موقف/تندة",IF(D315&lt;DATE(2019,11,30),6,30),
"تشوينات",IF(D315&lt;DATE(2019,11,30),4,20),
"مشاتل",IF(D315&lt;DATE(2019,11,30),2,10),
"كافيتيريا",IF(D315&lt;DATE(2019,11,30),30,150),
"نوادي",IF(D315&lt;DATE(2019,11,30),6,30),
"رسو مراكب",IF(D315&lt;DATE(2019,11,30),2,10),
"مباني",IF(D315&lt;DATE(2018,9,24),2,10),
"عشش",IF(D315&lt;DATE(2019,11,30),2,10),
"كشك (تجاري/صناعي)",IF(D315&lt;DATE(2019,11,30),10,50),
"ردم",20,
0)))</f>
        <v>6720</v>
      </c>
      <c r="AC315" s="1" cm="1">
        <f t="array" aca="1" ref="AC315" ca="1">IF(Y315&lt;DATE(2023,5,1),0,
IF(J315="زراعة",
K315*
(
INT((Y315-MAX(DATE(2023,5,1),D315))/365)
+
CEILING(MOD((Y315-MAX(DATE(2023,5,1),D315))/365,1),0.25)
)
*3,
IF(J315="ردم",
K315*20,
K315*
(
DATEDIF(MAX(DATE(2023,5,1),D315),Y315,"m")+1
)
*
_xlfn.SWITCH(J315,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315" s="1">
        <f t="shared" ca="1" si="29"/>
        <v>55</v>
      </c>
    </row>
    <row r="316" spans="1:30" ht="18.75" x14ac:dyDescent="0.25">
      <c r="A316" s="52">
        <v>279</v>
      </c>
      <c r="B316" s="6">
        <v>23</v>
      </c>
      <c r="C316" s="6">
        <v>2017</v>
      </c>
      <c r="D316" s="7">
        <v>42843</v>
      </c>
      <c r="E316" s="12"/>
      <c r="F316" s="6"/>
      <c r="G316" s="6" t="s">
        <v>396</v>
      </c>
      <c r="H316" s="6"/>
      <c r="I316" s="6" t="s">
        <v>377</v>
      </c>
      <c r="J316" s="3" t="s">
        <v>29</v>
      </c>
      <c r="K316" s="6">
        <v>6</v>
      </c>
      <c r="L316" s="3" t="s">
        <v>196</v>
      </c>
      <c r="M316" s="7"/>
      <c r="N316" s="6"/>
      <c r="O316" s="9">
        <f>0.47*Table2[[#This Row],[قيمة المحضر]]</f>
        <v>0</v>
      </c>
      <c r="P316" s="9">
        <f>0.17*Table2[[#This Row],[قيمة المحضر]]</f>
        <v>0</v>
      </c>
      <c r="Q316" s="9">
        <f t="shared" ca="1" si="30"/>
        <v>8880</v>
      </c>
      <c r="R316" s="3"/>
      <c r="S316" s="3"/>
      <c r="T316" s="9" t="str">
        <f t="shared" si="31"/>
        <v>-</v>
      </c>
      <c r="U316" s="3" t="s">
        <v>25</v>
      </c>
      <c r="V316" s="9" t="str">
        <f t="shared" si="32"/>
        <v>-</v>
      </c>
      <c r="W316" s="4"/>
      <c r="X316" s="38"/>
      <c r="Y316" s="1">
        <f t="shared" ca="1" si="28"/>
        <v>46162</v>
      </c>
      <c r="Z316" s="1" cm="1">
        <f t="array" ref="Z316">IF(D316&gt;DATE(2015,5,16),0,
K316*
(
INT((MIN(Y316,DATE(2015,5,16))-D316)/365)
+
CEILING(MOD((MIN(Y316,DATE(2015,5,16))-D316)/365,1),0.25)
)
*
_xlfn.SWITCH(J316,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16" s="1" cm="1">
        <f t="array" aca="1" ref="AA316" ca="1">IF(Y316&lt;DATE(2015,5,17),0,
K316*
(
INT((MIN(Y316,DATE(2018,9,23))-MAX(D316,DATE(2015,5,17)))/365)
+
CEILING(MOD((MIN(Y316,DATE(2018,9,23))-MAX(D316,DATE(2015,5,17)))/365,1),0.25)
)
*
_xlfn.SWITCH(J316,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1080</v>
      </c>
      <c r="AB316" s="1" cm="1">
        <f t="array" aca="1" ref="AB316" ca="1">IF(Y316&lt;DATE(2018,9,24),0,
IF(J316="زراعة",
K316*
(
INT((MIN(Y316,DATE(2023,4,30))-MAX(D316,DATE(2018,9,24)))/365)
+
CEILING(MOD((MIN(Y316,DATE(2023,4,30))-MAX(D316,DATE(2018,9,24)))/365,1),0.25)
)
*1,
K316*
(
DATEDIF(MAX(D316,DATE(2018,9,24)),MIN(Y316,DATE(2023,4,30)),"m")+1
)
*
_xlfn.SWITCH(J316,
"موقف/تندة",IF(D316&lt;DATE(2019,11,30),6,30),
"تشوينات",IF(D316&lt;DATE(2019,11,30),4,20),
"مشاتل",IF(D316&lt;DATE(2019,11,30),2,10),
"كافيتيريا",IF(D316&lt;DATE(2019,11,30),30,150),
"نوادي",IF(D316&lt;DATE(2019,11,30),6,30),
"رسو مراكب",IF(D316&lt;DATE(2019,11,30),2,10),
"مباني",IF(D316&lt;DATE(2018,9,24),2,10),
"عشش",IF(D316&lt;DATE(2019,11,30),2,10),
"كشك (تجاري/صناعي)",IF(D316&lt;DATE(2019,11,30),10,50),
"ردم",20,
0)))</f>
        <v>3360</v>
      </c>
      <c r="AC316" s="1" cm="1">
        <f t="array" aca="1" ref="AC316" ca="1">IF(Y316&lt;DATE(2023,5,1),0,
IF(J316="زراعة",
K316*
(
INT((Y316-MAX(DATE(2023,5,1),D316))/365)
+
CEILING(MOD((Y316-MAX(DATE(2023,5,1),D316))/365,1),0.25)
)
*3,
IF(J316="ردم",
K316*20,
K316*
(
DATEDIF(MAX(DATE(2023,5,1),D316),Y316,"m")+1
)
*
_xlfn.SWITCH(J316,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16" s="1">
        <f t="shared" ca="1" si="29"/>
        <v>55</v>
      </c>
    </row>
    <row r="317" spans="1:30" ht="18.75" x14ac:dyDescent="0.25">
      <c r="A317" s="52">
        <v>280</v>
      </c>
      <c r="B317" s="6">
        <v>24</v>
      </c>
      <c r="C317" s="6">
        <v>2017</v>
      </c>
      <c r="D317" s="7">
        <v>42843</v>
      </c>
      <c r="E317" s="12"/>
      <c r="F317" s="6"/>
      <c r="G317" s="6" t="s">
        <v>397</v>
      </c>
      <c r="H317" s="6"/>
      <c r="I317" s="6" t="s">
        <v>105</v>
      </c>
      <c r="J317" s="3" t="s">
        <v>27</v>
      </c>
      <c r="K317" s="6">
        <v>50</v>
      </c>
      <c r="L317" s="3" t="s">
        <v>196</v>
      </c>
      <c r="M317" s="7"/>
      <c r="N317" s="6"/>
      <c r="O317" s="9">
        <f>0.47*Table2[[#This Row],[قيمة المحضر]]</f>
        <v>0</v>
      </c>
      <c r="P317" s="9">
        <f>0.17*Table2[[#This Row],[قيمة المحضر]]</f>
        <v>0</v>
      </c>
      <c r="Q317" s="9">
        <f t="shared" ca="1" si="30"/>
        <v>11750</v>
      </c>
      <c r="R317" s="3"/>
      <c r="S317" s="3"/>
      <c r="T317" s="9" t="str">
        <f t="shared" si="31"/>
        <v>-</v>
      </c>
      <c r="U317" s="3" t="s">
        <v>25</v>
      </c>
      <c r="V317" s="9" t="str">
        <f t="shared" si="32"/>
        <v>-</v>
      </c>
      <c r="W317" s="4"/>
      <c r="X317" s="38"/>
      <c r="Y317" s="1">
        <f t="shared" ca="1" si="28"/>
        <v>46162</v>
      </c>
      <c r="Z317" s="1" cm="1">
        <f t="array" ref="Z317">IF(D317&gt;DATE(2015,5,16),0,
K317*
(
INT((MIN(Y317,DATE(2015,5,16))-D317)/365)
+
CEILING(MOD((MIN(Y317,DATE(2015,5,16))-D317)/365,1),0.25)
)
*
_xlfn.SWITCH(J317,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17" s="1" cm="1">
        <f t="array" aca="1" ref="AA317" ca="1">IF(Y317&lt;DATE(2015,5,17),0,
K317*
(
INT((MIN(Y317,DATE(2018,9,23))-MAX(D317,DATE(2015,5,17)))/365)
+
CEILING(MOD((MIN(Y317,DATE(2018,9,23))-MAX(D317,DATE(2015,5,17)))/365,1),0.25)
)
*
_xlfn.SWITCH(J317,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600</v>
      </c>
      <c r="AB317" s="1" cm="1">
        <f t="array" aca="1" ref="AB317" ca="1">IF(Y317&lt;DATE(2018,9,24),0,
IF(J317="زراعة",
K317*
(
INT((MIN(Y317,DATE(2023,4,30))-MAX(D317,DATE(2018,9,24)))/365)
+
CEILING(MOD((MIN(Y317,DATE(2023,4,30))-MAX(D317,DATE(2018,9,24)))/365,1),0.25)
)
*1,
K317*
(
DATEDIF(MAX(D317,DATE(2018,9,24)),MIN(Y317,DATE(2023,4,30)),"m")+1
)
*
_xlfn.SWITCH(J317,
"موقف/تندة",IF(D317&lt;DATE(2019,11,30),6,30),
"تشوينات",IF(D317&lt;DATE(2019,11,30),4,20),
"مشاتل",IF(D317&lt;DATE(2019,11,30),2,10),
"كافيتيريا",IF(D317&lt;DATE(2019,11,30),30,150),
"نوادي",IF(D317&lt;DATE(2019,11,30),6,30),
"رسو مراكب",IF(D317&lt;DATE(2019,11,30),2,10),
"مباني",IF(D317&lt;DATE(2018,9,24),2,10),
"عشش",IF(D317&lt;DATE(2019,11,30),2,10),
"كشك (تجاري/صناعي)",IF(D317&lt;DATE(2019,11,30),10,50),
"ردم",20,
0)))</f>
        <v>5600</v>
      </c>
      <c r="AC317" s="1" cm="1">
        <f t="array" aca="1" ref="AC317" ca="1">IF(Y317&lt;DATE(2023,5,1),0,
IF(J317="زراعة",
K317*
(
INT((Y317-MAX(DATE(2023,5,1),D317))/365)
+
CEILING(MOD((Y317-MAX(DATE(2023,5,1),D317))/365,1),0.25)
)
*3,
IF(J317="ردم",
K317*20,
K317*
(
DATEDIF(MAX(DATE(2023,5,1),D317),Y317,"m")+1
)
*
_xlfn.SWITCH(J317,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317" s="1">
        <f t="shared" ca="1" si="29"/>
        <v>55</v>
      </c>
    </row>
    <row r="318" spans="1:30" ht="18.75" x14ac:dyDescent="0.25">
      <c r="A318" s="52">
        <v>281</v>
      </c>
      <c r="B318" s="6">
        <v>25</v>
      </c>
      <c r="C318" s="6">
        <v>2017</v>
      </c>
      <c r="D318" s="7">
        <v>42844</v>
      </c>
      <c r="E318" s="12"/>
      <c r="F318" s="6"/>
      <c r="G318" s="6" t="s">
        <v>398</v>
      </c>
      <c r="H318" s="6"/>
      <c r="I318" s="6" t="s">
        <v>105</v>
      </c>
      <c r="J318" s="3" t="s">
        <v>77</v>
      </c>
      <c r="K318" s="6">
        <v>30</v>
      </c>
      <c r="L318" s="3" t="s">
        <v>368</v>
      </c>
      <c r="M318" s="7"/>
      <c r="N318" s="6"/>
      <c r="O318" s="9">
        <f>0.47*Table2[[#This Row],[قيمة المحضر]]</f>
        <v>0</v>
      </c>
      <c r="P318" s="9">
        <f>0.17*Table2[[#This Row],[قيمة المحضر]]</f>
        <v>0</v>
      </c>
      <c r="Q318" s="9">
        <f t="shared" ca="1" si="30"/>
        <v>35100</v>
      </c>
      <c r="R318" s="3"/>
      <c r="S318" s="3"/>
      <c r="T318" s="9" t="str">
        <f t="shared" si="31"/>
        <v>-</v>
      </c>
      <c r="U318" s="3" t="s">
        <v>25</v>
      </c>
      <c r="V318" s="9" t="str">
        <f t="shared" si="32"/>
        <v>-</v>
      </c>
      <c r="W318" s="4"/>
      <c r="X318" s="38"/>
      <c r="Y318" s="1">
        <f t="shared" ca="1" si="28"/>
        <v>46162</v>
      </c>
      <c r="Z318" s="1" cm="1">
        <f t="array" ref="Z318">IF(D318&gt;DATE(2015,5,16),0,
K318*
(
INT((MIN(Y318,DATE(2015,5,16))-D318)/365)
+
CEILING(MOD((MIN(Y318,DATE(2015,5,16))-D318)/365,1),0.25)
)
*
_xlfn.SWITCH(J318,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18" s="1" cm="1">
        <f t="array" aca="1" ref="AA318" ca="1">IF(Y318&lt;DATE(2015,5,17),0,
K318*
(
INT((MIN(Y318,DATE(2018,9,23))-MAX(D318,DATE(2015,5,17)))/365)
+
CEILING(MOD((MIN(Y318,DATE(2018,9,23))-MAX(D318,DATE(2015,5,17)))/365,1),0.25)
)
*
_xlfn.SWITCH(J318,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900</v>
      </c>
      <c r="AB318" s="1" cm="1">
        <f t="array" aca="1" ref="AB318" ca="1">IF(Y318&lt;DATE(2018,9,24),0,
IF(J318="زراعة",
K318*
(
INT((MIN(Y318,DATE(2023,4,30))-MAX(D318,DATE(2018,9,24)))/365)
+
CEILING(MOD((MIN(Y318,DATE(2023,4,30))-MAX(D318,DATE(2018,9,24)))/365,1),0.25)
)
*1,
K318*
(
DATEDIF(MAX(D318,DATE(2018,9,24)),MIN(Y318,DATE(2023,4,30)),"m")+1
)
*
_xlfn.SWITCH(J318,
"موقف/تندة",IF(D318&lt;DATE(2019,11,30),6,30),
"تشوينات",IF(D318&lt;DATE(2019,11,30),4,20),
"مشاتل",IF(D318&lt;DATE(2019,11,30),2,10),
"كافيتيريا",IF(D318&lt;DATE(2019,11,30),30,150),
"نوادي",IF(D318&lt;DATE(2019,11,30),6,30),
"رسو مراكب",IF(D318&lt;DATE(2019,11,30),2,10),
"مباني",IF(D318&lt;DATE(2018,9,24),2,10),
"عشش",IF(D318&lt;DATE(2019,11,30),2,10),
"كشك (تجاري/صناعي)",IF(D318&lt;DATE(2019,11,30),10,50),
"ردم",20,
0)))</f>
        <v>33600</v>
      </c>
      <c r="AC318" s="1" cm="1">
        <f t="array" aca="1" ref="AC318" ca="1">IF(Y318&lt;DATE(2023,5,1),0,
IF(J318="زراعة",
K318*
(
INT((Y318-MAX(DATE(2023,5,1),D318))/365)
+
CEILING(MOD((Y318-MAX(DATE(2023,5,1),D318))/365,1),0.25)
)
*3,
IF(J318="ردم",
K318*20,
K318*
(
DATEDIF(MAX(DATE(2023,5,1),D318),Y318,"m")+1
)
*
_xlfn.SWITCH(J318,
"موقف/تندة",6,
"تشوينات",4,
"مشاتل",2,
"رسو مراكب",6,
"مباني",3,
"عشش",1,
"كشك (تجاري/صناعي)",20,
"مواسير صرف صحي (&lt;1م)",16,
"مواسير صرف صحي (&gt;1م)",18,
0))))</f>
        <v>600</v>
      </c>
      <c r="AD318" s="1">
        <f t="shared" ca="1" si="29"/>
        <v>55</v>
      </c>
    </row>
    <row r="319" spans="1:30" ht="18.75" x14ac:dyDescent="0.25">
      <c r="A319" s="52">
        <v>282</v>
      </c>
      <c r="B319" s="6">
        <v>26</v>
      </c>
      <c r="C319" s="6">
        <v>2017</v>
      </c>
      <c r="D319" s="7">
        <v>42844</v>
      </c>
      <c r="E319" s="12"/>
      <c r="F319" s="6"/>
      <c r="G319" s="6" t="s">
        <v>319</v>
      </c>
      <c r="H319" s="6"/>
      <c r="I319" s="6" t="s">
        <v>105</v>
      </c>
      <c r="J319" s="3" t="s">
        <v>29</v>
      </c>
      <c r="K319" s="6">
        <v>6</v>
      </c>
      <c r="L319" s="3" t="s">
        <v>368</v>
      </c>
      <c r="M319" s="7"/>
      <c r="N319" s="6"/>
      <c r="O319" s="9">
        <f>0.47*Table2[[#This Row],[قيمة المحضر]]</f>
        <v>0</v>
      </c>
      <c r="P319" s="9">
        <f>0.17*Table2[[#This Row],[قيمة المحضر]]</f>
        <v>0</v>
      </c>
      <c r="Q319" s="9">
        <f t="shared" ca="1" si="30"/>
        <v>8880</v>
      </c>
      <c r="R319" s="3"/>
      <c r="S319" s="3"/>
      <c r="T319" s="9" t="str">
        <f t="shared" si="31"/>
        <v>-</v>
      </c>
      <c r="U319" s="3" t="s">
        <v>25</v>
      </c>
      <c r="V319" s="9" t="str">
        <f t="shared" si="32"/>
        <v>-</v>
      </c>
      <c r="W319" s="4"/>
      <c r="X319" s="38"/>
      <c r="Y319" s="1">
        <f t="shared" ca="1" si="28"/>
        <v>46162</v>
      </c>
      <c r="Z319" s="1" cm="1">
        <f t="array" ref="Z319">IF(D319&gt;DATE(2015,5,16),0,
K319*
(
INT((MIN(Y319,DATE(2015,5,16))-D319)/365)
+
CEILING(MOD((MIN(Y319,DATE(2015,5,16))-D319)/365,1),0.25)
)
*
_xlfn.SWITCH(J319,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19" s="1" cm="1">
        <f t="array" aca="1" ref="AA319" ca="1">IF(Y319&lt;DATE(2015,5,17),0,
K319*
(
INT((MIN(Y319,DATE(2018,9,23))-MAX(D319,DATE(2015,5,17)))/365)
+
CEILING(MOD((MIN(Y319,DATE(2018,9,23))-MAX(D319,DATE(2015,5,17)))/365,1),0.25)
)
*
_xlfn.SWITCH(J319,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1080</v>
      </c>
      <c r="AB319" s="1" cm="1">
        <f t="array" aca="1" ref="AB319" ca="1">IF(Y319&lt;DATE(2018,9,24),0,
IF(J319="زراعة",
K319*
(
INT((MIN(Y319,DATE(2023,4,30))-MAX(D319,DATE(2018,9,24)))/365)
+
CEILING(MOD((MIN(Y319,DATE(2023,4,30))-MAX(D319,DATE(2018,9,24)))/365,1),0.25)
)
*1,
K319*
(
DATEDIF(MAX(D319,DATE(2018,9,24)),MIN(Y319,DATE(2023,4,30)),"m")+1
)
*
_xlfn.SWITCH(J319,
"موقف/تندة",IF(D319&lt;DATE(2019,11,30),6,30),
"تشوينات",IF(D319&lt;DATE(2019,11,30),4,20),
"مشاتل",IF(D319&lt;DATE(2019,11,30),2,10),
"كافيتيريا",IF(D319&lt;DATE(2019,11,30),30,150),
"نوادي",IF(D319&lt;DATE(2019,11,30),6,30),
"رسو مراكب",IF(D319&lt;DATE(2019,11,30),2,10),
"مباني",IF(D319&lt;DATE(2018,9,24),2,10),
"عشش",IF(D319&lt;DATE(2019,11,30),2,10),
"كشك (تجاري/صناعي)",IF(D319&lt;DATE(2019,11,30),10,50),
"ردم",20,
0)))</f>
        <v>3360</v>
      </c>
      <c r="AC319" s="1" cm="1">
        <f t="array" aca="1" ref="AC319" ca="1">IF(Y319&lt;DATE(2023,5,1),0,
IF(J319="زراعة",
K319*
(
INT((Y319-MAX(DATE(2023,5,1),D319))/365)
+
CEILING(MOD((Y319-MAX(DATE(2023,5,1),D319))/365,1),0.25)
)
*3,
IF(J319="ردم",
K319*20,
K319*
(
DATEDIF(MAX(DATE(2023,5,1),D319),Y319,"m")+1
)
*
_xlfn.SWITCH(J319,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19" s="1">
        <f t="shared" ca="1" si="29"/>
        <v>55</v>
      </c>
    </row>
    <row r="320" spans="1:30" ht="18.75" x14ac:dyDescent="0.25">
      <c r="A320" s="52">
        <v>283</v>
      </c>
      <c r="B320" s="6">
        <v>27</v>
      </c>
      <c r="C320" s="6">
        <v>2017</v>
      </c>
      <c r="D320" s="7">
        <v>42844</v>
      </c>
      <c r="E320" s="12"/>
      <c r="F320" s="6"/>
      <c r="G320" s="6" t="s">
        <v>320</v>
      </c>
      <c r="H320" s="6"/>
      <c r="I320" s="6" t="s">
        <v>105</v>
      </c>
      <c r="J320" s="3" t="s">
        <v>29</v>
      </c>
      <c r="K320" s="6">
        <v>6</v>
      </c>
      <c r="L320" s="3" t="s">
        <v>368</v>
      </c>
      <c r="M320" s="7"/>
      <c r="N320" s="6"/>
      <c r="O320" s="9">
        <f>0.47*Table2[[#This Row],[قيمة المحضر]]</f>
        <v>0</v>
      </c>
      <c r="P320" s="9">
        <f>0.17*Table2[[#This Row],[قيمة المحضر]]</f>
        <v>0</v>
      </c>
      <c r="Q320" s="9">
        <f t="shared" ca="1" si="30"/>
        <v>8880</v>
      </c>
      <c r="R320" s="3"/>
      <c r="S320" s="3"/>
      <c r="T320" s="9" t="str">
        <f t="shared" si="31"/>
        <v>-</v>
      </c>
      <c r="U320" s="3" t="s">
        <v>25</v>
      </c>
      <c r="V320" s="9" t="str">
        <f t="shared" si="32"/>
        <v>-</v>
      </c>
      <c r="W320" s="4"/>
      <c r="X320" s="38"/>
      <c r="Y320" s="1">
        <f t="shared" ca="1" si="28"/>
        <v>46162</v>
      </c>
      <c r="Z320" s="1" cm="1">
        <f t="array" ref="Z320">IF(D320&gt;DATE(2015,5,16),0,
K320*
(
INT((MIN(Y320,DATE(2015,5,16))-D320)/365)
+
CEILING(MOD((MIN(Y320,DATE(2015,5,16))-D320)/365,1),0.25)
)
*
_xlfn.SWITCH(J320,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20" s="1" cm="1">
        <f t="array" aca="1" ref="AA320" ca="1">IF(Y320&lt;DATE(2015,5,17),0,
K320*
(
INT((MIN(Y320,DATE(2018,9,23))-MAX(D320,DATE(2015,5,17)))/365)
+
CEILING(MOD((MIN(Y320,DATE(2018,9,23))-MAX(D320,DATE(2015,5,17)))/365,1),0.25)
)
*
_xlfn.SWITCH(J320,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1080</v>
      </c>
      <c r="AB320" s="1" cm="1">
        <f t="array" aca="1" ref="AB320" ca="1">IF(Y320&lt;DATE(2018,9,24),0,
IF(J320="زراعة",
K320*
(
INT((MIN(Y320,DATE(2023,4,30))-MAX(D320,DATE(2018,9,24)))/365)
+
CEILING(MOD((MIN(Y320,DATE(2023,4,30))-MAX(D320,DATE(2018,9,24)))/365,1),0.25)
)
*1,
K320*
(
DATEDIF(MAX(D320,DATE(2018,9,24)),MIN(Y320,DATE(2023,4,30)),"m")+1
)
*
_xlfn.SWITCH(J320,
"موقف/تندة",IF(D320&lt;DATE(2019,11,30),6,30),
"تشوينات",IF(D320&lt;DATE(2019,11,30),4,20),
"مشاتل",IF(D320&lt;DATE(2019,11,30),2,10),
"كافيتيريا",IF(D320&lt;DATE(2019,11,30),30,150),
"نوادي",IF(D320&lt;DATE(2019,11,30),6,30),
"رسو مراكب",IF(D320&lt;DATE(2019,11,30),2,10),
"مباني",IF(D320&lt;DATE(2018,9,24),2,10),
"عشش",IF(D320&lt;DATE(2019,11,30),2,10),
"كشك (تجاري/صناعي)",IF(D320&lt;DATE(2019,11,30),10,50),
"ردم",20,
0)))</f>
        <v>3360</v>
      </c>
      <c r="AC320" s="1" cm="1">
        <f t="array" aca="1" ref="AC320" ca="1">IF(Y320&lt;DATE(2023,5,1),0,
IF(J320="زراعة",
K320*
(
INT((Y320-MAX(DATE(2023,5,1),D320))/365)
+
CEILING(MOD((Y320-MAX(DATE(2023,5,1),D320))/365,1),0.25)
)
*3,
IF(J320="ردم",
K320*20,
K320*
(
DATEDIF(MAX(DATE(2023,5,1),D320),Y320,"m")+1
)
*
_xlfn.SWITCH(J320,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20" s="1">
        <f t="shared" ca="1" si="29"/>
        <v>55</v>
      </c>
    </row>
    <row r="321" spans="1:30" ht="18.75" x14ac:dyDescent="0.25">
      <c r="A321" s="52">
        <v>284</v>
      </c>
      <c r="B321" s="6">
        <v>28</v>
      </c>
      <c r="C321" s="6">
        <v>2017</v>
      </c>
      <c r="D321" s="7">
        <v>42844</v>
      </c>
      <c r="E321" s="12"/>
      <c r="F321" s="6"/>
      <c r="G321" s="6" t="s">
        <v>399</v>
      </c>
      <c r="H321" s="6"/>
      <c r="I321" s="6" t="s">
        <v>105</v>
      </c>
      <c r="J321" s="3" t="s">
        <v>28</v>
      </c>
      <c r="K321" s="6">
        <v>30</v>
      </c>
      <c r="L321" s="3" t="s">
        <v>368</v>
      </c>
      <c r="M321" s="7"/>
      <c r="N321" s="6"/>
      <c r="O321" s="9">
        <f>0.47*Table2[[#This Row],[قيمة المحضر]]</f>
        <v>0</v>
      </c>
      <c r="P321" s="9">
        <f>0.17*Table2[[#This Row],[قيمة المحضر]]</f>
        <v>0</v>
      </c>
      <c r="Q321" s="9">
        <f t="shared" ca="1" si="30"/>
        <v>4650</v>
      </c>
      <c r="R321" s="3"/>
      <c r="S321" s="3"/>
      <c r="T321" s="9" t="str">
        <f t="shared" si="31"/>
        <v>-</v>
      </c>
      <c r="U321" s="3" t="s">
        <v>25</v>
      </c>
      <c r="V321" s="9" t="str">
        <f t="shared" si="32"/>
        <v>-</v>
      </c>
      <c r="W321" s="4"/>
      <c r="X321" s="38"/>
      <c r="Y321" s="1">
        <f t="shared" ca="1" si="28"/>
        <v>46162</v>
      </c>
      <c r="Z321" s="1" cm="1">
        <f t="array" ref="Z321">IF(D321&gt;DATE(2015,5,16),0,
K321*
(
INT((MIN(Y321,DATE(2015,5,16))-D321)/365)
+
CEILING(MOD((MIN(Y321,DATE(2015,5,16))-D321)/365,1),0.25)
)
*
_xlfn.SWITCH(J321,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21" s="1" cm="1">
        <f t="array" aca="1" ref="AA321" ca="1">IF(Y321&lt;DATE(2015,5,17),0,
K321*
(
INT((MIN(Y321,DATE(2018,9,23))-MAX(D321,DATE(2015,5,17)))/365)
+
CEILING(MOD((MIN(Y321,DATE(2018,9,23))-MAX(D321,DATE(2015,5,17)))/365,1),0.25)
)
*
_xlfn.SWITCH(J321,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180</v>
      </c>
      <c r="AB321" s="1" cm="1">
        <f t="array" aca="1" ref="AB321" ca="1">IF(Y321&lt;DATE(2018,9,24),0,
IF(J321="زراعة",
K321*
(
INT((MIN(Y321,DATE(2023,4,30))-MAX(D321,DATE(2018,9,24)))/365)
+
CEILING(MOD((MIN(Y321,DATE(2023,4,30))-MAX(D321,DATE(2018,9,24)))/365,1),0.25)
)
*1,
K321*
(
DATEDIF(MAX(D321,DATE(2018,9,24)),MIN(Y321,DATE(2023,4,30)),"m")+1
)
*
_xlfn.SWITCH(J321,
"موقف/تندة",IF(D321&lt;DATE(2019,11,30),6,30),
"تشوينات",IF(D321&lt;DATE(2019,11,30),4,20),
"مشاتل",IF(D321&lt;DATE(2019,11,30),2,10),
"كافيتيريا",IF(D321&lt;DATE(2019,11,30),30,150),
"نوادي",IF(D321&lt;DATE(2019,11,30),6,30),
"رسو مراكب",IF(D321&lt;DATE(2019,11,30),2,10),
"مباني",IF(D321&lt;DATE(2018,9,24),2,10),
"عشش",IF(D321&lt;DATE(2019,11,30),2,10),
"كشك (تجاري/صناعي)",IF(D321&lt;DATE(2019,11,30),10,50),
"ردم",20,
0)))</f>
        <v>3360</v>
      </c>
      <c r="AC321" s="1" cm="1">
        <f t="array" aca="1" ref="AC321" ca="1">IF(Y321&lt;DATE(2023,5,1),0,
IF(J321="زراعة",
K321*
(
INT((Y321-MAX(DATE(2023,5,1),D321))/365)
+
CEILING(MOD((Y321-MAX(DATE(2023,5,1),D321))/365,1),0.25)
)
*3,
IF(J321="ردم",
K321*20,
K321*
(
DATEDIF(MAX(DATE(2023,5,1),D321),Y321,"m")+1
)
*
_xlfn.SWITCH(J321,
"موقف/تندة",6,
"تشوينات",4,
"مشاتل",2,
"رسو مراكب",6,
"مباني",3,
"عشش",1,
"كشك (تجاري/صناعي)",20,
"مواسير صرف صحي (&lt;1م)",16,
"مواسير صرف صحي (&gt;1م)",18,
0))))</f>
        <v>1110</v>
      </c>
      <c r="AD321" s="1">
        <f t="shared" ca="1" si="29"/>
        <v>55</v>
      </c>
    </row>
    <row r="322" spans="1:30" ht="18.75" x14ac:dyDescent="0.25">
      <c r="A322" s="52">
        <v>285</v>
      </c>
      <c r="B322" s="6">
        <v>29</v>
      </c>
      <c r="C322" s="6">
        <v>2017</v>
      </c>
      <c r="D322" s="7">
        <v>42844</v>
      </c>
      <c r="E322" s="12"/>
      <c r="F322" s="6"/>
      <c r="G322" s="6" t="s">
        <v>400</v>
      </c>
      <c r="H322" s="6"/>
      <c r="I322" s="6" t="s">
        <v>105</v>
      </c>
      <c r="J322" s="3" t="s">
        <v>146</v>
      </c>
      <c r="K322" s="6">
        <v>300</v>
      </c>
      <c r="L322" s="3" t="s">
        <v>368</v>
      </c>
      <c r="M322" s="7"/>
      <c r="N322" s="6"/>
      <c r="O322" s="9">
        <f>0.47*Table2[[#This Row],[قيمة المحضر]]</f>
        <v>0</v>
      </c>
      <c r="P322" s="9">
        <f>0.17*Table2[[#This Row],[قيمة المحضر]]</f>
        <v>0</v>
      </c>
      <c r="Q322" s="9">
        <f t="shared" ca="1" si="30"/>
        <v>4485</v>
      </c>
      <c r="R322" s="3"/>
      <c r="S322" s="3"/>
      <c r="T322" s="9" t="str">
        <f t="shared" si="31"/>
        <v>-</v>
      </c>
      <c r="U322" s="3" t="s">
        <v>25</v>
      </c>
      <c r="V322" s="9" t="str">
        <f t="shared" si="32"/>
        <v>-</v>
      </c>
      <c r="W322" s="4"/>
      <c r="X322" s="38"/>
      <c r="Y322" s="1">
        <f t="shared" ca="1" si="28"/>
        <v>46162</v>
      </c>
      <c r="Z322" s="1" cm="1">
        <f t="array" ref="Z322">IF(D322&gt;DATE(2015,5,16),0,
K322*
(
INT((MIN(Y322,DATE(2015,5,16))-D322)/365)
+
CEILING(MOD((MIN(Y322,DATE(2015,5,16))-D322)/365,1),0.25)
)
*
_xlfn.SWITCH(J322,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22" s="1" cm="1">
        <f t="array" aca="1" ref="AA322" ca="1">IF(Y322&lt;DATE(2015,5,17),0,
K322*
(
INT((MIN(Y322,DATE(2018,9,23))-MAX(D322,DATE(2015,5,17)))/365)
+
CEILING(MOD((MIN(Y322,DATE(2018,9,23))-MAX(D322,DATE(2015,5,17)))/365,1),0.25)
)
*
_xlfn.SWITCH(J322,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135</v>
      </c>
      <c r="AB322" s="1" cm="1">
        <f t="array" aca="1" ref="AB322" ca="1">IF(Y322&lt;DATE(2018,9,24),0,
IF(J322="زراعة",
K322*
(
INT((MIN(Y322,DATE(2023,4,30))-MAX(D322,DATE(2018,9,24)))/365)
+
CEILING(MOD((MIN(Y322,DATE(2023,4,30))-MAX(D322,DATE(2018,9,24)))/365,1),0.25)
)
*1,
K322*
(
DATEDIF(MAX(D322,DATE(2018,9,24)),MIN(Y322,DATE(2023,4,30)),"m")+1
)
*
_xlfn.SWITCH(J322,
"موقف/تندة",IF(D322&lt;DATE(2019,11,30),6,30),
"تشوينات",IF(D322&lt;DATE(2019,11,30),4,20),
"مشاتل",IF(D322&lt;DATE(2019,11,30),2,10),
"كافيتيريا",IF(D322&lt;DATE(2019,11,30),30,150),
"نوادي",IF(D322&lt;DATE(2019,11,30),6,30),
"رسو مراكب",IF(D322&lt;DATE(2019,11,30),2,10),
"مباني",IF(D322&lt;DATE(2018,9,24),2,10),
"عشش",IF(D322&lt;DATE(2019,11,30),2,10),
"كشك (تجاري/صناعي)",IF(D322&lt;DATE(2019,11,30),10,50),
"ردم",20,
0)))</f>
        <v>1425</v>
      </c>
      <c r="AC322" s="1" cm="1">
        <f t="array" aca="1" ref="AC322" ca="1">IF(Y322&lt;DATE(2023,5,1),0,
IF(J322="زراعة",
K322*
(
INT((Y322-MAX(DATE(2023,5,1),D322))/365)
+
CEILING(MOD((Y322-MAX(DATE(2023,5,1),D322))/365,1),0.25)
)
*3,
IF(J322="ردم",
K322*20,
K322*
(
DATEDIF(MAX(DATE(2023,5,1),D322),Y322,"m")+1
)
*
_xlfn.SWITCH(J322,
"موقف/تندة",6,
"تشوينات",4,
"مشاتل",2,
"رسو مراكب",6,
"مباني",3,
"عشش",1,
"كشك (تجاري/صناعي)",20,
"مواسير صرف صحي (&lt;1م)",16,
"مواسير صرف صحي (&gt;1م)",18,
0))))</f>
        <v>2925</v>
      </c>
      <c r="AD322" s="1">
        <f t="shared" ca="1" si="29"/>
        <v>55</v>
      </c>
    </row>
    <row r="323" spans="1:30" ht="18.75" x14ac:dyDescent="0.25">
      <c r="A323" s="52">
        <v>286</v>
      </c>
      <c r="B323" s="6">
        <v>30</v>
      </c>
      <c r="C323" s="6">
        <v>2017</v>
      </c>
      <c r="D323" s="7">
        <v>42844</v>
      </c>
      <c r="E323" s="12"/>
      <c r="F323" s="6"/>
      <c r="G323" s="6" t="s">
        <v>401</v>
      </c>
      <c r="H323" s="6"/>
      <c r="I323" s="6" t="s">
        <v>102</v>
      </c>
      <c r="J323" s="3" t="s">
        <v>146</v>
      </c>
      <c r="K323" s="6">
        <v>100</v>
      </c>
      <c r="L323" s="3" t="s">
        <v>88</v>
      </c>
      <c r="M323" s="7"/>
      <c r="N323" s="6"/>
      <c r="O323" s="9">
        <f>0.47*Table2[[#This Row],[قيمة المحضر]]</f>
        <v>0</v>
      </c>
      <c r="P323" s="9">
        <f>0.17*Table2[[#This Row],[قيمة المحضر]]</f>
        <v>0</v>
      </c>
      <c r="Q323" s="9">
        <f t="shared" ca="1" si="30"/>
        <v>1495</v>
      </c>
      <c r="R323" s="3"/>
      <c r="S323" s="3"/>
      <c r="T323" s="9" t="str">
        <f t="shared" si="31"/>
        <v>-</v>
      </c>
      <c r="U323" s="3" t="s">
        <v>25</v>
      </c>
      <c r="V323" s="9" t="str">
        <f t="shared" si="32"/>
        <v>-</v>
      </c>
      <c r="W323" s="4"/>
      <c r="X323" s="38"/>
      <c r="Y323" s="1">
        <f t="shared" ref="Y323:Y386" ca="1" si="33">IF(M323="",TODAY(),M323)</f>
        <v>46162</v>
      </c>
      <c r="Z323" s="1" cm="1">
        <f t="array" ref="Z323">IF(D323&gt;DATE(2015,5,16),0,
K323*
(
INT((MIN(Y323,DATE(2015,5,16))-D323)/365)
+
CEILING(MOD((MIN(Y323,DATE(2015,5,16))-D323)/365,1),0.25)
)
*
_xlfn.SWITCH(J323,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23" s="1" cm="1">
        <f t="array" aca="1" ref="AA323" ca="1">IF(Y323&lt;DATE(2015,5,17),0,
K323*
(
INT((MIN(Y323,DATE(2018,9,23))-MAX(D323,DATE(2015,5,17)))/365)
+
CEILING(MOD((MIN(Y323,DATE(2018,9,23))-MAX(D323,DATE(2015,5,17)))/365,1),0.25)
)
*
_xlfn.SWITCH(J323,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45</v>
      </c>
      <c r="AB323" s="1" cm="1">
        <f t="array" aca="1" ref="AB323" ca="1">IF(Y323&lt;DATE(2018,9,24),0,
IF(J323="زراعة",
K323*
(
INT((MIN(Y323,DATE(2023,4,30))-MAX(D323,DATE(2018,9,24)))/365)
+
CEILING(MOD((MIN(Y323,DATE(2023,4,30))-MAX(D323,DATE(2018,9,24)))/365,1),0.25)
)
*1,
K323*
(
DATEDIF(MAX(D323,DATE(2018,9,24)),MIN(Y323,DATE(2023,4,30)),"m")+1
)
*
_xlfn.SWITCH(J323,
"موقف/تندة",IF(D323&lt;DATE(2019,11,30),6,30),
"تشوينات",IF(D323&lt;DATE(2019,11,30),4,20),
"مشاتل",IF(D323&lt;DATE(2019,11,30),2,10),
"كافيتيريا",IF(D323&lt;DATE(2019,11,30),30,150),
"نوادي",IF(D323&lt;DATE(2019,11,30),6,30),
"رسو مراكب",IF(D323&lt;DATE(2019,11,30),2,10),
"مباني",IF(D323&lt;DATE(2018,9,24),2,10),
"عشش",IF(D323&lt;DATE(2019,11,30),2,10),
"كشك (تجاري/صناعي)",IF(D323&lt;DATE(2019,11,30),10,50),
"ردم",20,
0)))</f>
        <v>475</v>
      </c>
      <c r="AC323" s="1" cm="1">
        <f t="array" aca="1" ref="AC323" ca="1">IF(Y323&lt;DATE(2023,5,1),0,
IF(J323="زراعة",
K323*
(
INT((Y323-MAX(DATE(2023,5,1),D323))/365)
+
CEILING(MOD((Y323-MAX(DATE(2023,5,1),D323))/365,1),0.25)
)
*3,
IF(J323="ردم",
K323*20,
K323*
(
DATEDIF(MAX(DATE(2023,5,1),D323),Y323,"m")+1
)
*
_xlfn.SWITCH(J323,
"موقف/تندة",6,
"تشوينات",4,
"مشاتل",2,
"رسو مراكب",6,
"مباني",3,
"عشش",1,
"كشك (تجاري/صناعي)",20,
"مواسير صرف صحي (&lt;1م)",16,
"مواسير صرف صحي (&gt;1م)",18,
0))))</f>
        <v>975</v>
      </c>
      <c r="AD323" s="1">
        <f t="shared" ref="AD323:AD386" ca="1" si="34">DATEDIF(MAX(D323,DATE(2018,9,24)),MIN(Y323,DATE(2023,4,30)),"m")</f>
        <v>55</v>
      </c>
    </row>
    <row r="324" spans="1:30" ht="18.75" x14ac:dyDescent="0.25">
      <c r="A324" s="52">
        <v>287</v>
      </c>
      <c r="B324" s="6">
        <v>31</v>
      </c>
      <c r="C324" s="6">
        <v>2017</v>
      </c>
      <c r="D324" s="7">
        <v>42844</v>
      </c>
      <c r="E324" s="12"/>
      <c r="F324" s="6"/>
      <c r="G324" s="6" t="s">
        <v>402</v>
      </c>
      <c r="H324" s="6"/>
      <c r="I324" s="6" t="s">
        <v>33</v>
      </c>
      <c r="J324" s="3" t="s">
        <v>146</v>
      </c>
      <c r="K324" s="6">
        <v>1000</v>
      </c>
      <c r="L324" s="3" t="s">
        <v>88</v>
      </c>
      <c r="M324" s="7"/>
      <c r="N324" s="6"/>
      <c r="O324" s="9">
        <f>0.47*Table2[[#This Row],[قيمة المحضر]]</f>
        <v>0</v>
      </c>
      <c r="P324" s="9">
        <f>0.17*Table2[[#This Row],[قيمة المحضر]]</f>
        <v>0</v>
      </c>
      <c r="Q324" s="9">
        <f t="shared" ca="1" si="30"/>
        <v>14950</v>
      </c>
      <c r="R324" s="3"/>
      <c r="S324" s="3"/>
      <c r="T324" s="9" t="str">
        <f t="shared" si="31"/>
        <v>-</v>
      </c>
      <c r="U324" s="3" t="s">
        <v>25</v>
      </c>
      <c r="V324" s="9" t="str">
        <f t="shared" si="32"/>
        <v>-</v>
      </c>
      <c r="W324" s="4"/>
      <c r="X324" s="38"/>
      <c r="Y324" s="1">
        <f t="shared" ca="1" si="33"/>
        <v>46162</v>
      </c>
      <c r="Z324" s="1" cm="1">
        <f t="array" ref="Z324">IF(D324&gt;DATE(2015,5,16),0,
K324*
(
INT((MIN(Y324,DATE(2015,5,16))-D324)/365)
+
CEILING(MOD((MIN(Y324,DATE(2015,5,16))-D324)/365,1),0.25)
)
*
_xlfn.SWITCH(J324,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24" s="1" cm="1">
        <f t="array" aca="1" ref="AA324" ca="1">IF(Y324&lt;DATE(2015,5,17),0,
K324*
(
INT((MIN(Y324,DATE(2018,9,23))-MAX(D324,DATE(2015,5,17)))/365)
+
CEILING(MOD((MIN(Y324,DATE(2018,9,23))-MAX(D324,DATE(2015,5,17)))/365,1),0.25)
)
*
_xlfn.SWITCH(J324,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450</v>
      </c>
      <c r="AB324" s="1" cm="1">
        <f t="array" aca="1" ref="AB324" ca="1">IF(Y324&lt;DATE(2018,9,24),0,
IF(J324="زراعة",
K324*
(
INT((MIN(Y324,DATE(2023,4,30))-MAX(D324,DATE(2018,9,24)))/365)
+
CEILING(MOD((MIN(Y324,DATE(2023,4,30))-MAX(D324,DATE(2018,9,24)))/365,1),0.25)
)
*1,
K324*
(
DATEDIF(MAX(D324,DATE(2018,9,24)),MIN(Y324,DATE(2023,4,30)),"m")+1
)
*
_xlfn.SWITCH(J324,
"موقف/تندة",IF(D324&lt;DATE(2019,11,30),6,30),
"تشوينات",IF(D324&lt;DATE(2019,11,30),4,20),
"مشاتل",IF(D324&lt;DATE(2019,11,30),2,10),
"كافيتيريا",IF(D324&lt;DATE(2019,11,30),30,150),
"نوادي",IF(D324&lt;DATE(2019,11,30),6,30),
"رسو مراكب",IF(D324&lt;DATE(2019,11,30),2,10),
"مباني",IF(D324&lt;DATE(2018,9,24),2,10),
"عشش",IF(D324&lt;DATE(2019,11,30),2,10),
"كشك (تجاري/صناعي)",IF(D324&lt;DATE(2019,11,30),10,50),
"ردم",20,
0)))</f>
        <v>4750</v>
      </c>
      <c r="AC324" s="1" cm="1">
        <f t="array" aca="1" ref="AC324" ca="1">IF(Y324&lt;DATE(2023,5,1),0,
IF(J324="زراعة",
K324*
(
INT((Y324-MAX(DATE(2023,5,1),D324))/365)
+
CEILING(MOD((Y324-MAX(DATE(2023,5,1),D324))/365,1),0.25)
)
*3,
IF(J324="ردم",
K324*20,
K324*
(
DATEDIF(MAX(DATE(2023,5,1),D324),Y324,"m")+1
)
*
_xlfn.SWITCH(J324,
"موقف/تندة",6,
"تشوينات",4,
"مشاتل",2,
"رسو مراكب",6,
"مباني",3,
"عشش",1,
"كشك (تجاري/صناعي)",20,
"مواسير صرف صحي (&lt;1م)",16,
"مواسير صرف صحي (&gt;1م)",18,
0))))</f>
        <v>9750</v>
      </c>
      <c r="AD324" s="1">
        <f t="shared" ca="1" si="34"/>
        <v>55</v>
      </c>
    </row>
    <row r="325" spans="1:30" ht="18.75" x14ac:dyDescent="0.25">
      <c r="A325" s="52">
        <v>288</v>
      </c>
      <c r="B325" s="6">
        <v>32</v>
      </c>
      <c r="C325" s="6">
        <v>2017</v>
      </c>
      <c r="D325" s="7">
        <v>42844</v>
      </c>
      <c r="E325" s="12"/>
      <c r="F325" s="6"/>
      <c r="G325" s="6" t="s">
        <v>403</v>
      </c>
      <c r="H325" s="6"/>
      <c r="I325" s="6" t="s">
        <v>33</v>
      </c>
      <c r="J325" s="3" t="s">
        <v>146</v>
      </c>
      <c r="K325" s="6">
        <v>250</v>
      </c>
      <c r="L325" s="3" t="s">
        <v>88</v>
      </c>
      <c r="M325" s="7"/>
      <c r="N325" s="6"/>
      <c r="O325" s="9">
        <f>0.47*Table2[[#This Row],[قيمة المحضر]]</f>
        <v>0</v>
      </c>
      <c r="P325" s="9">
        <f>0.17*Table2[[#This Row],[قيمة المحضر]]</f>
        <v>0</v>
      </c>
      <c r="Q325" s="9">
        <f t="shared" ca="1" si="30"/>
        <v>3737.5</v>
      </c>
      <c r="R325" s="3"/>
      <c r="S325" s="3"/>
      <c r="T325" s="9" t="str">
        <f t="shared" si="31"/>
        <v>-</v>
      </c>
      <c r="U325" s="3" t="s">
        <v>25</v>
      </c>
      <c r="V325" s="9" t="str">
        <f t="shared" si="32"/>
        <v>-</v>
      </c>
      <c r="W325" s="4"/>
      <c r="X325" s="38"/>
      <c r="Y325" s="1">
        <f t="shared" ca="1" si="33"/>
        <v>46162</v>
      </c>
      <c r="Z325" s="1" cm="1">
        <f t="array" ref="Z325">IF(D325&gt;DATE(2015,5,16),0,
K325*
(
INT((MIN(Y325,DATE(2015,5,16))-D325)/365)
+
CEILING(MOD((MIN(Y325,DATE(2015,5,16))-D325)/365,1),0.25)
)
*
_xlfn.SWITCH(J325,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25" s="1" cm="1">
        <f t="array" aca="1" ref="AA325" ca="1">IF(Y325&lt;DATE(2015,5,17),0,
K325*
(
INT((MIN(Y325,DATE(2018,9,23))-MAX(D325,DATE(2015,5,17)))/365)
+
CEILING(MOD((MIN(Y325,DATE(2018,9,23))-MAX(D325,DATE(2015,5,17)))/365,1),0.25)
)
*
_xlfn.SWITCH(J325,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112.5</v>
      </c>
      <c r="AB325" s="1" cm="1">
        <f t="array" aca="1" ref="AB325" ca="1">IF(Y325&lt;DATE(2018,9,24),0,
IF(J325="زراعة",
K325*
(
INT((MIN(Y325,DATE(2023,4,30))-MAX(D325,DATE(2018,9,24)))/365)
+
CEILING(MOD((MIN(Y325,DATE(2023,4,30))-MAX(D325,DATE(2018,9,24)))/365,1),0.25)
)
*1,
K325*
(
DATEDIF(MAX(D325,DATE(2018,9,24)),MIN(Y325,DATE(2023,4,30)),"m")+1
)
*
_xlfn.SWITCH(J325,
"موقف/تندة",IF(D325&lt;DATE(2019,11,30),6,30),
"تشوينات",IF(D325&lt;DATE(2019,11,30),4,20),
"مشاتل",IF(D325&lt;DATE(2019,11,30),2,10),
"كافيتيريا",IF(D325&lt;DATE(2019,11,30),30,150),
"نوادي",IF(D325&lt;DATE(2019,11,30),6,30),
"رسو مراكب",IF(D325&lt;DATE(2019,11,30),2,10),
"مباني",IF(D325&lt;DATE(2018,9,24),2,10),
"عشش",IF(D325&lt;DATE(2019,11,30),2,10),
"كشك (تجاري/صناعي)",IF(D325&lt;DATE(2019,11,30),10,50),
"ردم",20,
0)))</f>
        <v>1187.5</v>
      </c>
      <c r="AC325" s="1" cm="1">
        <f t="array" aca="1" ref="AC325" ca="1">IF(Y325&lt;DATE(2023,5,1),0,
IF(J325="زراعة",
K325*
(
INT((Y325-MAX(DATE(2023,5,1),D325))/365)
+
CEILING(MOD((Y325-MAX(DATE(2023,5,1),D325))/365,1),0.25)
)
*3,
IF(J325="ردم",
K325*20,
K325*
(
DATEDIF(MAX(DATE(2023,5,1),D325),Y325,"m")+1
)
*
_xlfn.SWITCH(J325,
"موقف/تندة",6,
"تشوينات",4,
"مشاتل",2,
"رسو مراكب",6,
"مباني",3,
"عشش",1,
"كشك (تجاري/صناعي)",20,
"مواسير صرف صحي (&lt;1م)",16,
"مواسير صرف صحي (&gt;1م)",18,
0))))</f>
        <v>2437.5</v>
      </c>
      <c r="AD325" s="1">
        <f t="shared" ca="1" si="34"/>
        <v>55</v>
      </c>
    </row>
    <row r="326" spans="1:30" ht="18.75" x14ac:dyDescent="0.25">
      <c r="A326" s="52">
        <v>289</v>
      </c>
      <c r="B326" s="6">
        <v>33</v>
      </c>
      <c r="C326" s="6">
        <v>2017</v>
      </c>
      <c r="D326" s="7">
        <v>42844</v>
      </c>
      <c r="E326" s="12"/>
      <c r="F326" s="6"/>
      <c r="G326" s="6" t="s">
        <v>404</v>
      </c>
      <c r="H326" s="6"/>
      <c r="I326" s="6" t="s">
        <v>33</v>
      </c>
      <c r="J326" s="3" t="s">
        <v>146</v>
      </c>
      <c r="K326" s="6">
        <v>350</v>
      </c>
      <c r="L326" s="3" t="s">
        <v>88</v>
      </c>
      <c r="M326" s="7"/>
      <c r="N326" s="6"/>
      <c r="O326" s="9">
        <f>0.47*Table2[[#This Row],[قيمة المحضر]]</f>
        <v>0</v>
      </c>
      <c r="P326" s="9">
        <f>0.17*Table2[[#This Row],[قيمة المحضر]]</f>
        <v>0</v>
      </c>
      <c r="Q326" s="9">
        <f t="shared" ca="1" si="30"/>
        <v>5232.5</v>
      </c>
      <c r="R326" s="3"/>
      <c r="S326" s="3"/>
      <c r="T326" s="9" t="str">
        <f t="shared" si="31"/>
        <v>-</v>
      </c>
      <c r="U326" s="3" t="s">
        <v>25</v>
      </c>
      <c r="V326" s="9" t="str">
        <f t="shared" si="32"/>
        <v>-</v>
      </c>
      <c r="W326" s="4"/>
      <c r="X326" s="38"/>
      <c r="Y326" s="1">
        <f t="shared" ca="1" si="33"/>
        <v>46162</v>
      </c>
      <c r="Z326" s="1" cm="1">
        <f t="array" ref="Z326">IF(D326&gt;DATE(2015,5,16),0,
K326*
(
INT((MIN(Y326,DATE(2015,5,16))-D326)/365)
+
CEILING(MOD((MIN(Y326,DATE(2015,5,16))-D326)/365,1),0.25)
)
*
_xlfn.SWITCH(J326,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26" s="1" cm="1">
        <f t="array" aca="1" ref="AA326" ca="1">IF(Y326&lt;DATE(2015,5,17),0,
K326*
(
INT((MIN(Y326,DATE(2018,9,23))-MAX(D326,DATE(2015,5,17)))/365)
+
CEILING(MOD((MIN(Y326,DATE(2018,9,23))-MAX(D326,DATE(2015,5,17)))/365,1),0.25)
)
*
_xlfn.SWITCH(J326,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157.5</v>
      </c>
      <c r="AB326" s="1" cm="1">
        <f t="array" aca="1" ref="AB326" ca="1">IF(Y326&lt;DATE(2018,9,24),0,
IF(J326="زراعة",
K326*
(
INT((MIN(Y326,DATE(2023,4,30))-MAX(D326,DATE(2018,9,24)))/365)
+
CEILING(MOD((MIN(Y326,DATE(2023,4,30))-MAX(D326,DATE(2018,9,24)))/365,1),0.25)
)
*1,
K326*
(
DATEDIF(MAX(D326,DATE(2018,9,24)),MIN(Y326,DATE(2023,4,30)),"m")+1
)
*
_xlfn.SWITCH(J326,
"موقف/تندة",IF(D326&lt;DATE(2019,11,30),6,30),
"تشوينات",IF(D326&lt;DATE(2019,11,30),4,20),
"مشاتل",IF(D326&lt;DATE(2019,11,30),2,10),
"كافيتيريا",IF(D326&lt;DATE(2019,11,30),30,150),
"نوادي",IF(D326&lt;DATE(2019,11,30),6,30),
"رسو مراكب",IF(D326&lt;DATE(2019,11,30),2,10),
"مباني",IF(D326&lt;DATE(2018,9,24),2,10),
"عشش",IF(D326&lt;DATE(2019,11,30),2,10),
"كشك (تجاري/صناعي)",IF(D326&lt;DATE(2019,11,30),10,50),
"ردم",20,
0)))</f>
        <v>1662.5</v>
      </c>
      <c r="AC326" s="1" cm="1">
        <f t="array" aca="1" ref="AC326" ca="1">IF(Y326&lt;DATE(2023,5,1),0,
IF(J326="زراعة",
K326*
(
INT((Y326-MAX(DATE(2023,5,1),D326))/365)
+
CEILING(MOD((Y326-MAX(DATE(2023,5,1),D326))/365,1),0.25)
)
*3,
IF(J326="ردم",
K326*20,
K326*
(
DATEDIF(MAX(DATE(2023,5,1),D326),Y326,"m")+1
)
*
_xlfn.SWITCH(J326,
"موقف/تندة",6,
"تشوينات",4,
"مشاتل",2,
"رسو مراكب",6,
"مباني",3,
"عشش",1,
"كشك (تجاري/صناعي)",20,
"مواسير صرف صحي (&lt;1م)",16,
"مواسير صرف صحي (&gt;1م)",18,
0))))</f>
        <v>3412.5</v>
      </c>
      <c r="AD326" s="1">
        <f t="shared" ca="1" si="34"/>
        <v>55</v>
      </c>
    </row>
    <row r="327" spans="1:30" ht="18.75" x14ac:dyDescent="0.25">
      <c r="A327" s="52">
        <v>290</v>
      </c>
      <c r="B327" s="6">
        <v>34</v>
      </c>
      <c r="C327" s="6">
        <v>2017</v>
      </c>
      <c r="D327" s="7">
        <v>42844</v>
      </c>
      <c r="E327" s="12"/>
      <c r="F327" s="6"/>
      <c r="G327" s="6" t="s">
        <v>405</v>
      </c>
      <c r="H327" s="6"/>
      <c r="I327" s="6" t="s">
        <v>33</v>
      </c>
      <c r="J327" s="3" t="s">
        <v>146</v>
      </c>
      <c r="K327" s="6">
        <v>350</v>
      </c>
      <c r="L327" s="3" t="s">
        <v>88</v>
      </c>
      <c r="M327" s="7"/>
      <c r="N327" s="6"/>
      <c r="O327" s="9">
        <f>0.47*Table2[[#This Row],[قيمة المحضر]]</f>
        <v>0</v>
      </c>
      <c r="P327" s="9">
        <f>0.17*Table2[[#This Row],[قيمة المحضر]]</f>
        <v>0</v>
      </c>
      <c r="Q327" s="9">
        <f t="shared" ca="1" si="30"/>
        <v>5232.5</v>
      </c>
      <c r="R327" s="3"/>
      <c r="S327" s="3"/>
      <c r="T327" s="9" t="str">
        <f t="shared" si="31"/>
        <v>-</v>
      </c>
      <c r="U327" s="3" t="s">
        <v>25</v>
      </c>
      <c r="V327" s="9" t="str">
        <f t="shared" si="32"/>
        <v>-</v>
      </c>
      <c r="W327" s="4"/>
      <c r="X327" s="38"/>
      <c r="Y327" s="1">
        <f t="shared" ca="1" si="33"/>
        <v>46162</v>
      </c>
      <c r="Z327" s="1" cm="1">
        <f t="array" ref="Z327">IF(D327&gt;DATE(2015,5,16),0,
K327*
(
INT((MIN(Y327,DATE(2015,5,16))-D327)/365)
+
CEILING(MOD((MIN(Y327,DATE(2015,5,16))-D327)/365,1),0.25)
)
*
_xlfn.SWITCH(J327,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27" s="1" cm="1">
        <f t="array" aca="1" ref="AA327" ca="1">IF(Y327&lt;DATE(2015,5,17),0,
K327*
(
INT((MIN(Y327,DATE(2018,9,23))-MAX(D327,DATE(2015,5,17)))/365)
+
CEILING(MOD((MIN(Y327,DATE(2018,9,23))-MAX(D327,DATE(2015,5,17)))/365,1),0.25)
)
*
_xlfn.SWITCH(J327,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157.5</v>
      </c>
      <c r="AB327" s="1" cm="1">
        <f t="array" aca="1" ref="AB327" ca="1">IF(Y327&lt;DATE(2018,9,24),0,
IF(J327="زراعة",
K327*
(
INT((MIN(Y327,DATE(2023,4,30))-MAX(D327,DATE(2018,9,24)))/365)
+
CEILING(MOD((MIN(Y327,DATE(2023,4,30))-MAX(D327,DATE(2018,9,24)))/365,1),0.25)
)
*1,
K327*
(
DATEDIF(MAX(D327,DATE(2018,9,24)),MIN(Y327,DATE(2023,4,30)),"m")+1
)
*
_xlfn.SWITCH(J327,
"موقف/تندة",IF(D327&lt;DATE(2019,11,30),6,30),
"تشوينات",IF(D327&lt;DATE(2019,11,30),4,20),
"مشاتل",IF(D327&lt;DATE(2019,11,30),2,10),
"كافيتيريا",IF(D327&lt;DATE(2019,11,30),30,150),
"نوادي",IF(D327&lt;DATE(2019,11,30),6,30),
"رسو مراكب",IF(D327&lt;DATE(2019,11,30),2,10),
"مباني",IF(D327&lt;DATE(2018,9,24),2,10),
"عشش",IF(D327&lt;DATE(2019,11,30),2,10),
"كشك (تجاري/صناعي)",IF(D327&lt;DATE(2019,11,30),10,50),
"ردم",20,
0)))</f>
        <v>1662.5</v>
      </c>
      <c r="AC327" s="1" cm="1">
        <f t="array" aca="1" ref="AC327" ca="1">IF(Y327&lt;DATE(2023,5,1),0,
IF(J327="زراعة",
K327*
(
INT((Y327-MAX(DATE(2023,5,1),D327))/365)
+
CEILING(MOD((Y327-MAX(DATE(2023,5,1),D327))/365,1),0.25)
)
*3,
IF(J327="ردم",
K327*20,
K327*
(
DATEDIF(MAX(DATE(2023,5,1),D327),Y327,"m")+1
)
*
_xlfn.SWITCH(J327,
"موقف/تندة",6,
"تشوينات",4,
"مشاتل",2,
"رسو مراكب",6,
"مباني",3,
"عشش",1,
"كشك (تجاري/صناعي)",20,
"مواسير صرف صحي (&lt;1م)",16,
"مواسير صرف صحي (&gt;1م)",18,
0))))</f>
        <v>3412.5</v>
      </c>
      <c r="AD327" s="1">
        <f t="shared" ca="1" si="34"/>
        <v>55</v>
      </c>
    </row>
    <row r="328" spans="1:30" ht="18.75" x14ac:dyDescent="0.25">
      <c r="A328" s="52">
        <v>291</v>
      </c>
      <c r="B328" s="6">
        <v>35</v>
      </c>
      <c r="C328" s="6">
        <v>2017</v>
      </c>
      <c r="D328" s="7">
        <v>42845</v>
      </c>
      <c r="E328" s="12"/>
      <c r="F328" s="6"/>
      <c r="G328" s="6" t="s">
        <v>406</v>
      </c>
      <c r="H328" s="6"/>
      <c r="I328" s="6" t="s">
        <v>144</v>
      </c>
      <c r="J328" s="3" t="s">
        <v>27</v>
      </c>
      <c r="K328" s="6">
        <v>100</v>
      </c>
      <c r="L328" s="3" t="s">
        <v>90</v>
      </c>
      <c r="M328" s="7"/>
      <c r="N328" s="6"/>
      <c r="O328" s="9">
        <f>0.47*Table2[[#This Row],[قيمة المحضر]]</f>
        <v>0</v>
      </c>
      <c r="P328" s="9">
        <f>0.17*Table2[[#This Row],[قيمة المحضر]]</f>
        <v>0</v>
      </c>
      <c r="Q328" s="9">
        <f t="shared" ca="1" si="30"/>
        <v>23500</v>
      </c>
      <c r="R328" s="3"/>
      <c r="S328" s="3"/>
      <c r="T328" s="9" t="str">
        <f t="shared" si="31"/>
        <v>-</v>
      </c>
      <c r="U328" s="3" t="s">
        <v>25</v>
      </c>
      <c r="V328" s="9" t="str">
        <f t="shared" si="32"/>
        <v>-</v>
      </c>
      <c r="W328" s="4"/>
      <c r="X328" s="38"/>
      <c r="Y328" s="1">
        <f t="shared" ca="1" si="33"/>
        <v>46162</v>
      </c>
      <c r="Z328" s="1" cm="1">
        <f t="array" ref="Z328">IF(D328&gt;DATE(2015,5,16),0,
K328*
(
INT((MIN(Y328,DATE(2015,5,16))-D328)/365)
+
CEILING(MOD((MIN(Y328,DATE(2015,5,16))-D328)/365,1),0.25)
)
*
_xlfn.SWITCH(J328,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28" s="1" cm="1">
        <f t="array" aca="1" ref="AA328" ca="1">IF(Y328&lt;DATE(2015,5,17),0,
K328*
(
INT((MIN(Y328,DATE(2018,9,23))-MAX(D328,DATE(2015,5,17)))/365)
+
CEILING(MOD((MIN(Y328,DATE(2018,9,23))-MAX(D328,DATE(2015,5,17)))/365,1),0.25)
)
*
_xlfn.SWITCH(J328,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1200</v>
      </c>
      <c r="AB328" s="1" cm="1">
        <f t="array" aca="1" ref="AB328" ca="1">IF(Y328&lt;DATE(2018,9,24),0,
IF(J328="زراعة",
K328*
(
INT((MIN(Y328,DATE(2023,4,30))-MAX(D328,DATE(2018,9,24)))/365)
+
CEILING(MOD((MIN(Y328,DATE(2023,4,30))-MAX(D328,DATE(2018,9,24)))/365,1),0.25)
)
*1,
K328*
(
DATEDIF(MAX(D328,DATE(2018,9,24)),MIN(Y328,DATE(2023,4,30)),"m")+1
)
*
_xlfn.SWITCH(J328,
"موقف/تندة",IF(D328&lt;DATE(2019,11,30),6,30),
"تشوينات",IF(D328&lt;DATE(2019,11,30),4,20),
"مشاتل",IF(D328&lt;DATE(2019,11,30),2,10),
"كافيتيريا",IF(D328&lt;DATE(2019,11,30),30,150),
"نوادي",IF(D328&lt;DATE(2019,11,30),6,30),
"رسو مراكب",IF(D328&lt;DATE(2019,11,30),2,10),
"مباني",IF(D328&lt;DATE(2018,9,24),2,10),
"عشش",IF(D328&lt;DATE(2019,11,30),2,10),
"كشك (تجاري/صناعي)",IF(D328&lt;DATE(2019,11,30),10,50),
"ردم",20,
0)))</f>
        <v>11200</v>
      </c>
      <c r="AC328" s="1" cm="1">
        <f t="array" aca="1" ref="AC328" ca="1">IF(Y328&lt;DATE(2023,5,1),0,
IF(J328="زراعة",
K328*
(
INT((Y328-MAX(DATE(2023,5,1),D328))/365)
+
CEILING(MOD((Y328-MAX(DATE(2023,5,1),D328))/365,1),0.25)
)
*3,
IF(J328="ردم",
K328*20,
K328*
(
DATEDIF(MAX(DATE(2023,5,1),D328),Y328,"m")+1
)
*
_xlfn.SWITCH(J328,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328" s="1">
        <f t="shared" ca="1" si="34"/>
        <v>55</v>
      </c>
    </row>
    <row r="329" spans="1:30" ht="18.75" x14ac:dyDescent="0.25">
      <c r="A329" s="52">
        <v>292</v>
      </c>
      <c r="B329" s="6">
        <v>36</v>
      </c>
      <c r="C329" s="6">
        <v>2017</v>
      </c>
      <c r="D329" s="7">
        <v>42845</v>
      </c>
      <c r="E329" s="12"/>
      <c r="F329" s="6"/>
      <c r="G329" s="6" t="s">
        <v>407</v>
      </c>
      <c r="H329" s="6"/>
      <c r="I329" s="6" t="s">
        <v>144</v>
      </c>
      <c r="J329" s="3" t="s">
        <v>27</v>
      </c>
      <c r="K329" s="6">
        <f>12*13</f>
        <v>156</v>
      </c>
      <c r="L329" s="3" t="s">
        <v>90</v>
      </c>
      <c r="M329" s="7"/>
      <c r="N329" s="6"/>
      <c r="O329" s="9">
        <f>0.47*Table2[[#This Row],[قيمة المحضر]]</f>
        <v>0</v>
      </c>
      <c r="P329" s="9">
        <f>0.17*Table2[[#This Row],[قيمة المحضر]]</f>
        <v>0</v>
      </c>
      <c r="Q329" s="9">
        <f t="shared" ca="1" si="30"/>
        <v>36660</v>
      </c>
      <c r="R329" s="3"/>
      <c r="S329" s="3"/>
      <c r="T329" s="9" t="str">
        <f t="shared" si="31"/>
        <v>-</v>
      </c>
      <c r="U329" s="3" t="s">
        <v>25</v>
      </c>
      <c r="V329" s="9" t="str">
        <f t="shared" si="32"/>
        <v>-</v>
      </c>
      <c r="W329" s="4"/>
      <c r="X329" s="38"/>
      <c r="Y329" s="1">
        <f t="shared" ca="1" si="33"/>
        <v>46162</v>
      </c>
      <c r="Z329" s="1" cm="1">
        <f t="array" ref="Z329">IF(D329&gt;DATE(2015,5,16),0,
K329*
(
INT((MIN(Y329,DATE(2015,5,16))-D329)/365)
+
CEILING(MOD((MIN(Y329,DATE(2015,5,16))-D329)/365,1),0.25)
)
*
_xlfn.SWITCH(J329,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29" s="1" cm="1">
        <f t="array" aca="1" ref="AA329" ca="1">IF(Y329&lt;DATE(2015,5,17),0,
K329*
(
INT((MIN(Y329,DATE(2018,9,23))-MAX(D329,DATE(2015,5,17)))/365)
+
CEILING(MOD((MIN(Y329,DATE(2018,9,23))-MAX(D329,DATE(2015,5,17)))/365,1),0.25)
)
*
_xlfn.SWITCH(J329,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1872</v>
      </c>
      <c r="AB329" s="1" cm="1">
        <f t="array" aca="1" ref="AB329" ca="1">IF(Y329&lt;DATE(2018,9,24),0,
IF(J329="زراعة",
K329*
(
INT((MIN(Y329,DATE(2023,4,30))-MAX(D329,DATE(2018,9,24)))/365)
+
CEILING(MOD((MIN(Y329,DATE(2023,4,30))-MAX(D329,DATE(2018,9,24)))/365,1),0.25)
)
*1,
K329*
(
DATEDIF(MAX(D329,DATE(2018,9,24)),MIN(Y329,DATE(2023,4,30)),"m")+1
)
*
_xlfn.SWITCH(J329,
"موقف/تندة",IF(D329&lt;DATE(2019,11,30),6,30),
"تشوينات",IF(D329&lt;DATE(2019,11,30),4,20),
"مشاتل",IF(D329&lt;DATE(2019,11,30),2,10),
"كافيتيريا",IF(D329&lt;DATE(2019,11,30),30,150),
"نوادي",IF(D329&lt;DATE(2019,11,30),6,30),
"رسو مراكب",IF(D329&lt;DATE(2019,11,30),2,10),
"مباني",IF(D329&lt;DATE(2018,9,24),2,10),
"عشش",IF(D329&lt;DATE(2019,11,30),2,10),
"كشك (تجاري/صناعي)",IF(D329&lt;DATE(2019,11,30),10,50),
"ردم",20,
0)))</f>
        <v>17472</v>
      </c>
      <c r="AC329" s="1" cm="1">
        <f t="array" aca="1" ref="AC329" ca="1">IF(Y329&lt;DATE(2023,5,1),0,
IF(J329="زراعة",
K329*
(
INT((Y329-MAX(DATE(2023,5,1),D329))/365)
+
CEILING(MOD((Y329-MAX(DATE(2023,5,1),D329))/365,1),0.25)
)
*3,
IF(J329="ردم",
K329*20,
K329*
(
DATEDIF(MAX(DATE(2023,5,1),D329),Y329,"m")+1
)
*
_xlfn.SWITCH(J329,
"موقف/تندة",6,
"تشوينات",4,
"مشاتل",2,
"رسو مراكب",6,
"مباني",3,
"عشش",1,
"كشك (تجاري/صناعي)",20,
"مواسير صرف صحي (&lt;1م)",16,
"مواسير صرف صحي (&gt;1م)",18,
0))))</f>
        <v>17316</v>
      </c>
      <c r="AD329" s="1">
        <f t="shared" ca="1" si="34"/>
        <v>55</v>
      </c>
    </row>
    <row r="330" spans="1:30" ht="18.75" x14ac:dyDescent="0.25">
      <c r="A330" s="52">
        <v>293</v>
      </c>
      <c r="B330" s="6">
        <v>37</v>
      </c>
      <c r="C330" s="6">
        <v>2017</v>
      </c>
      <c r="D330" s="7">
        <v>42845</v>
      </c>
      <c r="E330" s="12"/>
      <c r="F330" s="6"/>
      <c r="G330" s="6" t="s">
        <v>408</v>
      </c>
      <c r="H330" s="6"/>
      <c r="I330" s="6" t="s">
        <v>144</v>
      </c>
      <c r="J330" s="3" t="s">
        <v>27</v>
      </c>
      <c r="K330" s="6">
        <v>150</v>
      </c>
      <c r="L330" s="3" t="s">
        <v>90</v>
      </c>
      <c r="M330" s="7"/>
      <c r="N330" s="6"/>
      <c r="O330" s="9">
        <f>0.47*Table2[[#This Row],[قيمة المحضر]]</f>
        <v>0</v>
      </c>
      <c r="P330" s="9">
        <f>0.17*Table2[[#This Row],[قيمة المحضر]]</f>
        <v>0</v>
      </c>
      <c r="Q330" s="9">
        <f t="shared" ca="1" si="30"/>
        <v>35250</v>
      </c>
      <c r="R330" s="3"/>
      <c r="S330" s="3"/>
      <c r="T330" s="9" t="str">
        <f t="shared" si="31"/>
        <v>-</v>
      </c>
      <c r="U330" s="3" t="s">
        <v>25</v>
      </c>
      <c r="V330" s="9" t="str">
        <f t="shared" si="32"/>
        <v>-</v>
      </c>
      <c r="W330" s="4"/>
      <c r="X330" s="38"/>
      <c r="Y330" s="1">
        <f t="shared" ca="1" si="33"/>
        <v>46162</v>
      </c>
      <c r="Z330" s="1" cm="1">
        <f t="array" ref="Z330">IF(D330&gt;DATE(2015,5,16),0,
K330*
(
INT((MIN(Y330,DATE(2015,5,16))-D330)/365)
+
CEILING(MOD((MIN(Y330,DATE(2015,5,16))-D330)/365,1),0.25)
)
*
_xlfn.SWITCH(J330,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30" s="1" cm="1">
        <f t="array" aca="1" ref="AA330" ca="1">IF(Y330&lt;DATE(2015,5,17),0,
K330*
(
INT((MIN(Y330,DATE(2018,9,23))-MAX(D330,DATE(2015,5,17)))/365)
+
CEILING(MOD((MIN(Y330,DATE(2018,9,23))-MAX(D330,DATE(2015,5,17)))/365,1),0.25)
)
*
_xlfn.SWITCH(J330,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1800</v>
      </c>
      <c r="AB330" s="1" cm="1">
        <f t="array" aca="1" ref="AB330" ca="1">IF(Y330&lt;DATE(2018,9,24),0,
IF(J330="زراعة",
K330*
(
INT((MIN(Y330,DATE(2023,4,30))-MAX(D330,DATE(2018,9,24)))/365)
+
CEILING(MOD((MIN(Y330,DATE(2023,4,30))-MAX(D330,DATE(2018,9,24)))/365,1),0.25)
)
*1,
K330*
(
DATEDIF(MAX(D330,DATE(2018,9,24)),MIN(Y330,DATE(2023,4,30)),"m")+1
)
*
_xlfn.SWITCH(J330,
"موقف/تندة",IF(D330&lt;DATE(2019,11,30),6,30),
"تشوينات",IF(D330&lt;DATE(2019,11,30),4,20),
"مشاتل",IF(D330&lt;DATE(2019,11,30),2,10),
"كافيتيريا",IF(D330&lt;DATE(2019,11,30),30,150),
"نوادي",IF(D330&lt;DATE(2019,11,30),6,30),
"رسو مراكب",IF(D330&lt;DATE(2019,11,30),2,10),
"مباني",IF(D330&lt;DATE(2018,9,24),2,10),
"عشش",IF(D330&lt;DATE(2019,11,30),2,10),
"كشك (تجاري/صناعي)",IF(D330&lt;DATE(2019,11,30),10,50),
"ردم",20,
0)))</f>
        <v>16800</v>
      </c>
      <c r="AC330" s="1" cm="1">
        <f t="array" aca="1" ref="AC330" ca="1">IF(Y330&lt;DATE(2023,5,1),0,
IF(J330="زراعة",
K330*
(
INT((Y330-MAX(DATE(2023,5,1),D330))/365)
+
CEILING(MOD((Y330-MAX(DATE(2023,5,1),D330))/365,1),0.25)
)
*3,
IF(J330="ردم",
K330*20,
K330*
(
DATEDIF(MAX(DATE(2023,5,1),D330),Y330,"m")+1
)
*
_xlfn.SWITCH(J330,
"موقف/تندة",6,
"تشوينات",4,
"مشاتل",2,
"رسو مراكب",6,
"مباني",3,
"عشش",1,
"كشك (تجاري/صناعي)",20,
"مواسير صرف صحي (&lt;1م)",16,
"مواسير صرف صحي (&gt;1م)",18,
0))))</f>
        <v>16650</v>
      </c>
      <c r="AD330" s="1">
        <f t="shared" ca="1" si="34"/>
        <v>55</v>
      </c>
    </row>
    <row r="331" spans="1:30" ht="18.75" x14ac:dyDescent="0.25">
      <c r="A331" s="52">
        <v>294</v>
      </c>
      <c r="B331" s="6">
        <v>38</v>
      </c>
      <c r="C331" s="6">
        <v>2017</v>
      </c>
      <c r="D331" s="7">
        <v>42845</v>
      </c>
      <c r="E331" s="12"/>
      <c r="F331" s="6"/>
      <c r="G331" s="6" t="s">
        <v>409</v>
      </c>
      <c r="H331" s="6"/>
      <c r="I331" s="6" t="s">
        <v>144</v>
      </c>
      <c r="J331" s="3" t="s">
        <v>27</v>
      </c>
      <c r="K331" s="6">
        <v>100</v>
      </c>
      <c r="L331" s="3" t="s">
        <v>90</v>
      </c>
      <c r="M331" s="7"/>
      <c r="N331" s="6"/>
      <c r="O331" s="9">
        <f>0.47*Table2[[#This Row],[قيمة المحضر]]</f>
        <v>0</v>
      </c>
      <c r="P331" s="9">
        <f>0.17*Table2[[#This Row],[قيمة المحضر]]</f>
        <v>0</v>
      </c>
      <c r="Q331" s="9">
        <f t="shared" ca="1" si="30"/>
        <v>23500</v>
      </c>
      <c r="R331" s="3"/>
      <c r="S331" s="3"/>
      <c r="T331" s="9" t="str">
        <f t="shared" si="31"/>
        <v>-</v>
      </c>
      <c r="U331" s="3" t="s">
        <v>25</v>
      </c>
      <c r="V331" s="9" t="str">
        <f t="shared" si="32"/>
        <v>-</v>
      </c>
      <c r="W331" s="4"/>
      <c r="X331" s="38"/>
      <c r="Y331" s="1">
        <f t="shared" ca="1" si="33"/>
        <v>46162</v>
      </c>
      <c r="Z331" s="1" cm="1">
        <f t="array" ref="Z331">IF(D331&gt;DATE(2015,5,16),0,
K331*
(
INT((MIN(Y331,DATE(2015,5,16))-D331)/365)
+
CEILING(MOD((MIN(Y331,DATE(2015,5,16))-D331)/365,1),0.25)
)
*
_xlfn.SWITCH(J331,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31" s="1" cm="1">
        <f t="array" aca="1" ref="AA331" ca="1">IF(Y331&lt;DATE(2015,5,17),0,
K331*
(
INT((MIN(Y331,DATE(2018,9,23))-MAX(D331,DATE(2015,5,17)))/365)
+
CEILING(MOD((MIN(Y331,DATE(2018,9,23))-MAX(D331,DATE(2015,5,17)))/365,1),0.25)
)
*
_xlfn.SWITCH(J331,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1200</v>
      </c>
      <c r="AB331" s="1" cm="1">
        <f t="array" aca="1" ref="AB331" ca="1">IF(Y331&lt;DATE(2018,9,24),0,
IF(J331="زراعة",
K331*
(
INT((MIN(Y331,DATE(2023,4,30))-MAX(D331,DATE(2018,9,24)))/365)
+
CEILING(MOD((MIN(Y331,DATE(2023,4,30))-MAX(D331,DATE(2018,9,24)))/365,1),0.25)
)
*1,
K331*
(
DATEDIF(MAX(D331,DATE(2018,9,24)),MIN(Y331,DATE(2023,4,30)),"m")+1
)
*
_xlfn.SWITCH(J331,
"موقف/تندة",IF(D331&lt;DATE(2019,11,30),6,30),
"تشوينات",IF(D331&lt;DATE(2019,11,30),4,20),
"مشاتل",IF(D331&lt;DATE(2019,11,30),2,10),
"كافيتيريا",IF(D331&lt;DATE(2019,11,30),30,150),
"نوادي",IF(D331&lt;DATE(2019,11,30),6,30),
"رسو مراكب",IF(D331&lt;DATE(2019,11,30),2,10),
"مباني",IF(D331&lt;DATE(2018,9,24),2,10),
"عشش",IF(D331&lt;DATE(2019,11,30),2,10),
"كشك (تجاري/صناعي)",IF(D331&lt;DATE(2019,11,30),10,50),
"ردم",20,
0)))</f>
        <v>11200</v>
      </c>
      <c r="AC331" s="1" cm="1">
        <f t="array" aca="1" ref="AC331" ca="1">IF(Y331&lt;DATE(2023,5,1),0,
IF(J331="زراعة",
K331*
(
INT((Y331-MAX(DATE(2023,5,1),D331))/365)
+
CEILING(MOD((Y331-MAX(DATE(2023,5,1),D331))/365,1),0.25)
)
*3,
IF(J331="ردم",
K331*20,
K331*
(
DATEDIF(MAX(DATE(2023,5,1),D331),Y331,"m")+1
)
*
_xlfn.SWITCH(J331,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331" s="1">
        <f t="shared" ca="1" si="34"/>
        <v>55</v>
      </c>
    </row>
    <row r="332" spans="1:30" ht="18.75" x14ac:dyDescent="0.25">
      <c r="A332" s="52">
        <v>295</v>
      </c>
      <c r="B332" s="6">
        <v>39</v>
      </c>
      <c r="C332" s="6">
        <v>2017</v>
      </c>
      <c r="D332" s="7">
        <v>42845</v>
      </c>
      <c r="E332" s="12"/>
      <c r="F332" s="6"/>
      <c r="G332" s="6" t="s">
        <v>410</v>
      </c>
      <c r="H332" s="6"/>
      <c r="I332" s="6" t="s">
        <v>144</v>
      </c>
      <c r="J332" s="3" t="s">
        <v>27</v>
      </c>
      <c r="K332" s="6">
        <v>64</v>
      </c>
      <c r="L332" s="3" t="s">
        <v>90</v>
      </c>
      <c r="M332" s="7"/>
      <c r="N332" s="6"/>
      <c r="O332" s="9">
        <f>0.47*Table2[[#This Row],[قيمة المحضر]]</f>
        <v>0</v>
      </c>
      <c r="P332" s="9">
        <f>0.17*Table2[[#This Row],[قيمة المحضر]]</f>
        <v>0</v>
      </c>
      <c r="Q332" s="9">
        <f t="shared" ca="1" si="30"/>
        <v>15040</v>
      </c>
      <c r="R332" s="3"/>
      <c r="S332" s="3"/>
      <c r="T332" s="9" t="str">
        <f t="shared" si="31"/>
        <v>-</v>
      </c>
      <c r="U332" s="3" t="s">
        <v>25</v>
      </c>
      <c r="V332" s="9" t="str">
        <f t="shared" si="32"/>
        <v>-</v>
      </c>
      <c r="W332" s="4"/>
      <c r="X332" s="38"/>
      <c r="Y332" s="1">
        <f t="shared" ca="1" si="33"/>
        <v>46162</v>
      </c>
      <c r="Z332" s="1" cm="1">
        <f t="array" ref="Z332">IF(D332&gt;DATE(2015,5,16),0,
K332*
(
INT((MIN(Y332,DATE(2015,5,16))-D332)/365)
+
CEILING(MOD((MIN(Y332,DATE(2015,5,16))-D332)/365,1),0.25)
)
*
_xlfn.SWITCH(J332,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32" s="1" cm="1">
        <f t="array" aca="1" ref="AA332" ca="1">IF(Y332&lt;DATE(2015,5,17),0,
K332*
(
INT((MIN(Y332,DATE(2018,9,23))-MAX(D332,DATE(2015,5,17)))/365)
+
CEILING(MOD((MIN(Y332,DATE(2018,9,23))-MAX(D332,DATE(2015,5,17)))/365,1),0.25)
)
*
_xlfn.SWITCH(J332,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768</v>
      </c>
      <c r="AB332" s="1" cm="1">
        <f t="array" aca="1" ref="AB332" ca="1">IF(Y332&lt;DATE(2018,9,24),0,
IF(J332="زراعة",
K332*
(
INT((MIN(Y332,DATE(2023,4,30))-MAX(D332,DATE(2018,9,24)))/365)
+
CEILING(MOD((MIN(Y332,DATE(2023,4,30))-MAX(D332,DATE(2018,9,24)))/365,1),0.25)
)
*1,
K332*
(
DATEDIF(MAX(D332,DATE(2018,9,24)),MIN(Y332,DATE(2023,4,30)),"m")+1
)
*
_xlfn.SWITCH(J332,
"موقف/تندة",IF(D332&lt;DATE(2019,11,30),6,30),
"تشوينات",IF(D332&lt;DATE(2019,11,30),4,20),
"مشاتل",IF(D332&lt;DATE(2019,11,30),2,10),
"كافيتيريا",IF(D332&lt;DATE(2019,11,30),30,150),
"نوادي",IF(D332&lt;DATE(2019,11,30),6,30),
"رسو مراكب",IF(D332&lt;DATE(2019,11,30),2,10),
"مباني",IF(D332&lt;DATE(2018,9,24),2,10),
"عشش",IF(D332&lt;DATE(2019,11,30),2,10),
"كشك (تجاري/صناعي)",IF(D332&lt;DATE(2019,11,30),10,50),
"ردم",20,
0)))</f>
        <v>7168</v>
      </c>
      <c r="AC332" s="1" cm="1">
        <f t="array" aca="1" ref="AC332" ca="1">IF(Y332&lt;DATE(2023,5,1),0,
IF(J332="زراعة",
K332*
(
INT((Y332-MAX(DATE(2023,5,1),D332))/365)
+
CEILING(MOD((Y332-MAX(DATE(2023,5,1),D332))/365,1),0.25)
)
*3,
IF(J332="ردم",
K332*20,
K332*
(
DATEDIF(MAX(DATE(2023,5,1),D332),Y332,"m")+1
)
*
_xlfn.SWITCH(J332,
"موقف/تندة",6,
"تشوينات",4,
"مشاتل",2,
"رسو مراكب",6,
"مباني",3,
"عشش",1,
"كشك (تجاري/صناعي)",20,
"مواسير صرف صحي (&lt;1م)",16,
"مواسير صرف صحي (&gt;1م)",18,
0))))</f>
        <v>7104</v>
      </c>
      <c r="AD332" s="1">
        <f t="shared" ca="1" si="34"/>
        <v>55</v>
      </c>
    </row>
    <row r="333" spans="1:30" ht="18.75" x14ac:dyDescent="0.25">
      <c r="A333" s="52">
        <v>296</v>
      </c>
      <c r="B333" s="6">
        <v>40</v>
      </c>
      <c r="C333" s="6">
        <v>2017</v>
      </c>
      <c r="D333" s="7">
        <v>42845</v>
      </c>
      <c r="E333" s="12"/>
      <c r="F333" s="6"/>
      <c r="G333" s="6" t="s">
        <v>411</v>
      </c>
      <c r="H333" s="6"/>
      <c r="I333" s="6" t="s">
        <v>144</v>
      </c>
      <c r="J333" s="3" t="s">
        <v>27</v>
      </c>
      <c r="K333" s="6">
        <v>100</v>
      </c>
      <c r="L333" s="3" t="s">
        <v>90</v>
      </c>
      <c r="M333" s="7"/>
      <c r="N333" s="6"/>
      <c r="O333" s="9">
        <f>0.47*Table2[[#This Row],[قيمة المحضر]]</f>
        <v>0</v>
      </c>
      <c r="P333" s="9">
        <f>0.17*Table2[[#This Row],[قيمة المحضر]]</f>
        <v>0</v>
      </c>
      <c r="Q333" s="9">
        <f t="shared" ca="1" si="30"/>
        <v>23500</v>
      </c>
      <c r="R333" s="3"/>
      <c r="S333" s="3"/>
      <c r="T333" s="9" t="str">
        <f t="shared" si="31"/>
        <v>-</v>
      </c>
      <c r="U333" s="3" t="s">
        <v>25</v>
      </c>
      <c r="V333" s="9" t="str">
        <f t="shared" si="32"/>
        <v>-</v>
      </c>
      <c r="W333" s="4"/>
      <c r="X333" s="38"/>
      <c r="Y333" s="1">
        <f t="shared" ca="1" si="33"/>
        <v>46162</v>
      </c>
      <c r="Z333" s="1" cm="1">
        <f t="array" ref="Z333">IF(D333&gt;DATE(2015,5,16),0,
K333*
(
INT((MIN(Y333,DATE(2015,5,16))-D333)/365)
+
CEILING(MOD((MIN(Y333,DATE(2015,5,16))-D333)/365,1),0.25)
)
*
_xlfn.SWITCH(J333,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33" s="1" cm="1">
        <f t="array" aca="1" ref="AA333" ca="1">IF(Y333&lt;DATE(2015,5,17),0,
K333*
(
INT((MIN(Y333,DATE(2018,9,23))-MAX(D333,DATE(2015,5,17)))/365)
+
CEILING(MOD((MIN(Y333,DATE(2018,9,23))-MAX(D333,DATE(2015,5,17)))/365,1),0.25)
)
*
_xlfn.SWITCH(J333,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1200</v>
      </c>
      <c r="AB333" s="1" cm="1">
        <f t="array" aca="1" ref="AB333" ca="1">IF(Y333&lt;DATE(2018,9,24),0,
IF(J333="زراعة",
K333*
(
INT((MIN(Y333,DATE(2023,4,30))-MAX(D333,DATE(2018,9,24)))/365)
+
CEILING(MOD((MIN(Y333,DATE(2023,4,30))-MAX(D333,DATE(2018,9,24)))/365,1),0.25)
)
*1,
K333*
(
DATEDIF(MAX(D333,DATE(2018,9,24)),MIN(Y333,DATE(2023,4,30)),"m")+1
)
*
_xlfn.SWITCH(J333,
"موقف/تندة",IF(D333&lt;DATE(2019,11,30),6,30),
"تشوينات",IF(D333&lt;DATE(2019,11,30),4,20),
"مشاتل",IF(D333&lt;DATE(2019,11,30),2,10),
"كافيتيريا",IF(D333&lt;DATE(2019,11,30),30,150),
"نوادي",IF(D333&lt;DATE(2019,11,30),6,30),
"رسو مراكب",IF(D333&lt;DATE(2019,11,30),2,10),
"مباني",IF(D333&lt;DATE(2018,9,24),2,10),
"عشش",IF(D333&lt;DATE(2019,11,30),2,10),
"كشك (تجاري/صناعي)",IF(D333&lt;DATE(2019,11,30),10,50),
"ردم",20,
0)))</f>
        <v>11200</v>
      </c>
      <c r="AC333" s="1" cm="1">
        <f t="array" aca="1" ref="AC333" ca="1">IF(Y333&lt;DATE(2023,5,1),0,
IF(J333="زراعة",
K333*
(
INT((Y333-MAX(DATE(2023,5,1),D333))/365)
+
CEILING(MOD((Y333-MAX(DATE(2023,5,1),D333))/365,1),0.25)
)
*3,
IF(J333="ردم",
K333*20,
K333*
(
DATEDIF(MAX(DATE(2023,5,1),D333),Y333,"m")+1
)
*
_xlfn.SWITCH(J333,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333" s="1">
        <f t="shared" ca="1" si="34"/>
        <v>55</v>
      </c>
    </row>
    <row r="334" spans="1:30" ht="18.75" x14ac:dyDescent="0.25">
      <c r="A334" s="52">
        <v>297</v>
      </c>
      <c r="B334" s="6">
        <v>41</v>
      </c>
      <c r="C334" s="6">
        <v>2017</v>
      </c>
      <c r="D334" s="7">
        <v>42845</v>
      </c>
      <c r="E334" s="12"/>
      <c r="F334" s="6"/>
      <c r="G334" s="6" t="s">
        <v>412</v>
      </c>
      <c r="H334" s="6"/>
      <c r="I334" s="6" t="s">
        <v>144</v>
      </c>
      <c r="J334" s="3" t="s">
        <v>27</v>
      </c>
      <c r="K334" s="6">
        <v>100</v>
      </c>
      <c r="L334" s="3" t="s">
        <v>90</v>
      </c>
      <c r="M334" s="7"/>
      <c r="N334" s="6"/>
      <c r="O334" s="9">
        <f>0.47*Table2[[#This Row],[قيمة المحضر]]</f>
        <v>0</v>
      </c>
      <c r="P334" s="9">
        <f>0.17*Table2[[#This Row],[قيمة المحضر]]</f>
        <v>0</v>
      </c>
      <c r="Q334" s="9">
        <f t="shared" ca="1" si="30"/>
        <v>23500</v>
      </c>
      <c r="R334" s="3"/>
      <c r="S334" s="3"/>
      <c r="T334" s="9" t="str">
        <f t="shared" si="31"/>
        <v>-</v>
      </c>
      <c r="U334" s="3" t="s">
        <v>25</v>
      </c>
      <c r="V334" s="9" t="str">
        <f t="shared" si="32"/>
        <v>-</v>
      </c>
      <c r="W334" s="4"/>
      <c r="X334" s="38"/>
      <c r="Y334" s="1">
        <f t="shared" ca="1" si="33"/>
        <v>46162</v>
      </c>
      <c r="Z334" s="1" cm="1">
        <f t="array" ref="Z334">IF(D334&gt;DATE(2015,5,16),0,
K334*
(
INT((MIN(Y334,DATE(2015,5,16))-D334)/365)
+
CEILING(MOD((MIN(Y334,DATE(2015,5,16))-D334)/365,1),0.25)
)
*
_xlfn.SWITCH(J334,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34" s="1" cm="1">
        <f t="array" aca="1" ref="AA334" ca="1">IF(Y334&lt;DATE(2015,5,17),0,
K334*
(
INT((MIN(Y334,DATE(2018,9,23))-MAX(D334,DATE(2015,5,17)))/365)
+
CEILING(MOD((MIN(Y334,DATE(2018,9,23))-MAX(D334,DATE(2015,5,17)))/365,1),0.25)
)
*
_xlfn.SWITCH(J334,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1200</v>
      </c>
      <c r="AB334" s="1" cm="1">
        <f t="array" aca="1" ref="AB334" ca="1">IF(Y334&lt;DATE(2018,9,24),0,
IF(J334="زراعة",
K334*
(
INT((MIN(Y334,DATE(2023,4,30))-MAX(D334,DATE(2018,9,24)))/365)
+
CEILING(MOD((MIN(Y334,DATE(2023,4,30))-MAX(D334,DATE(2018,9,24)))/365,1),0.25)
)
*1,
K334*
(
DATEDIF(MAX(D334,DATE(2018,9,24)),MIN(Y334,DATE(2023,4,30)),"m")+1
)
*
_xlfn.SWITCH(J334,
"موقف/تندة",IF(D334&lt;DATE(2019,11,30),6,30),
"تشوينات",IF(D334&lt;DATE(2019,11,30),4,20),
"مشاتل",IF(D334&lt;DATE(2019,11,30),2,10),
"كافيتيريا",IF(D334&lt;DATE(2019,11,30),30,150),
"نوادي",IF(D334&lt;DATE(2019,11,30),6,30),
"رسو مراكب",IF(D334&lt;DATE(2019,11,30),2,10),
"مباني",IF(D334&lt;DATE(2018,9,24),2,10),
"عشش",IF(D334&lt;DATE(2019,11,30),2,10),
"كشك (تجاري/صناعي)",IF(D334&lt;DATE(2019,11,30),10,50),
"ردم",20,
0)))</f>
        <v>11200</v>
      </c>
      <c r="AC334" s="1" cm="1">
        <f t="array" aca="1" ref="AC334" ca="1">IF(Y334&lt;DATE(2023,5,1),0,
IF(J334="زراعة",
K334*
(
INT((Y334-MAX(DATE(2023,5,1),D334))/365)
+
CEILING(MOD((Y334-MAX(DATE(2023,5,1),D334))/365,1),0.25)
)
*3,
IF(J334="ردم",
K334*20,
K334*
(
DATEDIF(MAX(DATE(2023,5,1),D334),Y334,"m")+1
)
*
_xlfn.SWITCH(J334,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334" s="1">
        <f t="shared" ca="1" si="34"/>
        <v>55</v>
      </c>
    </row>
    <row r="335" spans="1:30" ht="18.75" x14ac:dyDescent="0.25">
      <c r="A335" s="52">
        <v>298</v>
      </c>
      <c r="B335" s="6">
        <v>42</v>
      </c>
      <c r="C335" s="6">
        <v>2017</v>
      </c>
      <c r="D335" s="7">
        <v>42845</v>
      </c>
      <c r="E335" s="12"/>
      <c r="F335" s="6"/>
      <c r="G335" s="6" t="s">
        <v>413</v>
      </c>
      <c r="H335" s="6"/>
      <c r="I335" s="6" t="s">
        <v>144</v>
      </c>
      <c r="J335" s="3" t="s">
        <v>27</v>
      </c>
      <c r="K335" s="6">
        <v>100</v>
      </c>
      <c r="L335" s="3" t="s">
        <v>90</v>
      </c>
      <c r="M335" s="7"/>
      <c r="N335" s="6"/>
      <c r="O335" s="9">
        <f>0.47*Table2[[#This Row],[قيمة المحضر]]</f>
        <v>0</v>
      </c>
      <c r="P335" s="9">
        <f>0.17*Table2[[#This Row],[قيمة المحضر]]</f>
        <v>0</v>
      </c>
      <c r="Q335" s="9">
        <f t="shared" ca="1" si="30"/>
        <v>23500</v>
      </c>
      <c r="R335" s="3"/>
      <c r="S335" s="3"/>
      <c r="T335" s="9" t="str">
        <f t="shared" si="31"/>
        <v>-</v>
      </c>
      <c r="U335" s="3" t="s">
        <v>25</v>
      </c>
      <c r="V335" s="9" t="str">
        <f t="shared" si="32"/>
        <v>-</v>
      </c>
      <c r="W335" s="4"/>
      <c r="X335" s="38"/>
      <c r="Y335" s="1">
        <f t="shared" ca="1" si="33"/>
        <v>46162</v>
      </c>
      <c r="Z335" s="1" cm="1">
        <f t="array" ref="Z335">IF(D335&gt;DATE(2015,5,16),0,
K335*
(
INT((MIN(Y335,DATE(2015,5,16))-D335)/365)
+
CEILING(MOD((MIN(Y335,DATE(2015,5,16))-D335)/365,1),0.25)
)
*
_xlfn.SWITCH(J335,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35" s="1" cm="1">
        <f t="array" aca="1" ref="AA335" ca="1">IF(Y335&lt;DATE(2015,5,17),0,
K335*
(
INT((MIN(Y335,DATE(2018,9,23))-MAX(D335,DATE(2015,5,17)))/365)
+
CEILING(MOD((MIN(Y335,DATE(2018,9,23))-MAX(D335,DATE(2015,5,17)))/365,1),0.25)
)
*
_xlfn.SWITCH(J335,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1200</v>
      </c>
      <c r="AB335" s="1" cm="1">
        <f t="array" aca="1" ref="AB335" ca="1">IF(Y335&lt;DATE(2018,9,24),0,
IF(J335="زراعة",
K335*
(
INT((MIN(Y335,DATE(2023,4,30))-MAX(D335,DATE(2018,9,24)))/365)
+
CEILING(MOD((MIN(Y335,DATE(2023,4,30))-MAX(D335,DATE(2018,9,24)))/365,1),0.25)
)
*1,
K335*
(
DATEDIF(MAX(D335,DATE(2018,9,24)),MIN(Y335,DATE(2023,4,30)),"m")+1
)
*
_xlfn.SWITCH(J335,
"موقف/تندة",IF(D335&lt;DATE(2019,11,30),6,30),
"تشوينات",IF(D335&lt;DATE(2019,11,30),4,20),
"مشاتل",IF(D335&lt;DATE(2019,11,30),2,10),
"كافيتيريا",IF(D335&lt;DATE(2019,11,30),30,150),
"نوادي",IF(D335&lt;DATE(2019,11,30),6,30),
"رسو مراكب",IF(D335&lt;DATE(2019,11,30),2,10),
"مباني",IF(D335&lt;DATE(2018,9,24),2,10),
"عشش",IF(D335&lt;DATE(2019,11,30),2,10),
"كشك (تجاري/صناعي)",IF(D335&lt;DATE(2019,11,30),10,50),
"ردم",20,
0)))</f>
        <v>11200</v>
      </c>
      <c r="AC335" s="1" cm="1">
        <f t="array" aca="1" ref="AC335" ca="1">IF(Y335&lt;DATE(2023,5,1),0,
IF(J335="زراعة",
K335*
(
INT((Y335-MAX(DATE(2023,5,1),D335))/365)
+
CEILING(MOD((Y335-MAX(DATE(2023,5,1),D335))/365,1),0.25)
)
*3,
IF(J335="ردم",
K335*20,
K335*
(
DATEDIF(MAX(DATE(2023,5,1),D335),Y335,"m")+1
)
*
_xlfn.SWITCH(J335,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335" s="1">
        <f t="shared" ca="1" si="34"/>
        <v>55</v>
      </c>
    </row>
    <row r="336" spans="1:30" ht="18.75" x14ac:dyDescent="0.25">
      <c r="A336" s="52">
        <v>299</v>
      </c>
      <c r="B336" s="6">
        <v>43</v>
      </c>
      <c r="C336" s="6">
        <v>2017</v>
      </c>
      <c r="D336" s="7">
        <v>42851</v>
      </c>
      <c r="E336" s="12"/>
      <c r="F336" s="6"/>
      <c r="G336" s="6" t="s">
        <v>414</v>
      </c>
      <c r="H336" s="6"/>
      <c r="I336" s="6" t="s">
        <v>144</v>
      </c>
      <c r="J336" s="3" t="s">
        <v>27</v>
      </c>
      <c r="K336" s="6">
        <v>100</v>
      </c>
      <c r="L336" s="3" t="s">
        <v>90</v>
      </c>
      <c r="M336" s="7"/>
      <c r="N336" s="6"/>
      <c r="O336" s="9">
        <f>0.47*Table2[[#This Row],[قيمة المحضر]]</f>
        <v>0</v>
      </c>
      <c r="P336" s="9">
        <f>0.17*Table2[[#This Row],[قيمة المحضر]]</f>
        <v>0</v>
      </c>
      <c r="Q336" s="9">
        <f t="shared" ca="1" si="30"/>
        <v>23500</v>
      </c>
      <c r="R336" s="3"/>
      <c r="S336" s="3"/>
      <c r="T336" s="9" t="str">
        <f t="shared" si="31"/>
        <v>-</v>
      </c>
      <c r="U336" s="3" t="s">
        <v>25</v>
      </c>
      <c r="V336" s="9" t="str">
        <f t="shared" si="32"/>
        <v>-</v>
      </c>
      <c r="W336" s="4"/>
      <c r="X336" s="38"/>
      <c r="Y336" s="1">
        <f t="shared" ca="1" si="33"/>
        <v>46162</v>
      </c>
      <c r="Z336" s="1" cm="1">
        <f t="array" ref="Z336">IF(D336&gt;DATE(2015,5,16),0,
K336*
(
INT((MIN(Y336,DATE(2015,5,16))-D336)/365)
+
CEILING(MOD((MIN(Y336,DATE(2015,5,16))-D336)/365,1),0.25)
)
*
_xlfn.SWITCH(J336,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36" s="1" cm="1">
        <f t="array" aca="1" ref="AA336" ca="1">IF(Y336&lt;DATE(2015,5,17),0,
K336*
(
INT((MIN(Y336,DATE(2018,9,23))-MAX(D336,DATE(2015,5,17)))/365)
+
CEILING(MOD((MIN(Y336,DATE(2018,9,23))-MAX(D336,DATE(2015,5,17)))/365,1),0.25)
)
*
_xlfn.SWITCH(J336,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1200</v>
      </c>
      <c r="AB336" s="1" cm="1">
        <f t="array" aca="1" ref="AB336" ca="1">IF(Y336&lt;DATE(2018,9,24),0,
IF(J336="زراعة",
K336*
(
INT((MIN(Y336,DATE(2023,4,30))-MAX(D336,DATE(2018,9,24)))/365)
+
CEILING(MOD((MIN(Y336,DATE(2023,4,30))-MAX(D336,DATE(2018,9,24)))/365,1),0.25)
)
*1,
K336*
(
DATEDIF(MAX(D336,DATE(2018,9,24)),MIN(Y336,DATE(2023,4,30)),"m")+1
)
*
_xlfn.SWITCH(J336,
"موقف/تندة",IF(D336&lt;DATE(2019,11,30),6,30),
"تشوينات",IF(D336&lt;DATE(2019,11,30),4,20),
"مشاتل",IF(D336&lt;DATE(2019,11,30),2,10),
"كافيتيريا",IF(D336&lt;DATE(2019,11,30),30,150),
"نوادي",IF(D336&lt;DATE(2019,11,30),6,30),
"رسو مراكب",IF(D336&lt;DATE(2019,11,30),2,10),
"مباني",IF(D336&lt;DATE(2018,9,24),2,10),
"عشش",IF(D336&lt;DATE(2019,11,30),2,10),
"كشك (تجاري/صناعي)",IF(D336&lt;DATE(2019,11,30),10,50),
"ردم",20,
0)))</f>
        <v>11200</v>
      </c>
      <c r="AC336" s="1" cm="1">
        <f t="array" aca="1" ref="AC336" ca="1">IF(Y336&lt;DATE(2023,5,1),0,
IF(J336="زراعة",
K336*
(
INT((Y336-MAX(DATE(2023,5,1),D336))/365)
+
CEILING(MOD((Y336-MAX(DATE(2023,5,1),D336))/365,1),0.25)
)
*3,
IF(J336="ردم",
K336*20,
K336*
(
DATEDIF(MAX(DATE(2023,5,1),D336),Y336,"m")+1
)
*
_xlfn.SWITCH(J336,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336" s="1">
        <f t="shared" ca="1" si="34"/>
        <v>55</v>
      </c>
    </row>
    <row r="337" spans="1:30" ht="18.75" x14ac:dyDescent="0.25">
      <c r="A337" s="52">
        <v>300</v>
      </c>
      <c r="B337" s="17">
        <v>44</v>
      </c>
      <c r="C337" s="17">
        <v>2017</v>
      </c>
      <c r="D337" s="18">
        <v>42851</v>
      </c>
      <c r="E337" s="16"/>
      <c r="F337" s="17"/>
      <c r="G337" s="17" t="s">
        <v>415</v>
      </c>
      <c r="H337" s="17"/>
      <c r="I337" s="17" t="s">
        <v>144</v>
      </c>
      <c r="J337" s="14" t="s">
        <v>27</v>
      </c>
      <c r="K337" s="17">
        <f>20*12</f>
        <v>240</v>
      </c>
      <c r="L337" s="14" t="s">
        <v>90</v>
      </c>
      <c r="M337" s="7"/>
      <c r="N337" s="6"/>
      <c r="O337" s="9">
        <f>0.47*Table2[[#This Row],[قيمة المحضر]]</f>
        <v>0</v>
      </c>
      <c r="P337" s="9">
        <f>0.17*Table2[[#This Row],[قيمة المحضر]]</f>
        <v>0</v>
      </c>
      <c r="Q337" s="9">
        <f t="shared" ca="1" si="30"/>
        <v>56400</v>
      </c>
      <c r="R337" s="3"/>
      <c r="S337" s="3"/>
      <c r="T337" s="9" t="str">
        <f t="shared" si="31"/>
        <v>-</v>
      </c>
      <c r="U337" s="3" t="s">
        <v>25</v>
      </c>
      <c r="V337" s="9" t="str">
        <f t="shared" si="32"/>
        <v>-</v>
      </c>
      <c r="W337" s="4"/>
      <c r="X337" s="38"/>
      <c r="Y337" s="1">
        <f t="shared" ca="1" si="33"/>
        <v>46162</v>
      </c>
      <c r="Z337" s="1" cm="1">
        <f t="array" ref="Z337">IF(D337&gt;DATE(2015,5,16),0,
K337*
(
INT((MIN(Y337,DATE(2015,5,16))-D337)/365)
+
CEILING(MOD((MIN(Y337,DATE(2015,5,16))-D337)/365,1),0.25)
)
*
_xlfn.SWITCH(J337,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37" s="1" cm="1">
        <f t="array" aca="1" ref="AA337" ca="1">IF(Y337&lt;DATE(2015,5,17),0,
K337*
(
INT((MIN(Y337,DATE(2018,9,23))-MAX(D337,DATE(2015,5,17)))/365)
+
CEILING(MOD((MIN(Y337,DATE(2018,9,23))-MAX(D337,DATE(2015,5,17)))/365,1),0.25)
)
*
_xlfn.SWITCH(J337,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2880</v>
      </c>
      <c r="AB337" s="1" cm="1">
        <f t="array" aca="1" ref="AB337" ca="1">IF(Y337&lt;DATE(2018,9,24),0,
IF(J337="زراعة",
K337*
(
INT((MIN(Y337,DATE(2023,4,30))-MAX(D337,DATE(2018,9,24)))/365)
+
CEILING(MOD((MIN(Y337,DATE(2023,4,30))-MAX(D337,DATE(2018,9,24)))/365,1),0.25)
)
*1,
K337*
(
DATEDIF(MAX(D337,DATE(2018,9,24)),MIN(Y337,DATE(2023,4,30)),"m")+1
)
*
_xlfn.SWITCH(J337,
"موقف/تندة",IF(D337&lt;DATE(2019,11,30),6,30),
"تشوينات",IF(D337&lt;DATE(2019,11,30),4,20),
"مشاتل",IF(D337&lt;DATE(2019,11,30),2,10),
"كافيتيريا",IF(D337&lt;DATE(2019,11,30),30,150),
"نوادي",IF(D337&lt;DATE(2019,11,30),6,30),
"رسو مراكب",IF(D337&lt;DATE(2019,11,30),2,10),
"مباني",IF(D337&lt;DATE(2018,9,24),2,10),
"عشش",IF(D337&lt;DATE(2019,11,30),2,10),
"كشك (تجاري/صناعي)",IF(D337&lt;DATE(2019,11,30),10,50),
"ردم",20,
0)))</f>
        <v>26880</v>
      </c>
      <c r="AC337" s="1" cm="1">
        <f t="array" aca="1" ref="AC337" ca="1">IF(Y337&lt;DATE(2023,5,1),0,
IF(J337="زراعة",
K337*
(
INT((Y337-MAX(DATE(2023,5,1),D337))/365)
+
CEILING(MOD((Y337-MAX(DATE(2023,5,1),D337))/365,1),0.25)
)
*3,
IF(J337="ردم",
K337*20,
K337*
(
DATEDIF(MAX(DATE(2023,5,1),D337),Y337,"m")+1
)
*
_xlfn.SWITCH(J337,
"موقف/تندة",6,
"تشوينات",4,
"مشاتل",2,
"رسو مراكب",6,
"مباني",3,
"عشش",1,
"كشك (تجاري/صناعي)",20,
"مواسير صرف صحي (&lt;1م)",16,
"مواسير صرف صحي (&gt;1م)",18,
0))))</f>
        <v>26640</v>
      </c>
      <c r="AD337" s="1">
        <f t="shared" ca="1" si="34"/>
        <v>55</v>
      </c>
    </row>
    <row r="338" spans="1:30" ht="18.75" x14ac:dyDescent="0.25">
      <c r="A338" s="52">
        <v>301</v>
      </c>
      <c r="B338" s="6">
        <v>45</v>
      </c>
      <c r="C338" s="6">
        <v>2017</v>
      </c>
      <c r="D338" s="7">
        <v>42851</v>
      </c>
      <c r="E338" s="12"/>
      <c r="F338" s="6"/>
      <c r="G338" s="6" t="s">
        <v>416</v>
      </c>
      <c r="H338" s="6"/>
      <c r="I338" s="6" t="s">
        <v>144</v>
      </c>
      <c r="J338" s="3" t="s">
        <v>27</v>
      </c>
      <c r="K338" s="6">
        <v>100</v>
      </c>
      <c r="L338" s="3" t="s">
        <v>90</v>
      </c>
      <c r="M338" s="7"/>
      <c r="N338" s="6"/>
      <c r="O338" s="9">
        <f>0.47*Table2[[#This Row],[قيمة المحضر]]</f>
        <v>0</v>
      </c>
      <c r="P338" s="9">
        <f>0.17*Table2[[#This Row],[قيمة المحضر]]</f>
        <v>0</v>
      </c>
      <c r="Q338" s="9">
        <f t="shared" ca="1" si="30"/>
        <v>23500</v>
      </c>
      <c r="R338" s="3"/>
      <c r="S338" s="3"/>
      <c r="T338" s="9" t="str">
        <f t="shared" si="31"/>
        <v>-</v>
      </c>
      <c r="U338" s="3" t="s">
        <v>25</v>
      </c>
      <c r="V338" s="9" t="str">
        <f t="shared" si="32"/>
        <v>-</v>
      </c>
      <c r="W338" s="4"/>
      <c r="X338" s="38"/>
      <c r="Y338" s="1">
        <f t="shared" ca="1" si="33"/>
        <v>46162</v>
      </c>
      <c r="Z338" s="1" cm="1">
        <f t="array" ref="Z338">IF(D338&gt;DATE(2015,5,16),0,
K338*
(
INT((MIN(Y338,DATE(2015,5,16))-D338)/365)
+
CEILING(MOD((MIN(Y338,DATE(2015,5,16))-D338)/365,1),0.25)
)
*
_xlfn.SWITCH(J338,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38" s="1" cm="1">
        <f t="array" aca="1" ref="AA338" ca="1">IF(Y338&lt;DATE(2015,5,17),0,
K338*
(
INT((MIN(Y338,DATE(2018,9,23))-MAX(D338,DATE(2015,5,17)))/365)
+
CEILING(MOD((MIN(Y338,DATE(2018,9,23))-MAX(D338,DATE(2015,5,17)))/365,1),0.25)
)
*
_xlfn.SWITCH(J338,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1200</v>
      </c>
      <c r="AB338" s="1" cm="1">
        <f t="array" aca="1" ref="AB338" ca="1">IF(Y338&lt;DATE(2018,9,24),0,
IF(J338="زراعة",
K338*
(
INT((MIN(Y338,DATE(2023,4,30))-MAX(D338,DATE(2018,9,24)))/365)
+
CEILING(MOD((MIN(Y338,DATE(2023,4,30))-MAX(D338,DATE(2018,9,24)))/365,1),0.25)
)
*1,
K338*
(
DATEDIF(MAX(D338,DATE(2018,9,24)),MIN(Y338,DATE(2023,4,30)),"m")+1
)
*
_xlfn.SWITCH(J338,
"موقف/تندة",IF(D338&lt;DATE(2019,11,30),6,30),
"تشوينات",IF(D338&lt;DATE(2019,11,30),4,20),
"مشاتل",IF(D338&lt;DATE(2019,11,30),2,10),
"كافيتيريا",IF(D338&lt;DATE(2019,11,30),30,150),
"نوادي",IF(D338&lt;DATE(2019,11,30),6,30),
"رسو مراكب",IF(D338&lt;DATE(2019,11,30),2,10),
"مباني",IF(D338&lt;DATE(2018,9,24),2,10),
"عشش",IF(D338&lt;DATE(2019,11,30),2,10),
"كشك (تجاري/صناعي)",IF(D338&lt;DATE(2019,11,30),10,50),
"ردم",20,
0)))</f>
        <v>11200</v>
      </c>
      <c r="AC338" s="1" cm="1">
        <f t="array" aca="1" ref="AC338" ca="1">IF(Y338&lt;DATE(2023,5,1),0,
IF(J338="زراعة",
K338*
(
INT((Y338-MAX(DATE(2023,5,1),D338))/365)
+
CEILING(MOD((Y338-MAX(DATE(2023,5,1),D338))/365,1),0.25)
)
*3,
IF(J338="ردم",
K338*20,
K338*
(
DATEDIF(MAX(DATE(2023,5,1),D338),Y338,"m")+1
)
*
_xlfn.SWITCH(J338,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338" s="1">
        <f t="shared" ca="1" si="34"/>
        <v>55</v>
      </c>
    </row>
    <row r="339" spans="1:30" ht="18.75" x14ac:dyDescent="0.25">
      <c r="A339" s="52">
        <v>302</v>
      </c>
      <c r="B339" s="6">
        <v>46</v>
      </c>
      <c r="C339" s="6">
        <v>2017</v>
      </c>
      <c r="D339" s="7">
        <v>42851</v>
      </c>
      <c r="E339" s="12"/>
      <c r="F339" s="6"/>
      <c r="G339" s="6" t="s">
        <v>417</v>
      </c>
      <c r="H339" s="6"/>
      <c r="I339" s="6" t="s">
        <v>105</v>
      </c>
      <c r="J339" s="3" t="s">
        <v>27</v>
      </c>
      <c r="K339" s="6">
        <v>50</v>
      </c>
      <c r="L339" s="3" t="s">
        <v>90</v>
      </c>
      <c r="M339" s="7"/>
      <c r="N339" s="6"/>
      <c r="O339" s="9">
        <f>0.47*Table2[[#This Row],[قيمة المحضر]]</f>
        <v>0</v>
      </c>
      <c r="P339" s="9">
        <f>0.17*Table2[[#This Row],[قيمة المحضر]]</f>
        <v>0</v>
      </c>
      <c r="Q339" s="9">
        <f t="shared" ca="1" si="30"/>
        <v>11750</v>
      </c>
      <c r="R339" s="3"/>
      <c r="S339" s="3"/>
      <c r="T339" s="9" t="str">
        <f t="shared" si="31"/>
        <v>-</v>
      </c>
      <c r="U339" s="3" t="s">
        <v>25</v>
      </c>
      <c r="V339" s="9" t="str">
        <f t="shared" si="32"/>
        <v>-</v>
      </c>
      <c r="W339" s="4"/>
      <c r="X339" s="38"/>
      <c r="Y339" s="1">
        <f t="shared" ca="1" si="33"/>
        <v>46162</v>
      </c>
      <c r="Z339" s="1" cm="1">
        <f t="array" ref="Z339">IF(D339&gt;DATE(2015,5,16),0,
K339*
(
INT((MIN(Y339,DATE(2015,5,16))-D339)/365)
+
CEILING(MOD((MIN(Y339,DATE(2015,5,16))-D339)/365,1),0.25)
)
*
_xlfn.SWITCH(J339,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39" s="1" cm="1">
        <f t="array" aca="1" ref="AA339" ca="1">IF(Y339&lt;DATE(2015,5,17),0,
K339*
(
INT((MIN(Y339,DATE(2018,9,23))-MAX(D339,DATE(2015,5,17)))/365)
+
CEILING(MOD((MIN(Y339,DATE(2018,9,23))-MAX(D339,DATE(2015,5,17)))/365,1),0.25)
)
*
_xlfn.SWITCH(J339,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600</v>
      </c>
      <c r="AB339" s="1" cm="1">
        <f t="array" aca="1" ref="AB339" ca="1">IF(Y339&lt;DATE(2018,9,24),0,
IF(J339="زراعة",
K339*
(
INT((MIN(Y339,DATE(2023,4,30))-MAX(D339,DATE(2018,9,24)))/365)
+
CEILING(MOD((MIN(Y339,DATE(2023,4,30))-MAX(D339,DATE(2018,9,24)))/365,1),0.25)
)
*1,
K339*
(
DATEDIF(MAX(D339,DATE(2018,9,24)),MIN(Y339,DATE(2023,4,30)),"m")+1
)
*
_xlfn.SWITCH(J339,
"موقف/تندة",IF(D339&lt;DATE(2019,11,30),6,30),
"تشوينات",IF(D339&lt;DATE(2019,11,30),4,20),
"مشاتل",IF(D339&lt;DATE(2019,11,30),2,10),
"كافيتيريا",IF(D339&lt;DATE(2019,11,30),30,150),
"نوادي",IF(D339&lt;DATE(2019,11,30),6,30),
"رسو مراكب",IF(D339&lt;DATE(2019,11,30),2,10),
"مباني",IF(D339&lt;DATE(2018,9,24),2,10),
"عشش",IF(D339&lt;DATE(2019,11,30),2,10),
"كشك (تجاري/صناعي)",IF(D339&lt;DATE(2019,11,30),10,50),
"ردم",20,
0)))</f>
        <v>5600</v>
      </c>
      <c r="AC339" s="1" cm="1">
        <f t="array" aca="1" ref="AC339" ca="1">IF(Y339&lt;DATE(2023,5,1),0,
IF(J339="زراعة",
K339*
(
INT((Y339-MAX(DATE(2023,5,1),D339))/365)
+
CEILING(MOD((Y339-MAX(DATE(2023,5,1),D339))/365,1),0.25)
)
*3,
IF(J339="ردم",
K339*20,
K339*
(
DATEDIF(MAX(DATE(2023,5,1),D339),Y339,"m")+1
)
*
_xlfn.SWITCH(J339,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339" s="1">
        <f t="shared" ca="1" si="34"/>
        <v>55</v>
      </c>
    </row>
    <row r="340" spans="1:30" ht="18.75" x14ac:dyDescent="0.25">
      <c r="A340" s="52">
        <v>303</v>
      </c>
      <c r="B340" s="6">
        <v>47</v>
      </c>
      <c r="C340" s="6">
        <v>2017</v>
      </c>
      <c r="D340" s="7">
        <v>42851</v>
      </c>
      <c r="E340" s="12"/>
      <c r="F340" s="6"/>
      <c r="G340" s="6" t="s">
        <v>351</v>
      </c>
      <c r="H340" s="6"/>
      <c r="I340" s="6" t="s">
        <v>105</v>
      </c>
      <c r="J340" s="3" t="s">
        <v>27</v>
      </c>
      <c r="K340" s="6">
        <v>60</v>
      </c>
      <c r="L340" s="3" t="s">
        <v>90</v>
      </c>
      <c r="M340" s="7"/>
      <c r="N340" s="6"/>
      <c r="O340" s="9">
        <f>0.47*Table2[[#This Row],[قيمة المحضر]]</f>
        <v>0</v>
      </c>
      <c r="P340" s="9">
        <f>0.17*Table2[[#This Row],[قيمة المحضر]]</f>
        <v>0</v>
      </c>
      <c r="Q340" s="9">
        <f t="shared" ca="1" si="30"/>
        <v>14100</v>
      </c>
      <c r="R340" s="3"/>
      <c r="S340" s="3"/>
      <c r="T340" s="9" t="str">
        <f t="shared" si="31"/>
        <v>-</v>
      </c>
      <c r="U340" s="3" t="s">
        <v>25</v>
      </c>
      <c r="V340" s="9" t="str">
        <f t="shared" si="32"/>
        <v>-</v>
      </c>
      <c r="W340" s="4"/>
      <c r="X340" s="38"/>
      <c r="Y340" s="1">
        <f t="shared" ca="1" si="33"/>
        <v>46162</v>
      </c>
      <c r="Z340" s="1" cm="1">
        <f t="array" ref="Z340">IF(D340&gt;DATE(2015,5,16),0,
K340*
(
INT((MIN(Y340,DATE(2015,5,16))-D340)/365)
+
CEILING(MOD((MIN(Y340,DATE(2015,5,16))-D340)/365,1),0.25)
)
*
_xlfn.SWITCH(J340,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40" s="1" cm="1">
        <f t="array" aca="1" ref="AA340" ca="1">IF(Y340&lt;DATE(2015,5,17),0,
K340*
(
INT((MIN(Y340,DATE(2018,9,23))-MAX(D340,DATE(2015,5,17)))/365)
+
CEILING(MOD((MIN(Y340,DATE(2018,9,23))-MAX(D340,DATE(2015,5,17)))/365,1),0.25)
)
*
_xlfn.SWITCH(J340,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720</v>
      </c>
      <c r="AB340" s="1" cm="1">
        <f t="array" aca="1" ref="AB340" ca="1">IF(Y340&lt;DATE(2018,9,24),0,
IF(J340="زراعة",
K340*
(
INT((MIN(Y340,DATE(2023,4,30))-MAX(D340,DATE(2018,9,24)))/365)
+
CEILING(MOD((MIN(Y340,DATE(2023,4,30))-MAX(D340,DATE(2018,9,24)))/365,1),0.25)
)
*1,
K340*
(
DATEDIF(MAX(D340,DATE(2018,9,24)),MIN(Y340,DATE(2023,4,30)),"m")+1
)
*
_xlfn.SWITCH(J340,
"موقف/تندة",IF(D340&lt;DATE(2019,11,30),6,30),
"تشوينات",IF(D340&lt;DATE(2019,11,30),4,20),
"مشاتل",IF(D340&lt;DATE(2019,11,30),2,10),
"كافيتيريا",IF(D340&lt;DATE(2019,11,30),30,150),
"نوادي",IF(D340&lt;DATE(2019,11,30),6,30),
"رسو مراكب",IF(D340&lt;DATE(2019,11,30),2,10),
"مباني",IF(D340&lt;DATE(2018,9,24),2,10),
"عشش",IF(D340&lt;DATE(2019,11,30),2,10),
"كشك (تجاري/صناعي)",IF(D340&lt;DATE(2019,11,30),10,50),
"ردم",20,
0)))</f>
        <v>6720</v>
      </c>
      <c r="AC340" s="1" cm="1">
        <f t="array" aca="1" ref="AC340" ca="1">IF(Y340&lt;DATE(2023,5,1),0,
IF(J340="زراعة",
K340*
(
INT((Y340-MAX(DATE(2023,5,1),D340))/365)
+
CEILING(MOD((Y340-MAX(DATE(2023,5,1),D340))/365,1),0.25)
)
*3,
IF(J340="ردم",
K340*20,
K340*
(
DATEDIF(MAX(DATE(2023,5,1),D340),Y340,"m")+1
)
*
_xlfn.SWITCH(J340,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340" s="1">
        <f t="shared" ca="1" si="34"/>
        <v>55</v>
      </c>
    </row>
    <row r="341" spans="1:30" ht="18.75" x14ac:dyDescent="0.25">
      <c r="A341" s="52">
        <v>304</v>
      </c>
      <c r="B341" s="6">
        <v>48</v>
      </c>
      <c r="C341" s="6">
        <v>2017</v>
      </c>
      <c r="D341" s="7">
        <v>42851</v>
      </c>
      <c r="E341" s="12"/>
      <c r="F341" s="6"/>
      <c r="G341" s="6" t="s">
        <v>338</v>
      </c>
      <c r="H341" s="6"/>
      <c r="I341" s="6" t="s">
        <v>105</v>
      </c>
      <c r="J341" s="3" t="s">
        <v>28</v>
      </c>
      <c r="K341" s="6">
        <v>30</v>
      </c>
      <c r="L341" s="3" t="s">
        <v>90</v>
      </c>
      <c r="M341" s="7"/>
      <c r="N341" s="6"/>
      <c r="O341" s="9">
        <f>0.47*Table2[[#This Row],[قيمة المحضر]]</f>
        <v>0</v>
      </c>
      <c r="P341" s="9">
        <f>0.17*Table2[[#This Row],[قيمة المحضر]]</f>
        <v>0</v>
      </c>
      <c r="Q341" s="9">
        <f t="shared" ca="1" si="30"/>
        <v>4650</v>
      </c>
      <c r="R341" s="3"/>
      <c r="S341" s="3"/>
      <c r="T341" s="9" t="str">
        <f t="shared" si="31"/>
        <v>-</v>
      </c>
      <c r="U341" s="3" t="s">
        <v>25</v>
      </c>
      <c r="V341" s="9" t="str">
        <f t="shared" si="32"/>
        <v>-</v>
      </c>
      <c r="W341" s="4"/>
      <c r="X341" s="38"/>
      <c r="Y341" s="1">
        <f t="shared" ca="1" si="33"/>
        <v>46162</v>
      </c>
      <c r="Z341" s="1" cm="1">
        <f t="array" ref="Z341">IF(D341&gt;DATE(2015,5,16),0,
K341*
(
INT((MIN(Y341,DATE(2015,5,16))-D341)/365)
+
CEILING(MOD((MIN(Y341,DATE(2015,5,16))-D341)/365,1),0.25)
)
*
_xlfn.SWITCH(J341,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41" s="1" cm="1">
        <f t="array" aca="1" ref="AA341" ca="1">IF(Y341&lt;DATE(2015,5,17),0,
K341*
(
INT((MIN(Y341,DATE(2018,9,23))-MAX(D341,DATE(2015,5,17)))/365)
+
CEILING(MOD((MIN(Y341,DATE(2018,9,23))-MAX(D341,DATE(2015,5,17)))/365,1),0.25)
)
*
_xlfn.SWITCH(J341,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180</v>
      </c>
      <c r="AB341" s="1" cm="1">
        <f t="array" aca="1" ref="AB341" ca="1">IF(Y341&lt;DATE(2018,9,24),0,
IF(J341="زراعة",
K341*
(
INT((MIN(Y341,DATE(2023,4,30))-MAX(D341,DATE(2018,9,24)))/365)
+
CEILING(MOD((MIN(Y341,DATE(2023,4,30))-MAX(D341,DATE(2018,9,24)))/365,1),0.25)
)
*1,
K341*
(
DATEDIF(MAX(D341,DATE(2018,9,24)),MIN(Y341,DATE(2023,4,30)),"m")+1
)
*
_xlfn.SWITCH(J341,
"موقف/تندة",IF(D341&lt;DATE(2019,11,30),6,30),
"تشوينات",IF(D341&lt;DATE(2019,11,30),4,20),
"مشاتل",IF(D341&lt;DATE(2019,11,30),2,10),
"كافيتيريا",IF(D341&lt;DATE(2019,11,30),30,150),
"نوادي",IF(D341&lt;DATE(2019,11,30),6,30),
"رسو مراكب",IF(D341&lt;DATE(2019,11,30),2,10),
"مباني",IF(D341&lt;DATE(2018,9,24),2,10),
"عشش",IF(D341&lt;DATE(2019,11,30),2,10),
"كشك (تجاري/صناعي)",IF(D341&lt;DATE(2019,11,30),10,50),
"ردم",20,
0)))</f>
        <v>3360</v>
      </c>
      <c r="AC341" s="1" cm="1">
        <f t="array" aca="1" ref="AC341" ca="1">IF(Y341&lt;DATE(2023,5,1),0,
IF(J341="زراعة",
K341*
(
INT((Y341-MAX(DATE(2023,5,1),D341))/365)
+
CEILING(MOD((Y341-MAX(DATE(2023,5,1),D341))/365,1),0.25)
)
*3,
IF(J341="ردم",
K341*20,
K341*
(
DATEDIF(MAX(DATE(2023,5,1),D341),Y341,"m")+1
)
*
_xlfn.SWITCH(J341,
"موقف/تندة",6,
"تشوينات",4,
"مشاتل",2,
"رسو مراكب",6,
"مباني",3,
"عشش",1,
"كشك (تجاري/صناعي)",20,
"مواسير صرف صحي (&lt;1م)",16,
"مواسير صرف صحي (&gt;1م)",18,
0))))</f>
        <v>1110</v>
      </c>
      <c r="AD341" s="1">
        <f t="shared" ca="1" si="34"/>
        <v>55</v>
      </c>
    </row>
    <row r="342" spans="1:30" ht="18.75" x14ac:dyDescent="0.25">
      <c r="A342" s="52">
        <v>305</v>
      </c>
      <c r="B342" s="6">
        <v>49</v>
      </c>
      <c r="C342" s="6">
        <v>2017</v>
      </c>
      <c r="D342" s="7">
        <v>42851</v>
      </c>
      <c r="E342" s="12"/>
      <c r="F342" s="6"/>
      <c r="G342" s="6" t="s">
        <v>418</v>
      </c>
      <c r="H342" s="6"/>
      <c r="I342" s="6" t="s">
        <v>105</v>
      </c>
      <c r="J342" s="3" t="s">
        <v>28</v>
      </c>
      <c r="K342" s="6">
        <v>30</v>
      </c>
      <c r="L342" s="3" t="s">
        <v>90</v>
      </c>
      <c r="M342" s="7"/>
      <c r="N342" s="6"/>
      <c r="O342" s="9">
        <f>0.47*Table2[[#This Row],[قيمة المحضر]]</f>
        <v>0</v>
      </c>
      <c r="P342" s="9">
        <f>0.17*Table2[[#This Row],[قيمة المحضر]]</f>
        <v>0</v>
      </c>
      <c r="Q342" s="9">
        <f t="shared" ca="1" si="30"/>
        <v>4650</v>
      </c>
      <c r="R342" s="3"/>
      <c r="S342" s="3"/>
      <c r="T342" s="9" t="str">
        <f t="shared" si="31"/>
        <v>-</v>
      </c>
      <c r="U342" s="3" t="s">
        <v>25</v>
      </c>
      <c r="V342" s="9" t="str">
        <f t="shared" si="32"/>
        <v>-</v>
      </c>
      <c r="W342" s="4"/>
      <c r="X342" s="38"/>
      <c r="Y342" s="1">
        <f t="shared" ca="1" si="33"/>
        <v>46162</v>
      </c>
      <c r="Z342" s="1" cm="1">
        <f t="array" ref="Z342">IF(D342&gt;DATE(2015,5,16),0,
K342*
(
INT((MIN(Y342,DATE(2015,5,16))-D342)/365)
+
CEILING(MOD((MIN(Y342,DATE(2015,5,16))-D342)/365,1),0.25)
)
*
_xlfn.SWITCH(J342,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42" s="1" cm="1">
        <f t="array" aca="1" ref="AA342" ca="1">IF(Y342&lt;DATE(2015,5,17),0,
K342*
(
INT((MIN(Y342,DATE(2018,9,23))-MAX(D342,DATE(2015,5,17)))/365)
+
CEILING(MOD((MIN(Y342,DATE(2018,9,23))-MAX(D342,DATE(2015,5,17)))/365,1),0.25)
)
*
_xlfn.SWITCH(J342,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180</v>
      </c>
      <c r="AB342" s="1" cm="1">
        <f t="array" aca="1" ref="AB342" ca="1">IF(Y342&lt;DATE(2018,9,24),0,
IF(J342="زراعة",
K342*
(
INT((MIN(Y342,DATE(2023,4,30))-MAX(D342,DATE(2018,9,24)))/365)
+
CEILING(MOD((MIN(Y342,DATE(2023,4,30))-MAX(D342,DATE(2018,9,24)))/365,1),0.25)
)
*1,
K342*
(
DATEDIF(MAX(D342,DATE(2018,9,24)),MIN(Y342,DATE(2023,4,30)),"m")+1
)
*
_xlfn.SWITCH(J342,
"موقف/تندة",IF(D342&lt;DATE(2019,11,30),6,30),
"تشوينات",IF(D342&lt;DATE(2019,11,30),4,20),
"مشاتل",IF(D342&lt;DATE(2019,11,30),2,10),
"كافيتيريا",IF(D342&lt;DATE(2019,11,30),30,150),
"نوادي",IF(D342&lt;DATE(2019,11,30),6,30),
"رسو مراكب",IF(D342&lt;DATE(2019,11,30),2,10),
"مباني",IF(D342&lt;DATE(2018,9,24),2,10),
"عشش",IF(D342&lt;DATE(2019,11,30),2,10),
"كشك (تجاري/صناعي)",IF(D342&lt;DATE(2019,11,30),10,50),
"ردم",20,
0)))</f>
        <v>3360</v>
      </c>
      <c r="AC342" s="1" cm="1">
        <f t="array" aca="1" ref="AC342" ca="1">IF(Y342&lt;DATE(2023,5,1),0,
IF(J342="زراعة",
K342*
(
INT((Y342-MAX(DATE(2023,5,1),D342))/365)
+
CEILING(MOD((Y342-MAX(DATE(2023,5,1),D342))/365,1),0.25)
)
*3,
IF(J342="ردم",
K342*20,
K342*
(
DATEDIF(MAX(DATE(2023,5,1),D342),Y342,"m")+1
)
*
_xlfn.SWITCH(J342,
"موقف/تندة",6,
"تشوينات",4,
"مشاتل",2,
"رسو مراكب",6,
"مباني",3,
"عشش",1,
"كشك (تجاري/صناعي)",20,
"مواسير صرف صحي (&lt;1م)",16,
"مواسير صرف صحي (&gt;1م)",18,
0))))</f>
        <v>1110</v>
      </c>
      <c r="AD342" s="1">
        <f t="shared" ca="1" si="34"/>
        <v>55</v>
      </c>
    </row>
    <row r="343" spans="1:30" ht="18.75" x14ac:dyDescent="0.25">
      <c r="A343" s="52">
        <v>306</v>
      </c>
      <c r="B343" s="82">
        <v>50</v>
      </c>
      <c r="C343" s="6">
        <v>2017</v>
      </c>
      <c r="D343" s="7">
        <v>42851</v>
      </c>
      <c r="E343" s="12"/>
      <c r="F343" s="6"/>
      <c r="G343" s="6" t="s">
        <v>419</v>
      </c>
      <c r="H343" s="6"/>
      <c r="I343" s="6" t="s">
        <v>437</v>
      </c>
      <c r="J343" s="3" t="s">
        <v>77</v>
      </c>
      <c r="K343" s="6">
        <v>90</v>
      </c>
      <c r="L343" s="3" t="s">
        <v>90</v>
      </c>
      <c r="M343" s="7"/>
      <c r="N343" s="6"/>
      <c r="O343" s="9">
        <f>0.47*Table2[[#This Row],[قيمة المحضر]]</f>
        <v>0</v>
      </c>
      <c r="P343" s="9">
        <f>0.17*Table2[[#This Row],[قيمة المحضر]]</f>
        <v>0</v>
      </c>
      <c r="Q343" s="9">
        <f t="shared" ca="1" si="30"/>
        <v>105300</v>
      </c>
      <c r="R343" s="3"/>
      <c r="S343" s="3"/>
      <c r="T343" s="9" t="str">
        <f t="shared" si="31"/>
        <v>-</v>
      </c>
      <c r="U343" s="3" t="s">
        <v>25</v>
      </c>
      <c r="V343" s="9" t="str">
        <f t="shared" si="32"/>
        <v>-</v>
      </c>
      <c r="W343" s="4"/>
      <c r="X343" s="38"/>
      <c r="Y343" s="1">
        <f t="shared" ca="1" si="33"/>
        <v>46162</v>
      </c>
      <c r="Z343" s="1" cm="1">
        <f t="array" ref="Z343">IF(D343&gt;DATE(2015,5,16),0,
K343*
(
INT((MIN(Y343,DATE(2015,5,16))-D343)/365)
+
CEILING(MOD((MIN(Y343,DATE(2015,5,16))-D343)/365,1),0.25)
)
*
_xlfn.SWITCH(J343,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43" s="1" cm="1">
        <f t="array" aca="1" ref="AA343" ca="1">IF(Y343&lt;DATE(2015,5,17),0,
K343*
(
INT((MIN(Y343,DATE(2018,9,23))-MAX(D343,DATE(2015,5,17)))/365)
+
CEILING(MOD((MIN(Y343,DATE(2018,9,23))-MAX(D343,DATE(2015,5,17)))/365,1),0.25)
)
*
_xlfn.SWITCH(J343,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2700</v>
      </c>
      <c r="AB343" s="1" cm="1">
        <f t="array" aca="1" ref="AB343" ca="1">IF(Y343&lt;DATE(2018,9,24),0,
IF(J343="زراعة",
K343*
(
INT((MIN(Y343,DATE(2023,4,30))-MAX(D343,DATE(2018,9,24)))/365)
+
CEILING(MOD((MIN(Y343,DATE(2023,4,30))-MAX(D343,DATE(2018,9,24)))/365,1),0.25)
)
*1,
K343*
(
DATEDIF(MAX(D343,DATE(2018,9,24)),MIN(Y343,DATE(2023,4,30)),"m")+1
)
*
_xlfn.SWITCH(J343,
"موقف/تندة",IF(D343&lt;DATE(2019,11,30),6,30),
"تشوينات",IF(D343&lt;DATE(2019,11,30),4,20),
"مشاتل",IF(D343&lt;DATE(2019,11,30),2,10),
"كافيتيريا",IF(D343&lt;DATE(2019,11,30),30,150),
"نوادي",IF(D343&lt;DATE(2019,11,30),6,30),
"رسو مراكب",IF(D343&lt;DATE(2019,11,30),2,10),
"مباني",IF(D343&lt;DATE(2018,9,24),2,10),
"عشش",IF(D343&lt;DATE(2019,11,30),2,10),
"كشك (تجاري/صناعي)",IF(D343&lt;DATE(2019,11,30),10,50),
"ردم",20,
0)))</f>
        <v>100800</v>
      </c>
      <c r="AC343" s="1" cm="1">
        <f t="array" aca="1" ref="AC343" ca="1">IF(Y343&lt;DATE(2023,5,1),0,
IF(J343="زراعة",
K343*
(
INT((Y343-MAX(DATE(2023,5,1),D343))/365)
+
CEILING(MOD((Y343-MAX(DATE(2023,5,1),D343))/365,1),0.25)
)
*3,
IF(J343="ردم",
K343*20,
K343*
(
DATEDIF(MAX(DATE(2023,5,1),D343),Y343,"m")+1
)
*
_xlfn.SWITCH(J343,
"موقف/تندة",6,
"تشوينات",4,
"مشاتل",2,
"رسو مراكب",6,
"مباني",3,
"عشش",1,
"كشك (تجاري/صناعي)",20,
"مواسير صرف صحي (&lt;1م)",16,
"مواسير صرف صحي (&gt;1م)",18,
0))))</f>
        <v>1800</v>
      </c>
      <c r="AD343" s="1">
        <f t="shared" ca="1" si="34"/>
        <v>55</v>
      </c>
    </row>
    <row r="344" spans="1:30" ht="18.75" x14ac:dyDescent="0.25">
      <c r="A344" s="52">
        <v>306</v>
      </c>
      <c r="B344" s="82">
        <v>50</v>
      </c>
      <c r="C344" s="6">
        <v>2017</v>
      </c>
      <c r="D344" s="7">
        <v>42851</v>
      </c>
      <c r="E344" s="12"/>
      <c r="F344" s="6"/>
      <c r="G344" s="6" t="s">
        <v>419</v>
      </c>
      <c r="H344" s="6"/>
      <c r="I344" s="6" t="s">
        <v>437</v>
      </c>
      <c r="J344" s="3" t="s">
        <v>146</v>
      </c>
      <c r="K344" s="6">
        <v>90</v>
      </c>
      <c r="L344" s="3" t="s">
        <v>90</v>
      </c>
      <c r="M344" s="7"/>
      <c r="N344" s="6"/>
      <c r="O344" s="9">
        <f>0.47*Table2[[#This Row],[قيمة المحضر]]</f>
        <v>0</v>
      </c>
      <c r="P344" s="9">
        <f>0.17*Table2[[#This Row],[قيمة المحضر]]</f>
        <v>0</v>
      </c>
      <c r="Q344" s="9">
        <f t="shared" ca="1" si="30"/>
        <v>1345.5</v>
      </c>
      <c r="R344" s="3"/>
      <c r="S344" s="3"/>
      <c r="T344" s="9" t="str">
        <f t="shared" si="31"/>
        <v>-</v>
      </c>
      <c r="U344" s="3" t="s">
        <v>25</v>
      </c>
      <c r="V344" s="9" t="str">
        <f t="shared" si="32"/>
        <v>-</v>
      </c>
      <c r="W344" s="4"/>
      <c r="X344" s="38"/>
      <c r="Y344" s="1">
        <f t="shared" ca="1" si="33"/>
        <v>46162</v>
      </c>
      <c r="Z344" s="1" cm="1">
        <f t="array" ref="Z344">IF(D344&gt;DATE(2015,5,16),0,
K344*
(
INT((MIN(Y344,DATE(2015,5,16))-D344)/365)
+
CEILING(MOD((MIN(Y344,DATE(2015,5,16))-D344)/365,1),0.25)
)
*
_xlfn.SWITCH(J344,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44" s="1" cm="1">
        <f t="array" aca="1" ref="AA344" ca="1">IF(Y344&lt;DATE(2015,5,17),0,
K344*
(
INT((MIN(Y344,DATE(2018,9,23))-MAX(D344,DATE(2015,5,17)))/365)
+
CEILING(MOD((MIN(Y344,DATE(2018,9,23))-MAX(D344,DATE(2015,5,17)))/365,1),0.25)
)
*
_xlfn.SWITCH(J344,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40.5</v>
      </c>
      <c r="AB344" s="1" cm="1">
        <f t="array" aca="1" ref="AB344" ca="1">IF(Y344&lt;DATE(2018,9,24),0,
IF(J344="زراعة",
K344*
(
INT((MIN(Y344,DATE(2023,4,30))-MAX(D344,DATE(2018,9,24)))/365)
+
CEILING(MOD((MIN(Y344,DATE(2023,4,30))-MAX(D344,DATE(2018,9,24)))/365,1),0.25)
)
*1,
K344*
(
DATEDIF(MAX(D344,DATE(2018,9,24)),MIN(Y344,DATE(2023,4,30)),"m")+1
)
*
_xlfn.SWITCH(J344,
"موقف/تندة",IF(D344&lt;DATE(2019,11,30),6,30),
"تشوينات",IF(D344&lt;DATE(2019,11,30),4,20),
"مشاتل",IF(D344&lt;DATE(2019,11,30),2,10),
"كافيتيريا",IF(D344&lt;DATE(2019,11,30),30,150),
"نوادي",IF(D344&lt;DATE(2019,11,30),6,30),
"رسو مراكب",IF(D344&lt;DATE(2019,11,30),2,10),
"مباني",IF(D344&lt;DATE(2018,9,24),2,10),
"عشش",IF(D344&lt;DATE(2019,11,30),2,10),
"كشك (تجاري/صناعي)",IF(D344&lt;DATE(2019,11,30),10,50),
"ردم",20,
0)))</f>
        <v>427.5</v>
      </c>
      <c r="AC344" s="1" cm="1">
        <f t="array" aca="1" ref="AC344" ca="1">IF(Y344&lt;DATE(2023,5,1),0,
IF(J344="زراعة",
K344*
(
INT((Y344-MAX(DATE(2023,5,1),D344))/365)
+
CEILING(MOD((Y344-MAX(DATE(2023,5,1),D344))/365,1),0.25)
)
*3,
IF(J344="ردم",
K344*20,
K344*
(
DATEDIF(MAX(DATE(2023,5,1),D344),Y344,"m")+1
)
*
_xlfn.SWITCH(J344,
"موقف/تندة",6,
"تشوينات",4,
"مشاتل",2,
"رسو مراكب",6,
"مباني",3,
"عشش",1,
"كشك (تجاري/صناعي)",20,
"مواسير صرف صحي (&lt;1م)",16,
"مواسير صرف صحي (&gt;1م)",18,
0))))</f>
        <v>877.5</v>
      </c>
      <c r="AD344" s="1">
        <f t="shared" ca="1" si="34"/>
        <v>55</v>
      </c>
    </row>
    <row r="345" spans="1:30" ht="18.75" x14ac:dyDescent="0.25">
      <c r="A345" s="52">
        <v>307</v>
      </c>
      <c r="B345" s="82">
        <v>51</v>
      </c>
      <c r="C345" s="6">
        <v>2017</v>
      </c>
      <c r="D345" s="7">
        <v>42851</v>
      </c>
      <c r="E345" s="12"/>
      <c r="F345" s="6"/>
      <c r="G345" s="6" t="s">
        <v>420</v>
      </c>
      <c r="H345" s="6"/>
      <c r="I345" s="6" t="s">
        <v>144</v>
      </c>
      <c r="J345" s="3" t="s">
        <v>77</v>
      </c>
      <c r="K345" s="6">
        <v>195</v>
      </c>
      <c r="L345" s="3" t="s">
        <v>90</v>
      </c>
      <c r="M345" s="7"/>
      <c r="N345" s="6"/>
      <c r="O345" s="9">
        <f>0.47*Table2[[#This Row],[قيمة المحضر]]</f>
        <v>0</v>
      </c>
      <c r="P345" s="9">
        <f>0.17*Table2[[#This Row],[قيمة المحضر]]</f>
        <v>0</v>
      </c>
      <c r="Q345" s="9">
        <f t="shared" ca="1" si="30"/>
        <v>228150</v>
      </c>
      <c r="R345" s="3"/>
      <c r="S345" s="3"/>
      <c r="T345" s="9" t="str">
        <f t="shared" si="31"/>
        <v>-</v>
      </c>
      <c r="U345" s="3" t="s">
        <v>25</v>
      </c>
      <c r="V345" s="9" t="str">
        <f t="shared" si="32"/>
        <v>-</v>
      </c>
      <c r="W345" s="4"/>
      <c r="X345" s="38"/>
      <c r="Y345" s="1">
        <f t="shared" ca="1" si="33"/>
        <v>46162</v>
      </c>
      <c r="Z345" s="1" cm="1">
        <f t="array" ref="Z345">IF(D345&gt;DATE(2015,5,16),0,
K345*
(
INT((MIN(Y345,DATE(2015,5,16))-D345)/365)
+
CEILING(MOD((MIN(Y345,DATE(2015,5,16))-D345)/365,1),0.25)
)
*
_xlfn.SWITCH(J345,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45" s="1" cm="1">
        <f t="array" aca="1" ref="AA345" ca="1">IF(Y345&lt;DATE(2015,5,17),0,
K345*
(
INT((MIN(Y345,DATE(2018,9,23))-MAX(D345,DATE(2015,5,17)))/365)
+
CEILING(MOD((MIN(Y345,DATE(2018,9,23))-MAX(D345,DATE(2015,5,17)))/365,1),0.25)
)
*
_xlfn.SWITCH(J345,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5850</v>
      </c>
      <c r="AB345" s="1" cm="1">
        <f t="array" aca="1" ref="AB345" ca="1">IF(Y345&lt;DATE(2018,9,24),0,
IF(J345="زراعة",
K345*
(
INT((MIN(Y345,DATE(2023,4,30))-MAX(D345,DATE(2018,9,24)))/365)
+
CEILING(MOD((MIN(Y345,DATE(2023,4,30))-MAX(D345,DATE(2018,9,24)))/365,1),0.25)
)
*1,
K345*
(
DATEDIF(MAX(D345,DATE(2018,9,24)),MIN(Y345,DATE(2023,4,30)),"m")+1
)
*
_xlfn.SWITCH(J345,
"موقف/تندة",IF(D345&lt;DATE(2019,11,30),6,30),
"تشوينات",IF(D345&lt;DATE(2019,11,30),4,20),
"مشاتل",IF(D345&lt;DATE(2019,11,30),2,10),
"كافيتيريا",IF(D345&lt;DATE(2019,11,30),30,150),
"نوادي",IF(D345&lt;DATE(2019,11,30),6,30),
"رسو مراكب",IF(D345&lt;DATE(2019,11,30),2,10),
"مباني",IF(D345&lt;DATE(2018,9,24),2,10),
"عشش",IF(D345&lt;DATE(2019,11,30),2,10),
"كشك (تجاري/صناعي)",IF(D345&lt;DATE(2019,11,30),10,50),
"ردم",20,
0)))</f>
        <v>218400</v>
      </c>
      <c r="AC345" s="1" cm="1">
        <f t="array" aca="1" ref="AC345" ca="1">IF(Y345&lt;DATE(2023,5,1),0,
IF(J345="زراعة",
K345*
(
INT((Y345-MAX(DATE(2023,5,1),D345))/365)
+
CEILING(MOD((Y345-MAX(DATE(2023,5,1),D345))/365,1),0.25)
)
*3,
IF(J345="ردم",
K345*20,
K345*
(
DATEDIF(MAX(DATE(2023,5,1),D345),Y345,"m")+1
)
*
_xlfn.SWITCH(J345,
"موقف/تندة",6,
"تشوينات",4,
"مشاتل",2,
"رسو مراكب",6,
"مباني",3,
"عشش",1,
"كشك (تجاري/صناعي)",20,
"مواسير صرف صحي (&lt;1م)",16,
"مواسير صرف صحي (&gt;1م)",18,
0))))</f>
        <v>3900</v>
      </c>
      <c r="AD345" s="1">
        <f t="shared" ca="1" si="34"/>
        <v>55</v>
      </c>
    </row>
    <row r="346" spans="1:30" ht="18.75" x14ac:dyDescent="0.25">
      <c r="A346" s="52">
        <v>307</v>
      </c>
      <c r="B346" s="82">
        <v>51</v>
      </c>
      <c r="C346" s="6">
        <v>2017</v>
      </c>
      <c r="D346" s="7">
        <v>42851</v>
      </c>
      <c r="E346" s="12"/>
      <c r="F346" s="6"/>
      <c r="G346" s="6" t="s">
        <v>420</v>
      </c>
      <c r="H346" s="6"/>
      <c r="I346" s="6" t="s">
        <v>144</v>
      </c>
      <c r="J346" s="3" t="s">
        <v>146</v>
      </c>
      <c r="K346" s="6">
        <v>195</v>
      </c>
      <c r="L346" s="3" t="s">
        <v>90</v>
      </c>
      <c r="M346" s="7"/>
      <c r="N346" s="6"/>
      <c r="O346" s="9">
        <f>0.47*Table2[[#This Row],[قيمة المحضر]]</f>
        <v>0</v>
      </c>
      <c r="P346" s="9">
        <f>0.17*Table2[[#This Row],[قيمة المحضر]]</f>
        <v>0</v>
      </c>
      <c r="Q346" s="9">
        <f t="shared" ca="1" si="30"/>
        <v>2915.25</v>
      </c>
      <c r="R346" s="3"/>
      <c r="S346" s="3"/>
      <c r="T346" s="9" t="str">
        <f t="shared" si="31"/>
        <v>-</v>
      </c>
      <c r="U346" s="3" t="s">
        <v>25</v>
      </c>
      <c r="V346" s="9" t="str">
        <f t="shared" si="32"/>
        <v>-</v>
      </c>
      <c r="W346" s="4"/>
      <c r="X346" s="38"/>
      <c r="Y346" s="1">
        <f t="shared" ca="1" si="33"/>
        <v>46162</v>
      </c>
      <c r="Z346" s="1" cm="1">
        <f t="array" ref="Z346">IF(D346&gt;DATE(2015,5,16),0,
K346*
(
INT((MIN(Y346,DATE(2015,5,16))-D346)/365)
+
CEILING(MOD((MIN(Y346,DATE(2015,5,16))-D346)/365,1),0.25)
)
*
_xlfn.SWITCH(J346,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46" s="1" cm="1">
        <f t="array" aca="1" ref="AA346" ca="1">IF(Y346&lt;DATE(2015,5,17),0,
K346*
(
INT((MIN(Y346,DATE(2018,9,23))-MAX(D346,DATE(2015,5,17)))/365)
+
CEILING(MOD((MIN(Y346,DATE(2018,9,23))-MAX(D346,DATE(2015,5,17)))/365,1),0.25)
)
*
_xlfn.SWITCH(J346,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87.75</v>
      </c>
      <c r="AB346" s="1" cm="1">
        <f t="array" aca="1" ref="AB346" ca="1">IF(Y346&lt;DATE(2018,9,24),0,
IF(J346="زراعة",
K346*
(
INT((MIN(Y346,DATE(2023,4,30))-MAX(D346,DATE(2018,9,24)))/365)
+
CEILING(MOD((MIN(Y346,DATE(2023,4,30))-MAX(D346,DATE(2018,9,24)))/365,1),0.25)
)
*1,
K346*
(
DATEDIF(MAX(D346,DATE(2018,9,24)),MIN(Y346,DATE(2023,4,30)),"m")+1
)
*
_xlfn.SWITCH(J346,
"موقف/تندة",IF(D346&lt;DATE(2019,11,30),6,30),
"تشوينات",IF(D346&lt;DATE(2019,11,30),4,20),
"مشاتل",IF(D346&lt;DATE(2019,11,30),2,10),
"كافيتيريا",IF(D346&lt;DATE(2019,11,30),30,150),
"نوادي",IF(D346&lt;DATE(2019,11,30),6,30),
"رسو مراكب",IF(D346&lt;DATE(2019,11,30),2,10),
"مباني",IF(D346&lt;DATE(2018,9,24),2,10),
"عشش",IF(D346&lt;DATE(2019,11,30),2,10),
"كشك (تجاري/صناعي)",IF(D346&lt;DATE(2019,11,30),10,50),
"ردم",20,
0)))</f>
        <v>926.25</v>
      </c>
      <c r="AC346" s="1" cm="1">
        <f t="array" aca="1" ref="AC346" ca="1">IF(Y346&lt;DATE(2023,5,1),0,
IF(J346="زراعة",
K346*
(
INT((Y346-MAX(DATE(2023,5,1),D346))/365)
+
CEILING(MOD((Y346-MAX(DATE(2023,5,1),D346))/365,1),0.25)
)
*3,
IF(J346="ردم",
K346*20,
K346*
(
DATEDIF(MAX(DATE(2023,5,1),D346),Y346,"m")+1
)
*
_xlfn.SWITCH(J346,
"موقف/تندة",6,
"تشوينات",4,
"مشاتل",2,
"رسو مراكب",6,
"مباني",3,
"عشش",1,
"كشك (تجاري/صناعي)",20,
"مواسير صرف صحي (&lt;1م)",16,
"مواسير صرف صحي (&gt;1م)",18,
0))))</f>
        <v>1901.25</v>
      </c>
      <c r="AD346" s="1">
        <f t="shared" ca="1" si="34"/>
        <v>55</v>
      </c>
    </row>
    <row r="347" spans="1:30" ht="18.75" x14ac:dyDescent="0.25">
      <c r="A347" s="52">
        <v>308</v>
      </c>
      <c r="B347" s="82">
        <v>52</v>
      </c>
      <c r="C347" s="6">
        <v>2017</v>
      </c>
      <c r="D347" s="7">
        <v>42851</v>
      </c>
      <c r="E347" s="12"/>
      <c r="F347" s="6"/>
      <c r="G347" s="6" t="s">
        <v>421</v>
      </c>
      <c r="H347" s="6"/>
      <c r="I347" s="6" t="s">
        <v>144</v>
      </c>
      <c r="J347" s="3" t="s">
        <v>77</v>
      </c>
      <c r="K347" s="6">
        <v>90</v>
      </c>
      <c r="L347" s="3" t="s">
        <v>90</v>
      </c>
      <c r="M347" s="7"/>
      <c r="N347" s="6"/>
      <c r="O347" s="9">
        <f>0.47*Table2[[#This Row],[قيمة المحضر]]</f>
        <v>0</v>
      </c>
      <c r="P347" s="9">
        <f>0.17*Table2[[#This Row],[قيمة المحضر]]</f>
        <v>0</v>
      </c>
      <c r="Q347" s="9">
        <f t="shared" ref="Q347:Q410" ca="1" si="35">Z347+AA347+AB347+AC347</f>
        <v>105300</v>
      </c>
      <c r="R347" s="3"/>
      <c r="S347" s="3"/>
      <c r="T347" s="9" t="str">
        <f t="shared" ref="T347:T410" si="36">IF(R347="تم الحجز",Q347+O347+N347,"-")</f>
        <v>-</v>
      </c>
      <c r="U347" s="3" t="s">
        <v>25</v>
      </c>
      <c r="V347" s="9" t="str">
        <f t="shared" ref="V347:V410" si="37">IF(OR(U347="قائم",U347="قائم و سدد مقابل انتفاع"),"-",
IF(U347="تم رد الشئ لأصله",P347+Q347,
IF(U347="ازالة جبرية",N347+O347+Q347,"")))</f>
        <v>-</v>
      </c>
      <c r="W347" s="4"/>
      <c r="X347" s="38"/>
      <c r="Y347" s="1">
        <f t="shared" ca="1" si="33"/>
        <v>46162</v>
      </c>
      <c r="Z347" s="1" cm="1">
        <f t="array" ref="Z347">IF(D347&gt;DATE(2015,5,16),0,
K347*
(
INT((MIN(Y347,DATE(2015,5,16))-D347)/365)
+
CEILING(MOD((MIN(Y347,DATE(2015,5,16))-D347)/365,1),0.25)
)
*
_xlfn.SWITCH(J347,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47" s="1" cm="1">
        <f t="array" aca="1" ref="AA347" ca="1">IF(Y347&lt;DATE(2015,5,17),0,
K347*
(
INT((MIN(Y347,DATE(2018,9,23))-MAX(D347,DATE(2015,5,17)))/365)
+
CEILING(MOD((MIN(Y347,DATE(2018,9,23))-MAX(D347,DATE(2015,5,17)))/365,1),0.25)
)
*
_xlfn.SWITCH(J347,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2700</v>
      </c>
      <c r="AB347" s="1" cm="1">
        <f t="array" aca="1" ref="AB347" ca="1">IF(Y347&lt;DATE(2018,9,24),0,
IF(J347="زراعة",
K347*
(
INT((MIN(Y347,DATE(2023,4,30))-MAX(D347,DATE(2018,9,24)))/365)
+
CEILING(MOD((MIN(Y347,DATE(2023,4,30))-MAX(D347,DATE(2018,9,24)))/365,1),0.25)
)
*1,
K347*
(
DATEDIF(MAX(D347,DATE(2018,9,24)),MIN(Y347,DATE(2023,4,30)),"m")+1
)
*
_xlfn.SWITCH(J347,
"موقف/تندة",IF(D347&lt;DATE(2019,11,30),6,30),
"تشوينات",IF(D347&lt;DATE(2019,11,30),4,20),
"مشاتل",IF(D347&lt;DATE(2019,11,30),2,10),
"كافيتيريا",IF(D347&lt;DATE(2019,11,30),30,150),
"نوادي",IF(D347&lt;DATE(2019,11,30),6,30),
"رسو مراكب",IF(D347&lt;DATE(2019,11,30),2,10),
"مباني",IF(D347&lt;DATE(2018,9,24),2,10),
"عشش",IF(D347&lt;DATE(2019,11,30),2,10),
"كشك (تجاري/صناعي)",IF(D347&lt;DATE(2019,11,30),10,50),
"ردم",20,
0)))</f>
        <v>100800</v>
      </c>
      <c r="AC347" s="1" cm="1">
        <f t="array" aca="1" ref="AC347" ca="1">IF(Y347&lt;DATE(2023,5,1),0,
IF(J347="زراعة",
K347*
(
INT((Y347-MAX(DATE(2023,5,1),D347))/365)
+
CEILING(MOD((Y347-MAX(DATE(2023,5,1),D347))/365,1),0.25)
)
*3,
IF(J347="ردم",
K347*20,
K347*
(
DATEDIF(MAX(DATE(2023,5,1),D347),Y347,"m")+1
)
*
_xlfn.SWITCH(J347,
"موقف/تندة",6,
"تشوينات",4,
"مشاتل",2,
"رسو مراكب",6,
"مباني",3,
"عشش",1,
"كشك (تجاري/صناعي)",20,
"مواسير صرف صحي (&lt;1م)",16,
"مواسير صرف صحي (&gt;1م)",18,
0))))</f>
        <v>1800</v>
      </c>
      <c r="AD347" s="1">
        <f t="shared" ca="1" si="34"/>
        <v>55</v>
      </c>
    </row>
    <row r="348" spans="1:30" ht="18.75" x14ac:dyDescent="0.25">
      <c r="A348" s="52">
        <v>308</v>
      </c>
      <c r="B348" s="82">
        <v>52</v>
      </c>
      <c r="C348" s="6">
        <v>2017</v>
      </c>
      <c r="D348" s="7">
        <v>42851</v>
      </c>
      <c r="E348" s="12"/>
      <c r="F348" s="6"/>
      <c r="G348" s="6" t="s">
        <v>421</v>
      </c>
      <c r="H348" s="6"/>
      <c r="I348" s="6" t="s">
        <v>144</v>
      </c>
      <c r="J348" s="3" t="s">
        <v>146</v>
      </c>
      <c r="K348" s="6">
        <v>90</v>
      </c>
      <c r="L348" s="3" t="s">
        <v>90</v>
      </c>
      <c r="M348" s="7"/>
      <c r="N348" s="6"/>
      <c r="O348" s="9">
        <f>0.47*Table2[[#This Row],[قيمة المحضر]]</f>
        <v>0</v>
      </c>
      <c r="P348" s="9">
        <f>0.17*Table2[[#This Row],[قيمة المحضر]]</f>
        <v>0</v>
      </c>
      <c r="Q348" s="9">
        <f t="shared" ca="1" si="35"/>
        <v>1345.5</v>
      </c>
      <c r="R348" s="3"/>
      <c r="S348" s="3"/>
      <c r="T348" s="9" t="str">
        <f t="shared" si="36"/>
        <v>-</v>
      </c>
      <c r="U348" s="3" t="s">
        <v>25</v>
      </c>
      <c r="V348" s="9" t="str">
        <f t="shared" si="37"/>
        <v>-</v>
      </c>
      <c r="W348" s="4"/>
      <c r="X348" s="38"/>
      <c r="Y348" s="1">
        <f t="shared" ca="1" si="33"/>
        <v>46162</v>
      </c>
      <c r="Z348" s="1" cm="1">
        <f t="array" ref="Z348">IF(D348&gt;DATE(2015,5,16),0,
K348*
(
INT((MIN(Y348,DATE(2015,5,16))-D348)/365)
+
CEILING(MOD((MIN(Y348,DATE(2015,5,16))-D348)/365,1),0.25)
)
*
_xlfn.SWITCH(J348,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48" s="1" cm="1">
        <f t="array" aca="1" ref="AA348" ca="1">IF(Y348&lt;DATE(2015,5,17),0,
K348*
(
INT((MIN(Y348,DATE(2018,9,23))-MAX(D348,DATE(2015,5,17)))/365)
+
CEILING(MOD((MIN(Y348,DATE(2018,9,23))-MAX(D348,DATE(2015,5,17)))/365,1),0.25)
)
*
_xlfn.SWITCH(J348,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40.5</v>
      </c>
      <c r="AB348" s="1" cm="1">
        <f t="array" aca="1" ref="AB348" ca="1">IF(Y348&lt;DATE(2018,9,24),0,
IF(J348="زراعة",
K348*
(
INT((MIN(Y348,DATE(2023,4,30))-MAX(D348,DATE(2018,9,24)))/365)
+
CEILING(MOD((MIN(Y348,DATE(2023,4,30))-MAX(D348,DATE(2018,9,24)))/365,1),0.25)
)
*1,
K348*
(
DATEDIF(MAX(D348,DATE(2018,9,24)),MIN(Y348,DATE(2023,4,30)),"m")+1
)
*
_xlfn.SWITCH(J348,
"موقف/تندة",IF(D348&lt;DATE(2019,11,30),6,30),
"تشوينات",IF(D348&lt;DATE(2019,11,30),4,20),
"مشاتل",IF(D348&lt;DATE(2019,11,30),2,10),
"كافيتيريا",IF(D348&lt;DATE(2019,11,30),30,150),
"نوادي",IF(D348&lt;DATE(2019,11,30),6,30),
"رسو مراكب",IF(D348&lt;DATE(2019,11,30),2,10),
"مباني",IF(D348&lt;DATE(2018,9,24),2,10),
"عشش",IF(D348&lt;DATE(2019,11,30),2,10),
"كشك (تجاري/صناعي)",IF(D348&lt;DATE(2019,11,30),10,50),
"ردم",20,
0)))</f>
        <v>427.5</v>
      </c>
      <c r="AC348" s="1" cm="1">
        <f t="array" aca="1" ref="AC348" ca="1">IF(Y348&lt;DATE(2023,5,1),0,
IF(J348="زراعة",
K348*
(
INT((Y348-MAX(DATE(2023,5,1),D348))/365)
+
CEILING(MOD((Y348-MAX(DATE(2023,5,1),D348))/365,1),0.25)
)
*3,
IF(J348="ردم",
K348*20,
K348*
(
DATEDIF(MAX(DATE(2023,5,1),D348),Y348,"m")+1
)
*
_xlfn.SWITCH(J348,
"موقف/تندة",6,
"تشوينات",4,
"مشاتل",2,
"رسو مراكب",6,
"مباني",3,
"عشش",1,
"كشك (تجاري/صناعي)",20,
"مواسير صرف صحي (&lt;1م)",16,
"مواسير صرف صحي (&gt;1م)",18,
0))))</f>
        <v>877.5</v>
      </c>
      <c r="AD348" s="1">
        <f t="shared" ca="1" si="34"/>
        <v>55</v>
      </c>
    </row>
    <row r="349" spans="1:30" ht="18.75" x14ac:dyDescent="0.25">
      <c r="A349" s="52">
        <v>309</v>
      </c>
      <c r="B349" s="82">
        <v>53</v>
      </c>
      <c r="C349" s="6">
        <v>2017</v>
      </c>
      <c r="D349" s="7">
        <v>42851</v>
      </c>
      <c r="E349" s="12"/>
      <c r="F349" s="6"/>
      <c r="G349" s="6" t="s">
        <v>422</v>
      </c>
      <c r="H349" s="6"/>
      <c r="I349" s="6" t="s">
        <v>144</v>
      </c>
      <c r="J349" s="3" t="s">
        <v>77</v>
      </c>
      <c r="K349" s="6">
        <f>40*6.5</f>
        <v>260</v>
      </c>
      <c r="L349" s="3" t="s">
        <v>90</v>
      </c>
      <c r="M349" s="7"/>
      <c r="N349" s="6"/>
      <c r="O349" s="9">
        <f>0.47*Table2[[#This Row],[قيمة المحضر]]</f>
        <v>0</v>
      </c>
      <c r="P349" s="9">
        <f>0.17*Table2[[#This Row],[قيمة المحضر]]</f>
        <v>0</v>
      </c>
      <c r="Q349" s="9">
        <f t="shared" ca="1" si="35"/>
        <v>304200</v>
      </c>
      <c r="R349" s="3"/>
      <c r="S349" s="3"/>
      <c r="T349" s="9" t="str">
        <f t="shared" si="36"/>
        <v>-</v>
      </c>
      <c r="U349" s="3" t="s">
        <v>25</v>
      </c>
      <c r="V349" s="9" t="str">
        <f t="shared" si="37"/>
        <v>-</v>
      </c>
      <c r="W349" s="4"/>
      <c r="X349" s="38"/>
      <c r="Y349" s="1">
        <f t="shared" ca="1" si="33"/>
        <v>46162</v>
      </c>
      <c r="Z349" s="1" cm="1">
        <f t="array" ref="Z349">IF(D349&gt;DATE(2015,5,16),0,
K349*
(
INT((MIN(Y349,DATE(2015,5,16))-D349)/365)
+
CEILING(MOD((MIN(Y349,DATE(2015,5,16))-D349)/365,1),0.25)
)
*
_xlfn.SWITCH(J349,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49" s="1" cm="1">
        <f t="array" aca="1" ref="AA349" ca="1">IF(Y349&lt;DATE(2015,5,17),0,
K349*
(
INT((MIN(Y349,DATE(2018,9,23))-MAX(D349,DATE(2015,5,17)))/365)
+
CEILING(MOD((MIN(Y349,DATE(2018,9,23))-MAX(D349,DATE(2015,5,17)))/365,1),0.25)
)
*
_xlfn.SWITCH(J349,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7800</v>
      </c>
      <c r="AB349" s="1" cm="1">
        <f t="array" aca="1" ref="AB349" ca="1">IF(Y349&lt;DATE(2018,9,24),0,
IF(J349="زراعة",
K349*
(
INT((MIN(Y349,DATE(2023,4,30))-MAX(D349,DATE(2018,9,24)))/365)
+
CEILING(MOD((MIN(Y349,DATE(2023,4,30))-MAX(D349,DATE(2018,9,24)))/365,1),0.25)
)
*1,
K349*
(
DATEDIF(MAX(D349,DATE(2018,9,24)),MIN(Y349,DATE(2023,4,30)),"m")+1
)
*
_xlfn.SWITCH(J349,
"موقف/تندة",IF(D349&lt;DATE(2019,11,30),6,30),
"تشوينات",IF(D349&lt;DATE(2019,11,30),4,20),
"مشاتل",IF(D349&lt;DATE(2019,11,30),2,10),
"كافيتيريا",IF(D349&lt;DATE(2019,11,30),30,150),
"نوادي",IF(D349&lt;DATE(2019,11,30),6,30),
"رسو مراكب",IF(D349&lt;DATE(2019,11,30),2,10),
"مباني",IF(D349&lt;DATE(2018,9,24),2,10),
"عشش",IF(D349&lt;DATE(2019,11,30),2,10),
"كشك (تجاري/صناعي)",IF(D349&lt;DATE(2019,11,30),10,50),
"ردم",20,
0)))</f>
        <v>291200</v>
      </c>
      <c r="AC349" s="1" cm="1">
        <f t="array" aca="1" ref="AC349" ca="1">IF(Y349&lt;DATE(2023,5,1),0,
IF(J349="زراعة",
K349*
(
INT((Y349-MAX(DATE(2023,5,1),D349))/365)
+
CEILING(MOD((Y349-MAX(DATE(2023,5,1),D349))/365,1),0.25)
)
*3,
IF(J349="ردم",
K349*20,
K349*
(
DATEDIF(MAX(DATE(2023,5,1),D349),Y349,"m")+1
)
*
_xlfn.SWITCH(J349,
"موقف/تندة",6,
"تشوينات",4,
"مشاتل",2,
"رسو مراكب",6,
"مباني",3,
"عشش",1,
"كشك (تجاري/صناعي)",20,
"مواسير صرف صحي (&lt;1م)",16,
"مواسير صرف صحي (&gt;1م)",18,
0))))</f>
        <v>5200</v>
      </c>
      <c r="AD349" s="1">
        <f t="shared" ca="1" si="34"/>
        <v>55</v>
      </c>
    </row>
    <row r="350" spans="1:30" ht="18.75" x14ac:dyDescent="0.25">
      <c r="A350" s="52">
        <v>309</v>
      </c>
      <c r="B350" s="82">
        <v>53</v>
      </c>
      <c r="C350" s="6">
        <v>2017</v>
      </c>
      <c r="D350" s="7">
        <v>42851</v>
      </c>
      <c r="E350" s="12"/>
      <c r="F350" s="6"/>
      <c r="G350" s="6" t="s">
        <v>422</v>
      </c>
      <c r="H350" s="6"/>
      <c r="I350" s="6" t="s">
        <v>144</v>
      </c>
      <c r="J350" s="3" t="s">
        <v>146</v>
      </c>
      <c r="K350" s="6">
        <v>260</v>
      </c>
      <c r="L350" s="3" t="s">
        <v>90</v>
      </c>
      <c r="M350" s="7"/>
      <c r="N350" s="6"/>
      <c r="O350" s="9">
        <f>0.47*Table2[[#This Row],[قيمة المحضر]]</f>
        <v>0</v>
      </c>
      <c r="P350" s="9">
        <f>0.17*Table2[[#This Row],[قيمة المحضر]]</f>
        <v>0</v>
      </c>
      <c r="Q350" s="9">
        <f t="shared" ca="1" si="35"/>
        <v>3887</v>
      </c>
      <c r="R350" s="3"/>
      <c r="S350" s="3"/>
      <c r="T350" s="9" t="str">
        <f t="shared" si="36"/>
        <v>-</v>
      </c>
      <c r="U350" s="3" t="s">
        <v>25</v>
      </c>
      <c r="V350" s="9" t="str">
        <f t="shared" si="37"/>
        <v>-</v>
      </c>
      <c r="W350" s="4"/>
      <c r="X350" s="38"/>
      <c r="Y350" s="1">
        <f t="shared" ca="1" si="33"/>
        <v>46162</v>
      </c>
      <c r="Z350" s="1" cm="1">
        <f t="array" ref="Z350">IF(D350&gt;DATE(2015,5,16),0,
K350*
(
INT((MIN(Y350,DATE(2015,5,16))-D350)/365)
+
CEILING(MOD((MIN(Y350,DATE(2015,5,16))-D350)/365,1),0.25)
)
*
_xlfn.SWITCH(J350,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50" s="1" cm="1">
        <f t="array" aca="1" ref="AA350" ca="1">IF(Y350&lt;DATE(2015,5,17),0,
K350*
(
INT((MIN(Y350,DATE(2018,9,23))-MAX(D350,DATE(2015,5,17)))/365)
+
CEILING(MOD((MIN(Y350,DATE(2018,9,23))-MAX(D350,DATE(2015,5,17)))/365,1),0.25)
)
*
_xlfn.SWITCH(J350,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117</v>
      </c>
      <c r="AB350" s="1" cm="1">
        <f t="array" aca="1" ref="AB350" ca="1">IF(Y350&lt;DATE(2018,9,24),0,
IF(J350="زراعة",
K350*
(
INT((MIN(Y350,DATE(2023,4,30))-MAX(D350,DATE(2018,9,24)))/365)
+
CEILING(MOD((MIN(Y350,DATE(2023,4,30))-MAX(D350,DATE(2018,9,24)))/365,1),0.25)
)
*1,
K350*
(
DATEDIF(MAX(D350,DATE(2018,9,24)),MIN(Y350,DATE(2023,4,30)),"m")+1
)
*
_xlfn.SWITCH(J350,
"موقف/تندة",IF(D350&lt;DATE(2019,11,30),6,30),
"تشوينات",IF(D350&lt;DATE(2019,11,30),4,20),
"مشاتل",IF(D350&lt;DATE(2019,11,30),2,10),
"كافيتيريا",IF(D350&lt;DATE(2019,11,30),30,150),
"نوادي",IF(D350&lt;DATE(2019,11,30),6,30),
"رسو مراكب",IF(D350&lt;DATE(2019,11,30),2,10),
"مباني",IF(D350&lt;DATE(2018,9,24),2,10),
"عشش",IF(D350&lt;DATE(2019,11,30),2,10),
"كشك (تجاري/صناعي)",IF(D350&lt;DATE(2019,11,30),10,50),
"ردم",20,
0)))</f>
        <v>1235</v>
      </c>
      <c r="AC350" s="1" cm="1">
        <f t="array" aca="1" ref="AC350" ca="1">IF(Y350&lt;DATE(2023,5,1),0,
IF(J350="زراعة",
K350*
(
INT((Y350-MAX(DATE(2023,5,1),D350))/365)
+
CEILING(MOD((Y350-MAX(DATE(2023,5,1),D350))/365,1),0.25)
)
*3,
IF(J350="ردم",
K350*20,
K350*
(
DATEDIF(MAX(DATE(2023,5,1),D350),Y350,"m")+1
)
*
_xlfn.SWITCH(J350,
"موقف/تندة",6,
"تشوينات",4,
"مشاتل",2,
"رسو مراكب",6,
"مباني",3,
"عشش",1,
"كشك (تجاري/صناعي)",20,
"مواسير صرف صحي (&lt;1م)",16,
"مواسير صرف صحي (&gt;1م)",18,
0))))</f>
        <v>2535</v>
      </c>
      <c r="AD350" s="1">
        <f t="shared" ca="1" si="34"/>
        <v>55</v>
      </c>
    </row>
    <row r="351" spans="1:30" ht="18.75" x14ac:dyDescent="0.25">
      <c r="A351" s="52">
        <v>310</v>
      </c>
      <c r="B351" s="82">
        <v>54</v>
      </c>
      <c r="C351" s="6">
        <v>2017</v>
      </c>
      <c r="D351" s="7">
        <v>42851</v>
      </c>
      <c r="E351" s="12"/>
      <c r="F351" s="6"/>
      <c r="G351" s="6" t="s">
        <v>423</v>
      </c>
      <c r="H351" s="6"/>
      <c r="I351" s="6" t="s">
        <v>144</v>
      </c>
      <c r="J351" s="3" t="s">
        <v>77</v>
      </c>
      <c r="K351" s="6">
        <v>260</v>
      </c>
      <c r="L351" s="3" t="s">
        <v>90</v>
      </c>
      <c r="M351" s="7"/>
      <c r="N351" s="6"/>
      <c r="O351" s="9">
        <f>0.47*Table2[[#This Row],[قيمة المحضر]]</f>
        <v>0</v>
      </c>
      <c r="P351" s="9">
        <f>0.17*Table2[[#This Row],[قيمة المحضر]]</f>
        <v>0</v>
      </c>
      <c r="Q351" s="9">
        <f t="shared" ca="1" si="35"/>
        <v>304200</v>
      </c>
      <c r="R351" s="3"/>
      <c r="S351" s="3"/>
      <c r="T351" s="9" t="str">
        <f t="shared" si="36"/>
        <v>-</v>
      </c>
      <c r="U351" s="3" t="s">
        <v>25</v>
      </c>
      <c r="V351" s="9" t="str">
        <f t="shared" si="37"/>
        <v>-</v>
      </c>
      <c r="W351" s="4"/>
      <c r="X351" s="38"/>
      <c r="Y351" s="1">
        <f t="shared" ca="1" si="33"/>
        <v>46162</v>
      </c>
      <c r="Z351" s="1" cm="1">
        <f t="array" ref="Z351">IF(D351&gt;DATE(2015,5,16),0,
K351*
(
INT((MIN(Y351,DATE(2015,5,16))-D351)/365)
+
CEILING(MOD((MIN(Y351,DATE(2015,5,16))-D351)/365,1),0.25)
)
*
_xlfn.SWITCH(J351,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51" s="1" cm="1">
        <f t="array" aca="1" ref="AA351" ca="1">IF(Y351&lt;DATE(2015,5,17),0,
K351*
(
INT((MIN(Y351,DATE(2018,9,23))-MAX(D351,DATE(2015,5,17)))/365)
+
CEILING(MOD((MIN(Y351,DATE(2018,9,23))-MAX(D351,DATE(2015,5,17)))/365,1),0.25)
)
*
_xlfn.SWITCH(J351,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7800</v>
      </c>
      <c r="AB351" s="1" cm="1">
        <f t="array" aca="1" ref="AB351" ca="1">IF(Y351&lt;DATE(2018,9,24),0,
IF(J351="زراعة",
K351*
(
INT((MIN(Y351,DATE(2023,4,30))-MAX(D351,DATE(2018,9,24)))/365)
+
CEILING(MOD((MIN(Y351,DATE(2023,4,30))-MAX(D351,DATE(2018,9,24)))/365,1),0.25)
)
*1,
K351*
(
DATEDIF(MAX(D351,DATE(2018,9,24)),MIN(Y351,DATE(2023,4,30)),"m")+1
)
*
_xlfn.SWITCH(J351,
"موقف/تندة",IF(D351&lt;DATE(2019,11,30),6,30),
"تشوينات",IF(D351&lt;DATE(2019,11,30),4,20),
"مشاتل",IF(D351&lt;DATE(2019,11,30),2,10),
"كافيتيريا",IF(D351&lt;DATE(2019,11,30),30,150),
"نوادي",IF(D351&lt;DATE(2019,11,30),6,30),
"رسو مراكب",IF(D351&lt;DATE(2019,11,30),2,10),
"مباني",IF(D351&lt;DATE(2018,9,24),2,10),
"عشش",IF(D351&lt;DATE(2019,11,30),2,10),
"كشك (تجاري/صناعي)",IF(D351&lt;DATE(2019,11,30),10,50),
"ردم",20,
0)))</f>
        <v>291200</v>
      </c>
      <c r="AC351" s="1" cm="1">
        <f t="array" aca="1" ref="AC351" ca="1">IF(Y351&lt;DATE(2023,5,1),0,
IF(J351="زراعة",
K351*
(
INT((Y351-MAX(DATE(2023,5,1),D351))/365)
+
CEILING(MOD((Y351-MAX(DATE(2023,5,1),D351))/365,1),0.25)
)
*3,
IF(J351="ردم",
K351*20,
K351*
(
DATEDIF(MAX(DATE(2023,5,1),D351),Y351,"m")+1
)
*
_xlfn.SWITCH(J351,
"موقف/تندة",6,
"تشوينات",4,
"مشاتل",2,
"رسو مراكب",6,
"مباني",3,
"عشش",1,
"كشك (تجاري/صناعي)",20,
"مواسير صرف صحي (&lt;1م)",16,
"مواسير صرف صحي (&gt;1م)",18,
0))))</f>
        <v>5200</v>
      </c>
      <c r="AD351" s="1">
        <f t="shared" ca="1" si="34"/>
        <v>55</v>
      </c>
    </row>
    <row r="352" spans="1:30" ht="18.75" x14ac:dyDescent="0.25">
      <c r="A352" s="52">
        <v>310</v>
      </c>
      <c r="B352" s="82">
        <v>54</v>
      </c>
      <c r="C352" s="6">
        <v>2017</v>
      </c>
      <c r="D352" s="7">
        <v>42851</v>
      </c>
      <c r="E352" s="12"/>
      <c r="F352" s="6"/>
      <c r="G352" s="6" t="s">
        <v>423</v>
      </c>
      <c r="H352" s="6"/>
      <c r="I352" s="6" t="s">
        <v>144</v>
      </c>
      <c r="J352" s="3" t="s">
        <v>146</v>
      </c>
      <c r="K352" s="6">
        <v>260</v>
      </c>
      <c r="L352" s="3" t="s">
        <v>90</v>
      </c>
      <c r="M352" s="7"/>
      <c r="N352" s="6"/>
      <c r="O352" s="9">
        <f>0.47*Table2[[#This Row],[قيمة المحضر]]</f>
        <v>0</v>
      </c>
      <c r="P352" s="9">
        <f>0.17*Table2[[#This Row],[قيمة المحضر]]</f>
        <v>0</v>
      </c>
      <c r="Q352" s="9">
        <f t="shared" ca="1" si="35"/>
        <v>3887</v>
      </c>
      <c r="R352" s="3"/>
      <c r="S352" s="3"/>
      <c r="T352" s="9" t="str">
        <f t="shared" si="36"/>
        <v>-</v>
      </c>
      <c r="U352" s="3" t="s">
        <v>25</v>
      </c>
      <c r="V352" s="9" t="str">
        <f t="shared" si="37"/>
        <v>-</v>
      </c>
      <c r="W352" s="4"/>
      <c r="X352" s="38"/>
      <c r="Y352" s="1">
        <f t="shared" ca="1" si="33"/>
        <v>46162</v>
      </c>
      <c r="Z352" s="1" cm="1">
        <f t="array" ref="Z352">IF(D352&gt;DATE(2015,5,16),0,
K352*
(
INT((MIN(Y352,DATE(2015,5,16))-D352)/365)
+
CEILING(MOD((MIN(Y352,DATE(2015,5,16))-D352)/365,1),0.25)
)
*
_xlfn.SWITCH(J352,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52" s="1" cm="1">
        <f t="array" aca="1" ref="AA352" ca="1">IF(Y352&lt;DATE(2015,5,17),0,
K352*
(
INT((MIN(Y352,DATE(2018,9,23))-MAX(D352,DATE(2015,5,17)))/365)
+
CEILING(MOD((MIN(Y352,DATE(2018,9,23))-MAX(D352,DATE(2015,5,17)))/365,1),0.25)
)
*
_xlfn.SWITCH(J352,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117</v>
      </c>
      <c r="AB352" s="1" cm="1">
        <f t="array" aca="1" ref="AB352" ca="1">IF(Y352&lt;DATE(2018,9,24),0,
IF(J352="زراعة",
K352*
(
INT((MIN(Y352,DATE(2023,4,30))-MAX(D352,DATE(2018,9,24)))/365)
+
CEILING(MOD((MIN(Y352,DATE(2023,4,30))-MAX(D352,DATE(2018,9,24)))/365,1),0.25)
)
*1,
K352*
(
DATEDIF(MAX(D352,DATE(2018,9,24)),MIN(Y352,DATE(2023,4,30)),"m")+1
)
*
_xlfn.SWITCH(J352,
"موقف/تندة",IF(D352&lt;DATE(2019,11,30),6,30),
"تشوينات",IF(D352&lt;DATE(2019,11,30),4,20),
"مشاتل",IF(D352&lt;DATE(2019,11,30),2,10),
"كافيتيريا",IF(D352&lt;DATE(2019,11,30),30,150),
"نوادي",IF(D352&lt;DATE(2019,11,30),6,30),
"رسو مراكب",IF(D352&lt;DATE(2019,11,30),2,10),
"مباني",IF(D352&lt;DATE(2018,9,24),2,10),
"عشش",IF(D352&lt;DATE(2019,11,30),2,10),
"كشك (تجاري/صناعي)",IF(D352&lt;DATE(2019,11,30),10,50),
"ردم",20,
0)))</f>
        <v>1235</v>
      </c>
      <c r="AC352" s="1" cm="1">
        <f t="array" aca="1" ref="AC352" ca="1">IF(Y352&lt;DATE(2023,5,1),0,
IF(J352="زراعة",
K352*
(
INT((Y352-MAX(DATE(2023,5,1),D352))/365)
+
CEILING(MOD((Y352-MAX(DATE(2023,5,1),D352))/365,1),0.25)
)
*3,
IF(J352="ردم",
K352*20,
K352*
(
DATEDIF(MAX(DATE(2023,5,1),D352),Y352,"m")+1
)
*
_xlfn.SWITCH(J352,
"موقف/تندة",6,
"تشوينات",4,
"مشاتل",2,
"رسو مراكب",6,
"مباني",3,
"عشش",1,
"كشك (تجاري/صناعي)",20,
"مواسير صرف صحي (&lt;1م)",16,
"مواسير صرف صحي (&gt;1م)",18,
0))))</f>
        <v>2535</v>
      </c>
      <c r="AD352" s="1">
        <f t="shared" ca="1" si="34"/>
        <v>55</v>
      </c>
    </row>
    <row r="353" spans="1:30" ht="18.75" x14ac:dyDescent="0.25">
      <c r="A353" s="52">
        <v>311</v>
      </c>
      <c r="B353" s="6">
        <v>55</v>
      </c>
      <c r="C353" s="6">
        <v>2017</v>
      </c>
      <c r="D353" s="7">
        <v>42851</v>
      </c>
      <c r="E353" s="12"/>
      <c r="F353" s="6"/>
      <c r="G353" s="6" t="s">
        <v>424</v>
      </c>
      <c r="H353" s="6"/>
      <c r="I353" s="6" t="s">
        <v>144</v>
      </c>
      <c r="J353" s="3" t="s">
        <v>77</v>
      </c>
      <c r="K353" s="6">
        <v>260</v>
      </c>
      <c r="L353" s="3" t="s">
        <v>90</v>
      </c>
      <c r="M353" s="7"/>
      <c r="N353" s="6"/>
      <c r="O353" s="9">
        <f>0.47*Table2[[#This Row],[قيمة المحضر]]</f>
        <v>0</v>
      </c>
      <c r="P353" s="9">
        <f>0.17*Table2[[#This Row],[قيمة المحضر]]</f>
        <v>0</v>
      </c>
      <c r="Q353" s="9">
        <f t="shared" ca="1" si="35"/>
        <v>304200</v>
      </c>
      <c r="R353" s="3"/>
      <c r="S353" s="3"/>
      <c r="T353" s="9" t="str">
        <f t="shared" si="36"/>
        <v>-</v>
      </c>
      <c r="U353" s="3" t="s">
        <v>25</v>
      </c>
      <c r="V353" s="9" t="str">
        <f t="shared" si="37"/>
        <v>-</v>
      </c>
      <c r="W353" s="4"/>
      <c r="X353" s="38"/>
      <c r="Y353" s="1">
        <f t="shared" ca="1" si="33"/>
        <v>46162</v>
      </c>
      <c r="Z353" s="1" cm="1">
        <f t="array" ref="Z353">IF(D353&gt;DATE(2015,5,16),0,
K353*
(
INT((MIN(Y353,DATE(2015,5,16))-D353)/365)
+
CEILING(MOD((MIN(Y353,DATE(2015,5,16))-D353)/365,1),0.25)
)
*
_xlfn.SWITCH(J353,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53" s="1" cm="1">
        <f t="array" aca="1" ref="AA353" ca="1">IF(Y353&lt;DATE(2015,5,17),0,
K353*
(
INT((MIN(Y353,DATE(2018,9,23))-MAX(D353,DATE(2015,5,17)))/365)
+
CEILING(MOD((MIN(Y353,DATE(2018,9,23))-MAX(D353,DATE(2015,5,17)))/365,1),0.25)
)
*
_xlfn.SWITCH(J353,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7800</v>
      </c>
      <c r="AB353" s="1" cm="1">
        <f t="array" aca="1" ref="AB353" ca="1">IF(Y353&lt;DATE(2018,9,24),0,
IF(J353="زراعة",
K353*
(
INT((MIN(Y353,DATE(2023,4,30))-MAX(D353,DATE(2018,9,24)))/365)
+
CEILING(MOD((MIN(Y353,DATE(2023,4,30))-MAX(D353,DATE(2018,9,24)))/365,1),0.25)
)
*1,
K353*
(
DATEDIF(MAX(D353,DATE(2018,9,24)),MIN(Y353,DATE(2023,4,30)),"m")+1
)
*
_xlfn.SWITCH(J353,
"موقف/تندة",IF(D353&lt;DATE(2019,11,30),6,30),
"تشوينات",IF(D353&lt;DATE(2019,11,30),4,20),
"مشاتل",IF(D353&lt;DATE(2019,11,30),2,10),
"كافيتيريا",IF(D353&lt;DATE(2019,11,30),30,150),
"نوادي",IF(D353&lt;DATE(2019,11,30),6,30),
"رسو مراكب",IF(D353&lt;DATE(2019,11,30),2,10),
"مباني",IF(D353&lt;DATE(2018,9,24),2,10),
"عشش",IF(D353&lt;DATE(2019,11,30),2,10),
"كشك (تجاري/صناعي)",IF(D353&lt;DATE(2019,11,30),10,50),
"ردم",20,
0)))</f>
        <v>291200</v>
      </c>
      <c r="AC353" s="1" cm="1">
        <f t="array" aca="1" ref="AC353" ca="1">IF(Y353&lt;DATE(2023,5,1),0,
IF(J353="زراعة",
K353*
(
INT((Y353-MAX(DATE(2023,5,1),D353))/365)
+
CEILING(MOD((Y353-MAX(DATE(2023,5,1),D353))/365,1),0.25)
)
*3,
IF(J353="ردم",
K353*20,
K353*
(
DATEDIF(MAX(DATE(2023,5,1),D353),Y353,"m")+1
)
*
_xlfn.SWITCH(J353,
"موقف/تندة",6,
"تشوينات",4,
"مشاتل",2,
"رسو مراكب",6,
"مباني",3,
"عشش",1,
"كشك (تجاري/صناعي)",20,
"مواسير صرف صحي (&lt;1م)",16,
"مواسير صرف صحي (&gt;1م)",18,
0))))</f>
        <v>5200</v>
      </c>
      <c r="AD353" s="1">
        <f t="shared" ca="1" si="34"/>
        <v>55</v>
      </c>
    </row>
    <row r="354" spans="1:30" ht="18.75" x14ac:dyDescent="0.25">
      <c r="A354" s="52">
        <v>312</v>
      </c>
      <c r="B354" s="83">
        <v>56</v>
      </c>
      <c r="C354" s="6">
        <v>2017</v>
      </c>
      <c r="D354" s="7">
        <v>42851</v>
      </c>
      <c r="E354" s="11"/>
      <c r="F354" s="3"/>
      <c r="G354" s="6" t="s">
        <v>424</v>
      </c>
      <c r="H354" s="3"/>
      <c r="I354" s="6" t="s">
        <v>144</v>
      </c>
      <c r="J354" s="3" t="s">
        <v>146</v>
      </c>
      <c r="K354" s="3">
        <v>260</v>
      </c>
      <c r="L354" s="3" t="s">
        <v>90</v>
      </c>
      <c r="M354" s="7"/>
      <c r="N354" s="6"/>
      <c r="O354" s="9">
        <f>0.47*Table2[[#This Row],[قيمة المحضر]]</f>
        <v>0</v>
      </c>
      <c r="P354" s="9">
        <f>0.17*Table2[[#This Row],[قيمة المحضر]]</f>
        <v>0</v>
      </c>
      <c r="Q354" s="9">
        <f t="shared" ca="1" si="35"/>
        <v>3887</v>
      </c>
      <c r="R354" s="3"/>
      <c r="S354" s="3"/>
      <c r="T354" s="9" t="str">
        <f t="shared" si="36"/>
        <v>-</v>
      </c>
      <c r="U354" s="3" t="s">
        <v>25</v>
      </c>
      <c r="V354" s="9" t="str">
        <f t="shared" si="37"/>
        <v>-</v>
      </c>
      <c r="W354" s="4"/>
      <c r="X354" s="38"/>
      <c r="Y354" s="1">
        <f t="shared" ca="1" si="33"/>
        <v>46162</v>
      </c>
      <c r="Z354" s="1" cm="1">
        <f t="array" ref="Z354">IF(D354&gt;DATE(2015,5,16),0,
K354*
(
INT((MIN(Y354,DATE(2015,5,16))-D354)/365)
+
CEILING(MOD((MIN(Y354,DATE(2015,5,16))-D354)/365,1),0.25)
)
*
_xlfn.SWITCH(J354,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54" s="1" cm="1">
        <f t="array" aca="1" ref="AA354" ca="1">IF(Y354&lt;DATE(2015,5,17),0,
K354*
(
INT((MIN(Y354,DATE(2018,9,23))-MAX(D354,DATE(2015,5,17)))/365)
+
CEILING(MOD((MIN(Y354,DATE(2018,9,23))-MAX(D354,DATE(2015,5,17)))/365,1),0.25)
)
*
_xlfn.SWITCH(J354,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117</v>
      </c>
      <c r="AB354" s="1" cm="1">
        <f t="array" aca="1" ref="AB354" ca="1">IF(Y354&lt;DATE(2018,9,24),0,
IF(J354="زراعة",
K354*
(
INT((MIN(Y354,DATE(2023,4,30))-MAX(D354,DATE(2018,9,24)))/365)
+
CEILING(MOD((MIN(Y354,DATE(2023,4,30))-MAX(D354,DATE(2018,9,24)))/365,1),0.25)
)
*1,
K354*
(
DATEDIF(MAX(D354,DATE(2018,9,24)),MIN(Y354,DATE(2023,4,30)),"m")+1
)
*
_xlfn.SWITCH(J354,
"موقف/تندة",IF(D354&lt;DATE(2019,11,30),6,30),
"تشوينات",IF(D354&lt;DATE(2019,11,30),4,20),
"مشاتل",IF(D354&lt;DATE(2019,11,30),2,10),
"كافيتيريا",IF(D354&lt;DATE(2019,11,30),30,150),
"نوادي",IF(D354&lt;DATE(2019,11,30),6,30),
"رسو مراكب",IF(D354&lt;DATE(2019,11,30),2,10),
"مباني",IF(D354&lt;DATE(2018,9,24),2,10),
"عشش",IF(D354&lt;DATE(2019,11,30),2,10),
"كشك (تجاري/صناعي)",IF(D354&lt;DATE(2019,11,30),10,50),
"ردم",20,
0)))</f>
        <v>1235</v>
      </c>
      <c r="AC354" s="1" cm="1">
        <f t="array" aca="1" ref="AC354" ca="1">IF(Y354&lt;DATE(2023,5,1),0,
IF(J354="زراعة",
K354*
(
INT((Y354-MAX(DATE(2023,5,1),D354))/365)
+
CEILING(MOD((Y354-MAX(DATE(2023,5,1),D354))/365,1),0.25)
)
*3,
IF(J354="ردم",
K354*20,
K354*
(
DATEDIF(MAX(DATE(2023,5,1),D354),Y354,"m")+1
)
*
_xlfn.SWITCH(J354,
"موقف/تندة",6,
"تشوينات",4,
"مشاتل",2,
"رسو مراكب",6,
"مباني",3,
"عشش",1,
"كشك (تجاري/صناعي)",20,
"مواسير صرف صحي (&lt;1م)",16,
"مواسير صرف صحي (&gt;1م)",18,
0))))</f>
        <v>2535</v>
      </c>
      <c r="AD354" s="1">
        <f t="shared" ca="1" si="34"/>
        <v>55</v>
      </c>
    </row>
    <row r="355" spans="1:30" ht="18.75" x14ac:dyDescent="0.25">
      <c r="A355" s="52">
        <v>312</v>
      </c>
      <c r="B355" s="83">
        <v>56</v>
      </c>
      <c r="C355" s="3">
        <v>2017</v>
      </c>
      <c r="D355" s="2">
        <v>42851</v>
      </c>
      <c r="E355" s="11"/>
      <c r="F355" s="3"/>
      <c r="G355" s="3" t="s">
        <v>351</v>
      </c>
      <c r="H355" s="3"/>
      <c r="I355" s="3" t="s">
        <v>105</v>
      </c>
      <c r="J355" s="3" t="s">
        <v>27</v>
      </c>
      <c r="K355" s="3">
        <v>60</v>
      </c>
      <c r="L355" s="3" t="s">
        <v>90</v>
      </c>
      <c r="M355" s="7"/>
      <c r="N355" s="6"/>
      <c r="O355" s="9">
        <f>0.47*Table2[[#This Row],[قيمة المحضر]]</f>
        <v>0</v>
      </c>
      <c r="P355" s="9">
        <f>0.17*Table2[[#This Row],[قيمة المحضر]]</f>
        <v>0</v>
      </c>
      <c r="Q355" s="9">
        <f t="shared" ca="1" si="35"/>
        <v>14100</v>
      </c>
      <c r="R355" s="3"/>
      <c r="S355" s="3"/>
      <c r="T355" s="9" t="str">
        <f t="shared" si="36"/>
        <v>-</v>
      </c>
      <c r="U355" s="3" t="s">
        <v>25</v>
      </c>
      <c r="V355" s="9" t="str">
        <f t="shared" si="37"/>
        <v>-</v>
      </c>
      <c r="W355" s="4"/>
      <c r="X355" s="38"/>
      <c r="Y355" s="1">
        <f t="shared" ca="1" si="33"/>
        <v>46162</v>
      </c>
      <c r="Z355" s="1" cm="1">
        <f t="array" ref="Z355">IF(D355&gt;DATE(2015,5,16),0,
K355*
(
INT((MIN(Y355,DATE(2015,5,16))-D355)/365)
+
CEILING(MOD((MIN(Y355,DATE(2015,5,16))-D355)/365,1),0.25)
)
*
_xlfn.SWITCH(J355,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55" s="1" cm="1">
        <f t="array" aca="1" ref="AA355" ca="1">IF(Y355&lt;DATE(2015,5,17),0,
K355*
(
INT((MIN(Y355,DATE(2018,9,23))-MAX(D355,DATE(2015,5,17)))/365)
+
CEILING(MOD((MIN(Y355,DATE(2018,9,23))-MAX(D355,DATE(2015,5,17)))/365,1),0.25)
)
*
_xlfn.SWITCH(J355,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720</v>
      </c>
      <c r="AB355" s="1" cm="1">
        <f t="array" aca="1" ref="AB355" ca="1">IF(Y355&lt;DATE(2018,9,24),0,
IF(J355="زراعة",
K355*
(
INT((MIN(Y355,DATE(2023,4,30))-MAX(D355,DATE(2018,9,24)))/365)
+
CEILING(MOD((MIN(Y355,DATE(2023,4,30))-MAX(D355,DATE(2018,9,24)))/365,1),0.25)
)
*1,
K355*
(
DATEDIF(MAX(D355,DATE(2018,9,24)),MIN(Y355,DATE(2023,4,30)),"m")+1
)
*
_xlfn.SWITCH(J355,
"موقف/تندة",IF(D355&lt;DATE(2019,11,30),6,30),
"تشوينات",IF(D355&lt;DATE(2019,11,30),4,20),
"مشاتل",IF(D355&lt;DATE(2019,11,30),2,10),
"كافيتيريا",IF(D355&lt;DATE(2019,11,30),30,150),
"نوادي",IF(D355&lt;DATE(2019,11,30),6,30),
"رسو مراكب",IF(D355&lt;DATE(2019,11,30),2,10),
"مباني",IF(D355&lt;DATE(2018,9,24),2,10),
"عشش",IF(D355&lt;DATE(2019,11,30),2,10),
"كشك (تجاري/صناعي)",IF(D355&lt;DATE(2019,11,30),10,50),
"ردم",20,
0)))</f>
        <v>6720</v>
      </c>
      <c r="AC355" s="1" cm="1">
        <f t="array" aca="1" ref="AC355" ca="1">IF(Y355&lt;DATE(2023,5,1),0,
IF(J355="زراعة",
K355*
(
INT((Y355-MAX(DATE(2023,5,1),D355))/365)
+
CEILING(MOD((Y355-MAX(DATE(2023,5,1),D355))/365,1),0.25)
)
*3,
IF(J355="ردم",
K355*20,
K355*
(
DATEDIF(MAX(DATE(2023,5,1),D355),Y355,"m")+1
)
*
_xlfn.SWITCH(J355,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355" s="1">
        <f t="shared" ca="1" si="34"/>
        <v>55</v>
      </c>
    </row>
    <row r="356" spans="1:30" ht="18.75" x14ac:dyDescent="0.25">
      <c r="A356" s="52">
        <v>313</v>
      </c>
      <c r="B356" s="3">
        <v>57</v>
      </c>
      <c r="C356" s="3">
        <v>2017</v>
      </c>
      <c r="D356" s="2">
        <v>42935</v>
      </c>
      <c r="E356" s="11"/>
      <c r="F356" s="3"/>
      <c r="G356" s="3" t="s">
        <v>425</v>
      </c>
      <c r="H356" s="3"/>
      <c r="I356" s="3" t="s">
        <v>144</v>
      </c>
      <c r="J356" s="3" t="s">
        <v>77</v>
      </c>
      <c r="K356" s="3">
        <v>40</v>
      </c>
      <c r="L356" s="3" t="s">
        <v>90</v>
      </c>
      <c r="M356" s="7"/>
      <c r="N356" s="6"/>
      <c r="O356" s="9">
        <f>0.47*Table2[[#This Row],[قيمة المحضر]]</f>
        <v>0</v>
      </c>
      <c r="P356" s="9">
        <f>0.17*Table2[[#This Row],[قيمة المحضر]]</f>
        <v>0</v>
      </c>
      <c r="Q356" s="9">
        <f t="shared" ca="1" si="35"/>
        <v>46600</v>
      </c>
      <c r="R356" s="3"/>
      <c r="S356" s="3"/>
      <c r="T356" s="9" t="str">
        <f t="shared" si="36"/>
        <v>-</v>
      </c>
      <c r="U356" s="3" t="s">
        <v>25</v>
      </c>
      <c r="V356" s="9" t="str">
        <f t="shared" si="37"/>
        <v>-</v>
      </c>
      <c r="W356" s="4"/>
      <c r="X356" s="38"/>
      <c r="Y356" s="1">
        <f t="shared" ca="1" si="33"/>
        <v>46162</v>
      </c>
      <c r="Z356" s="1" cm="1">
        <f t="array" ref="Z356">IF(D356&gt;DATE(2015,5,16),0,
K356*
(
INT((MIN(Y356,DATE(2015,5,16))-D356)/365)
+
CEILING(MOD((MIN(Y356,DATE(2015,5,16))-D356)/365,1),0.25)
)
*
_xlfn.SWITCH(J356,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56" s="1" cm="1">
        <f t="array" aca="1" ref="AA356" ca="1">IF(Y356&lt;DATE(2015,5,17),0,
K356*
(
INT((MIN(Y356,DATE(2018,9,23))-MAX(D356,DATE(2015,5,17)))/365)
+
CEILING(MOD((MIN(Y356,DATE(2018,9,23))-MAX(D356,DATE(2015,5,17)))/365,1),0.25)
)
*
_xlfn.SWITCH(J356,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1000</v>
      </c>
      <c r="AB356" s="1" cm="1">
        <f t="array" aca="1" ref="AB356" ca="1">IF(Y356&lt;DATE(2018,9,24),0,
IF(J356="زراعة",
K356*
(
INT((MIN(Y356,DATE(2023,4,30))-MAX(D356,DATE(2018,9,24)))/365)
+
CEILING(MOD((MIN(Y356,DATE(2023,4,30))-MAX(D356,DATE(2018,9,24)))/365,1),0.25)
)
*1,
K356*
(
DATEDIF(MAX(D356,DATE(2018,9,24)),MIN(Y356,DATE(2023,4,30)),"m")+1
)
*
_xlfn.SWITCH(J356,
"موقف/تندة",IF(D356&lt;DATE(2019,11,30),6,30),
"تشوينات",IF(D356&lt;DATE(2019,11,30),4,20),
"مشاتل",IF(D356&lt;DATE(2019,11,30),2,10),
"كافيتيريا",IF(D356&lt;DATE(2019,11,30),30,150),
"نوادي",IF(D356&lt;DATE(2019,11,30),6,30),
"رسو مراكب",IF(D356&lt;DATE(2019,11,30),2,10),
"مباني",IF(D356&lt;DATE(2018,9,24),2,10),
"عشش",IF(D356&lt;DATE(2019,11,30),2,10),
"كشك (تجاري/صناعي)",IF(D356&lt;DATE(2019,11,30),10,50),
"ردم",20,
0)))</f>
        <v>44800</v>
      </c>
      <c r="AC356" s="1" cm="1">
        <f t="array" aca="1" ref="AC356" ca="1">IF(Y356&lt;DATE(2023,5,1),0,
IF(J356="زراعة",
K356*
(
INT((Y356-MAX(DATE(2023,5,1),D356))/365)
+
CEILING(MOD((Y356-MAX(DATE(2023,5,1),D356))/365,1),0.25)
)
*3,
IF(J356="ردم",
K356*20,
K356*
(
DATEDIF(MAX(DATE(2023,5,1),D356),Y356,"m")+1
)
*
_xlfn.SWITCH(J356,
"موقف/تندة",6,
"تشوينات",4,
"مشاتل",2,
"رسو مراكب",6,
"مباني",3,
"عشش",1,
"كشك (تجاري/صناعي)",20,
"مواسير صرف صحي (&lt;1م)",16,
"مواسير صرف صحي (&gt;1م)",18,
0))))</f>
        <v>800</v>
      </c>
      <c r="AD356" s="1">
        <f t="shared" ca="1" si="34"/>
        <v>55</v>
      </c>
    </row>
    <row r="357" spans="1:30" ht="18.75" x14ac:dyDescent="0.25">
      <c r="A357" s="52">
        <v>314</v>
      </c>
      <c r="B357" s="3">
        <v>58</v>
      </c>
      <c r="C357" s="3">
        <v>2017</v>
      </c>
      <c r="D357" s="2">
        <v>42935</v>
      </c>
      <c r="E357" s="11"/>
      <c r="F357" s="3"/>
      <c r="G357" s="3" t="s">
        <v>426</v>
      </c>
      <c r="H357" s="3"/>
      <c r="I357" s="3" t="s">
        <v>144</v>
      </c>
      <c r="J357" s="3" t="s">
        <v>77</v>
      </c>
      <c r="K357" s="3">
        <v>20</v>
      </c>
      <c r="L357" s="3" t="s">
        <v>90</v>
      </c>
      <c r="M357" s="7"/>
      <c r="N357" s="6"/>
      <c r="O357" s="9">
        <f>0.47*Table2[[#This Row],[قيمة المحضر]]</f>
        <v>0</v>
      </c>
      <c r="P357" s="9">
        <f>0.17*Table2[[#This Row],[قيمة المحضر]]</f>
        <v>0</v>
      </c>
      <c r="Q357" s="9">
        <f t="shared" ca="1" si="35"/>
        <v>23300</v>
      </c>
      <c r="R357" s="3"/>
      <c r="S357" s="3"/>
      <c r="T357" s="9" t="str">
        <f t="shared" si="36"/>
        <v>-</v>
      </c>
      <c r="U357" s="3" t="s">
        <v>25</v>
      </c>
      <c r="V357" s="9" t="str">
        <f t="shared" si="37"/>
        <v>-</v>
      </c>
      <c r="W357" s="4"/>
      <c r="X357" s="38"/>
      <c r="Y357" s="1">
        <f t="shared" ca="1" si="33"/>
        <v>46162</v>
      </c>
      <c r="Z357" s="1" cm="1">
        <f t="array" ref="Z357">IF(D357&gt;DATE(2015,5,16),0,
K357*
(
INT((MIN(Y357,DATE(2015,5,16))-D357)/365)
+
CEILING(MOD((MIN(Y357,DATE(2015,5,16))-D357)/365,1),0.25)
)
*
_xlfn.SWITCH(J357,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57" s="1" cm="1">
        <f t="array" aca="1" ref="AA357" ca="1">IF(Y357&lt;DATE(2015,5,17),0,
K357*
(
INT((MIN(Y357,DATE(2018,9,23))-MAX(D357,DATE(2015,5,17)))/365)
+
CEILING(MOD((MIN(Y357,DATE(2018,9,23))-MAX(D357,DATE(2015,5,17)))/365,1),0.25)
)
*
_xlfn.SWITCH(J357,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500</v>
      </c>
      <c r="AB357" s="1" cm="1">
        <f t="array" aca="1" ref="AB357" ca="1">IF(Y357&lt;DATE(2018,9,24),0,
IF(J357="زراعة",
K357*
(
INT((MIN(Y357,DATE(2023,4,30))-MAX(D357,DATE(2018,9,24)))/365)
+
CEILING(MOD((MIN(Y357,DATE(2023,4,30))-MAX(D357,DATE(2018,9,24)))/365,1),0.25)
)
*1,
K357*
(
DATEDIF(MAX(D357,DATE(2018,9,24)),MIN(Y357,DATE(2023,4,30)),"m")+1
)
*
_xlfn.SWITCH(J357,
"موقف/تندة",IF(D357&lt;DATE(2019,11,30),6,30),
"تشوينات",IF(D357&lt;DATE(2019,11,30),4,20),
"مشاتل",IF(D357&lt;DATE(2019,11,30),2,10),
"كافيتيريا",IF(D357&lt;DATE(2019,11,30),30,150),
"نوادي",IF(D357&lt;DATE(2019,11,30),6,30),
"رسو مراكب",IF(D357&lt;DATE(2019,11,30),2,10),
"مباني",IF(D357&lt;DATE(2018,9,24),2,10),
"عشش",IF(D357&lt;DATE(2019,11,30),2,10),
"كشك (تجاري/صناعي)",IF(D357&lt;DATE(2019,11,30),10,50),
"ردم",20,
0)))</f>
        <v>22400</v>
      </c>
      <c r="AC357" s="1" cm="1">
        <f t="array" aca="1" ref="AC357" ca="1">IF(Y357&lt;DATE(2023,5,1),0,
IF(J357="زراعة",
K357*
(
INT((Y357-MAX(DATE(2023,5,1),D357))/365)
+
CEILING(MOD((Y357-MAX(DATE(2023,5,1),D357))/365,1),0.25)
)
*3,
IF(J357="ردم",
K357*20,
K357*
(
DATEDIF(MAX(DATE(2023,5,1),D357),Y357,"m")+1
)
*
_xlfn.SWITCH(J357,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357" s="1">
        <f t="shared" ca="1" si="34"/>
        <v>55</v>
      </c>
    </row>
    <row r="358" spans="1:30" ht="18.75" x14ac:dyDescent="0.25">
      <c r="A358" s="52">
        <v>315</v>
      </c>
      <c r="B358" s="3">
        <v>59</v>
      </c>
      <c r="C358" s="3">
        <v>2017</v>
      </c>
      <c r="D358" s="2">
        <v>42935</v>
      </c>
      <c r="E358" s="11"/>
      <c r="F358" s="3"/>
      <c r="G358" s="3" t="s">
        <v>427</v>
      </c>
      <c r="H358" s="3"/>
      <c r="I358" s="3" t="s">
        <v>144</v>
      </c>
      <c r="J358" s="3" t="s">
        <v>77</v>
      </c>
      <c r="K358" s="3">
        <v>40</v>
      </c>
      <c r="L358" s="3" t="s">
        <v>90</v>
      </c>
      <c r="M358" s="7"/>
      <c r="N358" s="6"/>
      <c r="O358" s="9">
        <f>0.47*Table2[[#This Row],[قيمة المحضر]]</f>
        <v>0</v>
      </c>
      <c r="P358" s="9">
        <f>0.17*Table2[[#This Row],[قيمة المحضر]]</f>
        <v>0</v>
      </c>
      <c r="Q358" s="9">
        <f t="shared" ca="1" si="35"/>
        <v>46600</v>
      </c>
      <c r="R358" s="3"/>
      <c r="S358" s="3"/>
      <c r="T358" s="9" t="str">
        <f t="shared" si="36"/>
        <v>-</v>
      </c>
      <c r="U358" s="3" t="s">
        <v>25</v>
      </c>
      <c r="V358" s="9" t="str">
        <f t="shared" si="37"/>
        <v>-</v>
      </c>
      <c r="W358" s="4"/>
      <c r="X358" s="38"/>
      <c r="Y358" s="1">
        <f t="shared" ca="1" si="33"/>
        <v>46162</v>
      </c>
      <c r="Z358" s="1" cm="1">
        <f t="array" ref="Z358">IF(D358&gt;DATE(2015,5,16),0,
K358*
(
INT((MIN(Y358,DATE(2015,5,16))-D358)/365)
+
CEILING(MOD((MIN(Y358,DATE(2015,5,16))-D358)/365,1),0.25)
)
*
_xlfn.SWITCH(J358,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58" s="1" cm="1">
        <f t="array" aca="1" ref="AA358" ca="1">IF(Y358&lt;DATE(2015,5,17),0,
K358*
(
INT((MIN(Y358,DATE(2018,9,23))-MAX(D358,DATE(2015,5,17)))/365)
+
CEILING(MOD((MIN(Y358,DATE(2018,9,23))-MAX(D358,DATE(2015,5,17)))/365,1),0.25)
)
*
_xlfn.SWITCH(J358,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1000</v>
      </c>
      <c r="AB358" s="1" cm="1">
        <f t="array" aca="1" ref="AB358" ca="1">IF(Y358&lt;DATE(2018,9,24),0,
IF(J358="زراعة",
K358*
(
INT((MIN(Y358,DATE(2023,4,30))-MAX(D358,DATE(2018,9,24)))/365)
+
CEILING(MOD((MIN(Y358,DATE(2023,4,30))-MAX(D358,DATE(2018,9,24)))/365,1),0.25)
)
*1,
K358*
(
DATEDIF(MAX(D358,DATE(2018,9,24)),MIN(Y358,DATE(2023,4,30)),"m")+1
)
*
_xlfn.SWITCH(J358,
"موقف/تندة",IF(D358&lt;DATE(2019,11,30),6,30),
"تشوينات",IF(D358&lt;DATE(2019,11,30),4,20),
"مشاتل",IF(D358&lt;DATE(2019,11,30),2,10),
"كافيتيريا",IF(D358&lt;DATE(2019,11,30),30,150),
"نوادي",IF(D358&lt;DATE(2019,11,30),6,30),
"رسو مراكب",IF(D358&lt;DATE(2019,11,30),2,10),
"مباني",IF(D358&lt;DATE(2018,9,24),2,10),
"عشش",IF(D358&lt;DATE(2019,11,30),2,10),
"كشك (تجاري/صناعي)",IF(D358&lt;DATE(2019,11,30),10,50),
"ردم",20,
0)))</f>
        <v>44800</v>
      </c>
      <c r="AC358" s="1" cm="1">
        <f t="array" aca="1" ref="AC358" ca="1">IF(Y358&lt;DATE(2023,5,1),0,
IF(J358="زراعة",
K358*
(
INT((Y358-MAX(DATE(2023,5,1),D358))/365)
+
CEILING(MOD((Y358-MAX(DATE(2023,5,1),D358))/365,1),0.25)
)
*3,
IF(J358="ردم",
K358*20,
K358*
(
DATEDIF(MAX(DATE(2023,5,1),D358),Y358,"m")+1
)
*
_xlfn.SWITCH(J358,
"موقف/تندة",6,
"تشوينات",4,
"مشاتل",2,
"رسو مراكب",6,
"مباني",3,
"عشش",1,
"كشك (تجاري/صناعي)",20,
"مواسير صرف صحي (&lt;1م)",16,
"مواسير صرف صحي (&gt;1م)",18,
0))))</f>
        <v>800</v>
      </c>
      <c r="AD358" s="1">
        <f t="shared" ca="1" si="34"/>
        <v>55</v>
      </c>
    </row>
    <row r="359" spans="1:30" ht="18.75" x14ac:dyDescent="0.25">
      <c r="A359" s="52">
        <v>316</v>
      </c>
      <c r="B359" s="3">
        <v>60</v>
      </c>
      <c r="C359" s="3">
        <v>2017</v>
      </c>
      <c r="D359" s="2">
        <v>42935</v>
      </c>
      <c r="E359" s="11"/>
      <c r="F359" s="3"/>
      <c r="G359" s="3" t="s">
        <v>428</v>
      </c>
      <c r="H359" s="3"/>
      <c r="I359" s="3" t="s">
        <v>144</v>
      </c>
      <c r="J359" s="3" t="s">
        <v>77</v>
      </c>
      <c r="K359" s="3">
        <v>20</v>
      </c>
      <c r="L359" s="3" t="s">
        <v>90</v>
      </c>
      <c r="M359" s="7"/>
      <c r="N359" s="6"/>
      <c r="O359" s="9">
        <f>0.47*Table2[[#This Row],[قيمة المحضر]]</f>
        <v>0</v>
      </c>
      <c r="P359" s="9">
        <f>0.17*Table2[[#This Row],[قيمة المحضر]]</f>
        <v>0</v>
      </c>
      <c r="Q359" s="9">
        <f t="shared" ca="1" si="35"/>
        <v>23300</v>
      </c>
      <c r="R359" s="3"/>
      <c r="S359" s="3"/>
      <c r="T359" s="9" t="str">
        <f t="shared" si="36"/>
        <v>-</v>
      </c>
      <c r="U359" s="3" t="s">
        <v>25</v>
      </c>
      <c r="V359" s="9" t="str">
        <f t="shared" si="37"/>
        <v>-</v>
      </c>
      <c r="W359" s="4"/>
      <c r="X359" s="38"/>
      <c r="Y359" s="1">
        <f t="shared" ca="1" si="33"/>
        <v>46162</v>
      </c>
      <c r="Z359" s="1" cm="1">
        <f t="array" ref="Z359">IF(D359&gt;DATE(2015,5,16),0,
K359*
(
INT((MIN(Y359,DATE(2015,5,16))-D359)/365)
+
CEILING(MOD((MIN(Y359,DATE(2015,5,16))-D359)/365,1),0.25)
)
*
_xlfn.SWITCH(J359,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59" s="1" cm="1">
        <f t="array" aca="1" ref="AA359" ca="1">IF(Y359&lt;DATE(2015,5,17),0,
K359*
(
INT((MIN(Y359,DATE(2018,9,23))-MAX(D359,DATE(2015,5,17)))/365)
+
CEILING(MOD((MIN(Y359,DATE(2018,9,23))-MAX(D359,DATE(2015,5,17)))/365,1),0.25)
)
*
_xlfn.SWITCH(J359,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500</v>
      </c>
      <c r="AB359" s="1" cm="1">
        <f t="array" aca="1" ref="AB359" ca="1">IF(Y359&lt;DATE(2018,9,24),0,
IF(J359="زراعة",
K359*
(
INT((MIN(Y359,DATE(2023,4,30))-MAX(D359,DATE(2018,9,24)))/365)
+
CEILING(MOD((MIN(Y359,DATE(2023,4,30))-MAX(D359,DATE(2018,9,24)))/365,1),0.25)
)
*1,
K359*
(
DATEDIF(MAX(D359,DATE(2018,9,24)),MIN(Y359,DATE(2023,4,30)),"m")+1
)
*
_xlfn.SWITCH(J359,
"موقف/تندة",IF(D359&lt;DATE(2019,11,30),6,30),
"تشوينات",IF(D359&lt;DATE(2019,11,30),4,20),
"مشاتل",IF(D359&lt;DATE(2019,11,30),2,10),
"كافيتيريا",IF(D359&lt;DATE(2019,11,30),30,150),
"نوادي",IF(D359&lt;DATE(2019,11,30),6,30),
"رسو مراكب",IF(D359&lt;DATE(2019,11,30),2,10),
"مباني",IF(D359&lt;DATE(2018,9,24),2,10),
"عشش",IF(D359&lt;DATE(2019,11,30),2,10),
"كشك (تجاري/صناعي)",IF(D359&lt;DATE(2019,11,30),10,50),
"ردم",20,
0)))</f>
        <v>22400</v>
      </c>
      <c r="AC359" s="1" cm="1">
        <f t="array" aca="1" ref="AC359" ca="1">IF(Y359&lt;DATE(2023,5,1),0,
IF(J359="زراعة",
K359*
(
INT((Y359-MAX(DATE(2023,5,1),D359))/365)
+
CEILING(MOD((Y359-MAX(DATE(2023,5,1),D359))/365,1),0.25)
)
*3,
IF(J359="ردم",
K359*20,
K359*
(
DATEDIF(MAX(DATE(2023,5,1),D359),Y359,"m")+1
)
*
_xlfn.SWITCH(J359,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359" s="1">
        <f t="shared" ca="1" si="34"/>
        <v>55</v>
      </c>
    </row>
    <row r="360" spans="1:30" ht="18.75" x14ac:dyDescent="0.25">
      <c r="A360" s="52">
        <v>317</v>
      </c>
      <c r="B360" s="3">
        <v>61</v>
      </c>
      <c r="C360" s="3">
        <v>2017</v>
      </c>
      <c r="D360" s="2">
        <v>42935</v>
      </c>
      <c r="E360" s="11"/>
      <c r="F360" s="3"/>
      <c r="G360" s="3" t="s">
        <v>429</v>
      </c>
      <c r="H360" s="3"/>
      <c r="I360" s="3" t="s">
        <v>144</v>
      </c>
      <c r="J360" s="3" t="s">
        <v>77</v>
      </c>
      <c r="K360" s="3">
        <v>20</v>
      </c>
      <c r="L360" s="3" t="s">
        <v>90</v>
      </c>
      <c r="M360" s="7"/>
      <c r="N360" s="6"/>
      <c r="O360" s="9">
        <f>0.47*Table2[[#This Row],[قيمة المحضر]]</f>
        <v>0</v>
      </c>
      <c r="P360" s="9">
        <f>0.17*Table2[[#This Row],[قيمة المحضر]]</f>
        <v>0</v>
      </c>
      <c r="Q360" s="9">
        <f t="shared" ca="1" si="35"/>
        <v>23300</v>
      </c>
      <c r="R360" s="3"/>
      <c r="S360" s="3"/>
      <c r="T360" s="9" t="str">
        <f t="shared" si="36"/>
        <v>-</v>
      </c>
      <c r="U360" s="3" t="s">
        <v>25</v>
      </c>
      <c r="V360" s="9" t="str">
        <f t="shared" si="37"/>
        <v>-</v>
      </c>
      <c r="W360" s="4"/>
      <c r="X360" s="38"/>
      <c r="Y360" s="1">
        <f t="shared" ca="1" si="33"/>
        <v>46162</v>
      </c>
      <c r="Z360" s="1" cm="1">
        <f t="array" ref="Z360">IF(D360&gt;DATE(2015,5,16),0,
K360*
(
INT((MIN(Y360,DATE(2015,5,16))-D360)/365)
+
CEILING(MOD((MIN(Y360,DATE(2015,5,16))-D360)/365,1),0.25)
)
*
_xlfn.SWITCH(J360,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60" s="1" cm="1">
        <f t="array" aca="1" ref="AA360" ca="1">IF(Y360&lt;DATE(2015,5,17),0,
K360*
(
INT((MIN(Y360,DATE(2018,9,23))-MAX(D360,DATE(2015,5,17)))/365)
+
CEILING(MOD((MIN(Y360,DATE(2018,9,23))-MAX(D360,DATE(2015,5,17)))/365,1),0.25)
)
*
_xlfn.SWITCH(J360,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500</v>
      </c>
      <c r="AB360" s="1" cm="1">
        <f t="array" aca="1" ref="AB360" ca="1">IF(Y360&lt;DATE(2018,9,24),0,
IF(J360="زراعة",
K360*
(
INT((MIN(Y360,DATE(2023,4,30))-MAX(D360,DATE(2018,9,24)))/365)
+
CEILING(MOD((MIN(Y360,DATE(2023,4,30))-MAX(D360,DATE(2018,9,24)))/365,1),0.25)
)
*1,
K360*
(
DATEDIF(MAX(D360,DATE(2018,9,24)),MIN(Y360,DATE(2023,4,30)),"m")+1
)
*
_xlfn.SWITCH(J360,
"موقف/تندة",IF(D360&lt;DATE(2019,11,30),6,30),
"تشوينات",IF(D360&lt;DATE(2019,11,30),4,20),
"مشاتل",IF(D360&lt;DATE(2019,11,30),2,10),
"كافيتيريا",IF(D360&lt;DATE(2019,11,30),30,150),
"نوادي",IF(D360&lt;DATE(2019,11,30),6,30),
"رسو مراكب",IF(D360&lt;DATE(2019,11,30),2,10),
"مباني",IF(D360&lt;DATE(2018,9,24),2,10),
"عشش",IF(D360&lt;DATE(2019,11,30),2,10),
"كشك (تجاري/صناعي)",IF(D360&lt;DATE(2019,11,30),10,50),
"ردم",20,
0)))</f>
        <v>22400</v>
      </c>
      <c r="AC360" s="1" cm="1">
        <f t="array" aca="1" ref="AC360" ca="1">IF(Y360&lt;DATE(2023,5,1),0,
IF(J360="زراعة",
K360*
(
INT((Y360-MAX(DATE(2023,5,1),D360))/365)
+
CEILING(MOD((Y360-MAX(DATE(2023,5,1),D360))/365,1),0.25)
)
*3,
IF(J360="ردم",
K360*20,
K360*
(
DATEDIF(MAX(DATE(2023,5,1),D360),Y360,"m")+1
)
*
_xlfn.SWITCH(J360,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360" s="1">
        <f t="shared" ca="1" si="34"/>
        <v>55</v>
      </c>
    </row>
    <row r="361" spans="1:30" ht="18.75" x14ac:dyDescent="0.25">
      <c r="A361" s="52">
        <v>318</v>
      </c>
      <c r="B361" s="3">
        <v>62</v>
      </c>
      <c r="C361" s="3">
        <v>2017</v>
      </c>
      <c r="D361" s="2">
        <v>42935</v>
      </c>
      <c r="E361" s="11"/>
      <c r="F361" s="3"/>
      <c r="G361" s="3" t="s">
        <v>430</v>
      </c>
      <c r="H361" s="3"/>
      <c r="I361" s="3" t="s">
        <v>144</v>
      </c>
      <c r="J361" s="3" t="s">
        <v>77</v>
      </c>
      <c r="K361" s="3">
        <v>20</v>
      </c>
      <c r="L361" s="3" t="s">
        <v>90</v>
      </c>
      <c r="M361" s="7"/>
      <c r="N361" s="6"/>
      <c r="O361" s="9">
        <f>0.47*Table2[[#This Row],[قيمة المحضر]]</f>
        <v>0</v>
      </c>
      <c r="P361" s="9">
        <f>0.17*Table2[[#This Row],[قيمة المحضر]]</f>
        <v>0</v>
      </c>
      <c r="Q361" s="9">
        <f t="shared" ca="1" si="35"/>
        <v>23300</v>
      </c>
      <c r="R361" s="3"/>
      <c r="S361" s="3"/>
      <c r="T361" s="9" t="str">
        <f t="shared" si="36"/>
        <v>-</v>
      </c>
      <c r="U361" s="3" t="s">
        <v>25</v>
      </c>
      <c r="V361" s="9" t="str">
        <f t="shared" si="37"/>
        <v>-</v>
      </c>
      <c r="W361" s="4"/>
      <c r="X361" s="38"/>
      <c r="Y361" s="1">
        <f t="shared" ca="1" si="33"/>
        <v>46162</v>
      </c>
      <c r="Z361" s="1" cm="1">
        <f t="array" ref="Z361">IF(D361&gt;DATE(2015,5,16),0,
K361*
(
INT((MIN(Y361,DATE(2015,5,16))-D361)/365)
+
CEILING(MOD((MIN(Y361,DATE(2015,5,16))-D361)/365,1),0.25)
)
*
_xlfn.SWITCH(J361,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61" s="1" cm="1">
        <f t="array" aca="1" ref="AA361" ca="1">IF(Y361&lt;DATE(2015,5,17),0,
K361*
(
INT((MIN(Y361,DATE(2018,9,23))-MAX(D361,DATE(2015,5,17)))/365)
+
CEILING(MOD((MIN(Y361,DATE(2018,9,23))-MAX(D361,DATE(2015,5,17)))/365,1),0.25)
)
*
_xlfn.SWITCH(J361,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500</v>
      </c>
      <c r="AB361" s="1" cm="1">
        <f t="array" aca="1" ref="AB361" ca="1">IF(Y361&lt;DATE(2018,9,24),0,
IF(J361="زراعة",
K361*
(
INT((MIN(Y361,DATE(2023,4,30))-MAX(D361,DATE(2018,9,24)))/365)
+
CEILING(MOD((MIN(Y361,DATE(2023,4,30))-MAX(D361,DATE(2018,9,24)))/365,1),0.25)
)
*1,
K361*
(
DATEDIF(MAX(D361,DATE(2018,9,24)),MIN(Y361,DATE(2023,4,30)),"m")+1
)
*
_xlfn.SWITCH(J361,
"موقف/تندة",IF(D361&lt;DATE(2019,11,30),6,30),
"تشوينات",IF(D361&lt;DATE(2019,11,30),4,20),
"مشاتل",IF(D361&lt;DATE(2019,11,30),2,10),
"كافيتيريا",IF(D361&lt;DATE(2019,11,30),30,150),
"نوادي",IF(D361&lt;DATE(2019,11,30),6,30),
"رسو مراكب",IF(D361&lt;DATE(2019,11,30),2,10),
"مباني",IF(D361&lt;DATE(2018,9,24),2,10),
"عشش",IF(D361&lt;DATE(2019,11,30),2,10),
"كشك (تجاري/صناعي)",IF(D361&lt;DATE(2019,11,30),10,50),
"ردم",20,
0)))</f>
        <v>22400</v>
      </c>
      <c r="AC361" s="1" cm="1">
        <f t="array" aca="1" ref="AC361" ca="1">IF(Y361&lt;DATE(2023,5,1),0,
IF(J361="زراعة",
K361*
(
INT((Y361-MAX(DATE(2023,5,1),D361))/365)
+
CEILING(MOD((Y361-MAX(DATE(2023,5,1),D361))/365,1),0.25)
)
*3,
IF(J361="ردم",
K361*20,
K361*
(
DATEDIF(MAX(DATE(2023,5,1),D361),Y361,"m")+1
)
*
_xlfn.SWITCH(J361,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361" s="1">
        <f t="shared" ca="1" si="34"/>
        <v>55</v>
      </c>
    </row>
    <row r="362" spans="1:30" ht="18.75" x14ac:dyDescent="0.25">
      <c r="A362" s="52">
        <v>319</v>
      </c>
      <c r="B362" s="3">
        <v>63</v>
      </c>
      <c r="C362" s="3">
        <v>2017</v>
      </c>
      <c r="D362" s="2">
        <v>42935</v>
      </c>
      <c r="E362" s="11"/>
      <c r="F362" s="3"/>
      <c r="G362" s="3" t="s">
        <v>431</v>
      </c>
      <c r="H362" s="3"/>
      <c r="I362" s="3" t="s">
        <v>144</v>
      </c>
      <c r="J362" s="3" t="s">
        <v>27</v>
      </c>
      <c r="K362" s="3">
        <v>80</v>
      </c>
      <c r="L362" s="3" t="s">
        <v>90</v>
      </c>
      <c r="M362" s="7"/>
      <c r="N362" s="6"/>
      <c r="O362" s="9">
        <f>0.47*Table2[[#This Row],[قيمة المحضر]]</f>
        <v>0</v>
      </c>
      <c r="P362" s="9">
        <f>0.17*Table2[[#This Row],[قيمة المحضر]]</f>
        <v>0</v>
      </c>
      <c r="Q362" s="9">
        <f t="shared" ca="1" si="35"/>
        <v>18640</v>
      </c>
      <c r="R362" s="3"/>
      <c r="S362" s="3"/>
      <c r="T362" s="9" t="str">
        <f t="shared" si="36"/>
        <v>-</v>
      </c>
      <c r="U362" s="3" t="s">
        <v>25</v>
      </c>
      <c r="V362" s="9" t="str">
        <f t="shared" si="37"/>
        <v>-</v>
      </c>
      <c r="W362" s="4"/>
      <c r="X362" s="38"/>
      <c r="Y362" s="1">
        <f t="shared" ca="1" si="33"/>
        <v>46162</v>
      </c>
      <c r="Z362" s="1" cm="1">
        <f t="array" ref="Z362">IF(D362&gt;DATE(2015,5,16),0,
K362*
(
INT((MIN(Y362,DATE(2015,5,16))-D362)/365)
+
CEILING(MOD((MIN(Y362,DATE(2015,5,16))-D362)/365,1),0.25)
)
*
_xlfn.SWITCH(J362,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62" s="1" cm="1">
        <f t="array" aca="1" ref="AA362" ca="1">IF(Y362&lt;DATE(2015,5,17),0,
K362*
(
INT((MIN(Y362,DATE(2018,9,23))-MAX(D362,DATE(2015,5,17)))/365)
+
CEILING(MOD((MIN(Y362,DATE(2018,9,23))-MAX(D362,DATE(2015,5,17)))/365,1),0.25)
)
*
_xlfn.SWITCH(J362,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800</v>
      </c>
      <c r="AB362" s="1" cm="1">
        <f t="array" aca="1" ref="AB362" ca="1">IF(Y362&lt;DATE(2018,9,24),0,
IF(J362="زراعة",
K362*
(
INT((MIN(Y362,DATE(2023,4,30))-MAX(D362,DATE(2018,9,24)))/365)
+
CEILING(MOD((MIN(Y362,DATE(2023,4,30))-MAX(D362,DATE(2018,9,24)))/365,1),0.25)
)
*1,
K362*
(
DATEDIF(MAX(D362,DATE(2018,9,24)),MIN(Y362,DATE(2023,4,30)),"m")+1
)
*
_xlfn.SWITCH(J362,
"موقف/تندة",IF(D362&lt;DATE(2019,11,30),6,30),
"تشوينات",IF(D362&lt;DATE(2019,11,30),4,20),
"مشاتل",IF(D362&lt;DATE(2019,11,30),2,10),
"كافيتيريا",IF(D362&lt;DATE(2019,11,30),30,150),
"نوادي",IF(D362&lt;DATE(2019,11,30),6,30),
"رسو مراكب",IF(D362&lt;DATE(2019,11,30),2,10),
"مباني",IF(D362&lt;DATE(2018,9,24),2,10),
"عشش",IF(D362&lt;DATE(2019,11,30),2,10),
"كشك (تجاري/صناعي)",IF(D362&lt;DATE(2019,11,30),10,50),
"ردم",20,
0)))</f>
        <v>8960</v>
      </c>
      <c r="AC362" s="1" cm="1">
        <f t="array" aca="1" ref="AC362" ca="1">IF(Y362&lt;DATE(2023,5,1),0,
IF(J362="زراعة",
K362*
(
INT((Y362-MAX(DATE(2023,5,1),D362))/365)
+
CEILING(MOD((Y362-MAX(DATE(2023,5,1),D362))/365,1),0.25)
)
*3,
IF(J362="ردم",
K362*20,
K362*
(
DATEDIF(MAX(DATE(2023,5,1),D362),Y362,"m")+1
)
*
_xlfn.SWITCH(J362,
"موقف/تندة",6,
"تشوينات",4,
"مشاتل",2,
"رسو مراكب",6,
"مباني",3,
"عشش",1,
"كشك (تجاري/صناعي)",20,
"مواسير صرف صحي (&lt;1م)",16,
"مواسير صرف صحي (&gt;1م)",18,
0))))</f>
        <v>8880</v>
      </c>
      <c r="AD362" s="1">
        <f t="shared" ca="1" si="34"/>
        <v>55</v>
      </c>
    </row>
    <row r="363" spans="1:30" ht="18.75" x14ac:dyDescent="0.25">
      <c r="A363" s="52">
        <v>320</v>
      </c>
      <c r="B363" s="14">
        <v>64</v>
      </c>
      <c r="C363" s="14">
        <v>2017</v>
      </c>
      <c r="D363" s="15">
        <v>42935</v>
      </c>
      <c r="E363" s="19"/>
      <c r="F363" s="14"/>
      <c r="G363" s="14" t="s">
        <v>432</v>
      </c>
      <c r="H363" s="14"/>
      <c r="I363" s="14" t="s">
        <v>144</v>
      </c>
      <c r="J363" s="14" t="s">
        <v>27</v>
      </c>
      <c r="K363" s="14">
        <v>40</v>
      </c>
      <c r="L363" s="14" t="s">
        <v>90</v>
      </c>
      <c r="M363" s="18"/>
      <c r="N363" s="17"/>
      <c r="O363" s="9">
        <f>0.47*Table2[[#This Row],[قيمة المحضر]]</f>
        <v>0</v>
      </c>
      <c r="P363" s="9">
        <f>0.17*Table2[[#This Row],[قيمة المحضر]]</f>
        <v>0</v>
      </c>
      <c r="Q363" s="9">
        <f t="shared" ca="1" si="35"/>
        <v>9320</v>
      </c>
      <c r="R363" s="3"/>
      <c r="S363" s="3"/>
      <c r="T363" s="9" t="str">
        <f t="shared" si="36"/>
        <v>-</v>
      </c>
      <c r="U363" s="3" t="s">
        <v>25</v>
      </c>
      <c r="V363" s="9" t="str">
        <f t="shared" si="37"/>
        <v>-</v>
      </c>
      <c r="W363" s="4"/>
      <c r="X363" s="38"/>
      <c r="Y363" s="1">
        <f t="shared" ca="1" si="33"/>
        <v>46162</v>
      </c>
      <c r="Z363" s="1" cm="1">
        <f t="array" ref="Z363">IF(D363&gt;DATE(2015,5,16),0,
K363*
(
INT((MIN(Y363,DATE(2015,5,16))-D363)/365)
+
CEILING(MOD((MIN(Y363,DATE(2015,5,16))-D363)/365,1),0.25)
)
*
_xlfn.SWITCH(J363,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63" s="1" cm="1">
        <f t="array" aca="1" ref="AA363" ca="1">IF(Y363&lt;DATE(2015,5,17),0,
K363*
(
INT((MIN(Y363,DATE(2018,9,23))-MAX(D363,DATE(2015,5,17)))/365)
+
CEILING(MOD((MIN(Y363,DATE(2018,9,23))-MAX(D363,DATE(2015,5,17)))/365,1),0.25)
)
*
_xlfn.SWITCH(J363,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400</v>
      </c>
      <c r="AB363" s="1" cm="1">
        <f t="array" aca="1" ref="AB363" ca="1">IF(Y363&lt;DATE(2018,9,24),0,
IF(J363="زراعة",
K363*
(
INT((MIN(Y363,DATE(2023,4,30))-MAX(D363,DATE(2018,9,24)))/365)
+
CEILING(MOD((MIN(Y363,DATE(2023,4,30))-MAX(D363,DATE(2018,9,24)))/365,1),0.25)
)
*1,
K363*
(
DATEDIF(MAX(D363,DATE(2018,9,24)),MIN(Y363,DATE(2023,4,30)),"m")+1
)
*
_xlfn.SWITCH(J363,
"موقف/تندة",IF(D363&lt;DATE(2019,11,30),6,30),
"تشوينات",IF(D363&lt;DATE(2019,11,30),4,20),
"مشاتل",IF(D363&lt;DATE(2019,11,30),2,10),
"كافيتيريا",IF(D363&lt;DATE(2019,11,30),30,150),
"نوادي",IF(D363&lt;DATE(2019,11,30),6,30),
"رسو مراكب",IF(D363&lt;DATE(2019,11,30),2,10),
"مباني",IF(D363&lt;DATE(2018,9,24),2,10),
"عشش",IF(D363&lt;DATE(2019,11,30),2,10),
"كشك (تجاري/صناعي)",IF(D363&lt;DATE(2019,11,30),10,50),
"ردم",20,
0)))</f>
        <v>4480</v>
      </c>
      <c r="AC363" s="1" cm="1">
        <f t="array" aca="1" ref="AC363" ca="1">IF(Y363&lt;DATE(2023,5,1),0,
IF(J363="زراعة",
K363*
(
INT((Y363-MAX(DATE(2023,5,1),D363))/365)
+
CEILING(MOD((Y363-MAX(DATE(2023,5,1),D363))/365,1),0.25)
)
*3,
IF(J363="ردم",
K363*20,
K363*
(
DATEDIF(MAX(DATE(2023,5,1),D363),Y363,"m")+1
)
*
_xlfn.SWITCH(J363,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63" s="1">
        <f t="shared" ca="1" si="34"/>
        <v>55</v>
      </c>
    </row>
    <row r="364" spans="1:30" ht="18.75" x14ac:dyDescent="0.25">
      <c r="A364" s="52">
        <v>321</v>
      </c>
      <c r="B364" s="3">
        <v>65</v>
      </c>
      <c r="C364" s="3">
        <v>2017</v>
      </c>
      <c r="D364" s="2">
        <v>42935</v>
      </c>
      <c r="E364" s="11"/>
      <c r="F364" s="3"/>
      <c r="G364" s="3" t="s">
        <v>433</v>
      </c>
      <c r="H364" s="3"/>
      <c r="I364" s="3" t="s">
        <v>144</v>
      </c>
      <c r="J364" s="3" t="s">
        <v>77</v>
      </c>
      <c r="K364" s="3">
        <v>30</v>
      </c>
      <c r="L364" s="3" t="s">
        <v>90</v>
      </c>
      <c r="M364" s="7"/>
      <c r="N364" s="6"/>
      <c r="O364" s="9">
        <f>0.47*Table2[[#This Row],[قيمة المحضر]]</f>
        <v>0</v>
      </c>
      <c r="P364" s="9">
        <f>0.17*Table2[[#This Row],[قيمة المحضر]]</f>
        <v>0</v>
      </c>
      <c r="Q364" s="9">
        <f t="shared" ca="1" si="35"/>
        <v>34950</v>
      </c>
      <c r="R364" s="3"/>
      <c r="S364" s="3"/>
      <c r="T364" s="9" t="str">
        <f t="shared" si="36"/>
        <v>-</v>
      </c>
      <c r="U364" s="3" t="s">
        <v>25</v>
      </c>
      <c r="V364" s="9" t="str">
        <f t="shared" si="37"/>
        <v>-</v>
      </c>
      <c r="W364" s="4"/>
      <c r="X364" s="38"/>
      <c r="Y364" s="1">
        <f t="shared" ca="1" si="33"/>
        <v>46162</v>
      </c>
      <c r="Z364" s="1" cm="1">
        <f t="array" ref="Z364">IF(D364&gt;DATE(2015,5,16),0,
K364*
(
INT((MIN(Y364,DATE(2015,5,16))-D364)/365)
+
CEILING(MOD((MIN(Y364,DATE(2015,5,16))-D364)/365,1),0.25)
)
*
_xlfn.SWITCH(J364,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64" s="1" cm="1">
        <f t="array" aca="1" ref="AA364" ca="1">IF(Y364&lt;DATE(2015,5,17),0,
K364*
(
INT((MIN(Y364,DATE(2018,9,23))-MAX(D364,DATE(2015,5,17)))/365)
+
CEILING(MOD((MIN(Y364,DATE(2018,9,23))-MAX(D364,DATE(2015,5,17)))/365,1),0.25)
)
*
_xlfn.SWITCH(J364,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750</v>
      </c>
      <c r="AB364" s="1" cm="1">
        <f t="array" aca="1" ref="AB364" ca="1">IF(Y364&lt;DATE(2018,9,24),0,
IF(J364="زراعة",
K364*
(
INT((MIN(Y364,DATE(2023,4,30))-MAX(D364,DATE(2018,9,24)))/365)
+
CEILING(MOD((MIN(Y364,DATE(2023,4,30))-MAX(D364,DATE(2018,9,24)))/365,1),0.25)
)
*1,
K364*
(
DATEDIF(MAX(D364,DATE(2018,9,24)),MIN(Y364,DATE(2023,4,30)),"m")+1
)
*
_xlfn.SWITCH(J364,
"موقف/تندة",IF(D364&lt;DATE(2019,11,30),6,30),
"تشوينات",IF(D364&lt;DATE(2019,11,30),4,20),
"مشاتل",IF(D364&lt;DATE(2019,11,30),2,10),
"كافيتيريا",IF(D364&lt;DATE(2019,11,30),30,150),
"نوادي",IF(D364&lt;DATE(2019,11,30),6,30),
"رسو مراكب",IF(D364&lt;DATE(2019,11,30),2,10),
"مباني",IF(D364&lt;DATE(2018,9,24),2,10),
"عشش",IF(D364&lt;DATE(2019,11,30),2,10),
"كشك (تجاري/صناعي)",IF(D364&lt;DATE(2019,11,30),10,50),
"ردم",20,
0)))</f>
        <v>33600</v>
      </c>
      <c r="AC364" s="1" cm="1">
        <f t="array" aca="1" ref="AC364" ca="1">IF(Y364&lt;DATE(2023,5,1),0,
IF(J364="زراعة",
K364*
(
INT((Y364-MAX(DATE(2023,5,1),D364))/365)
+
CEILING(MOD((Y364-MAX(DATE(2023,5,1),D364))/365,1),0.25)
)
*3,
IF(J364="ردم",
K364*20,
K364*
(
DATEDIF(MAX(DATE(2023,5,1),D364),Y364,"m")+1
)
*
_xlfn.SWITCH(J364,
"موقف/تندة",6,
"تشوينات",4,
"مشاتل",2,
"رسو مراكب",6,
"مباني",3,
"عشش",1,
"كشك (تجاري/صناعي)",20,
"مواسير صرف صحي (&lt;1م)",16,
"مواسير صرف صحي (&gt;1م)",18,
0))))</f>
        <v>600</v>
      </c>
      <c r="AD364" s="1">
        <f t="shared" ca="1" si="34"/>
        <v>55</v>
      </c>
    </row>
    <row r="365" spans="1:30" ht="18.75" x14ac:dyDescent="0.25">
      <c r="A365" s="52">
        <v>322</v>
      </c>
      <c r="B365" s="3">
        <v>66</v>
      </c>
      <c r="C365" s="3">
        <v>2017</v>
      </c>
      <c r="D365" s="2">
        <v>42935</v>
      </c>
      <c r="E365" s="11"/>
      <c r="F365" s="3"/>
      <c r="G365" s="3" t="s">
        <v>434</v>
      </c>
      <c r="H365" s="3"/>
      <c r="I365" s="3" t="s">
        <v>144</v>
      </c>
      <c r="J365" s="3" t="s">
        <v>77</v>
      </c>
      <c r="K365" s="3">
        <v>40</v>
      </c>
      <c r="L365" s="3" t="s">
        <v>90</v>
      </c>
      <c r="M365" s="7"/>
      <c r="N365" s="6"/>
      <c r="O365" s="9">
        <f>0.47*Table2[[#This Row],[قيمة المحضر]]</f>
        <v>0</v>
      </c>
      <c r="P365" s="9">
        <f>0.17*Table2[[#This Row],[قيمة المحضر]]</f>
        <v>0</v>
      </c>
      <c r="Q365" s="9">
        <f t="shared" ca="1" si="35"/>
        <v>46600</v>
      </c>
      <c r="R365" s="3"/>
      <c r="S365" s="3"/>
      <c r="T365" s="9" t="str">
        <f t="shared" si="36"/>
        <v>-</v>
      </c>
      <c r="U365" s="3" t="s">
        <v>25</v>
      </c>
      <c r="V365" s="9" t="str">
        <f t="shared" si="37"/>
        <v>-</v>
      </c>
      <c r="W365" s="4"/>
      <c r="X365" s="38"/>
      <c r="Y365" s="1">
        <f t="shared" ca="1" si="33"/>
        <v>46162</v>
      </c>
      <c r="Z365" s="1" cm="1">
        <f t="array" ref="Z365">IF(D365&gt;DATE(2015,5,16),0,
K365*
(
INT((MIN(Y365,DATE(2015,5,16))-D365)/365)
+
CEILING(MOD((MIN(Y365,DATE(2015,5,16))-D365)/365,1),0.25)
)
*
_xlfn.SWITCH(J365,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65" s="1" cm="1">
        <f t="array" aca="1" ref="AA365" ca="1">IF(Y365&lt;DATE(2015,5,17),0,
K365*
(
INT((MIN(Y365,DATE(2018,9,23))-MAX(D365,DATE(2015,5,17)))/365)
+
CEILING(MOD((MIN(Y365,DATE(2018,9,23))-MAX(D365,DATE(2015,5,17)))/365,1),0.25)
)
*
_xlfn.SWITCH(J365,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1000</v>
      </c>
      <c r="AB365" s="1" cm="1">
        <f t="array" aca="1" ref="AB365" ca="1">IF(Y365&lt;DATE(2018,9,24),0,
IF(J365="زراعة",
K365*
(
INT((MIN(Y365,DATE(2023,4,30))-MAX(D365,DATE(2018,9,24)))/365)
+
CEILING(MOD((MIN(Y365,DATE(2023,4,30))-MAX(D365,DATE(2018,9,24)))/365,1),0.25)
)
*1,
K365*
(
DATEDIF(MAX(D365,DATE(2018,9,24)),MIN(Y365,DATE(2023,4,30)),"m")+1
)
*
_xlfn.SWITCH(J365,
"موقف/تندة",IF(D365&lt;DATE(2019,11,30),6,30),
"تشوينات",IF(D365&lt;DATE(2019,11,30),4,20),
"مشاتل",IF(D365&lt;DATE(2019,11,30),2,10),
"كافيتيريا",IF(D365&lt;DATE(2019,11,30),30,150),
"نوادي",IF(D365&lt;DATE(2019,11,30),6,30),
"رسو مراكب",IF(D365&lt;DATE(2019,11,30),2,10),
"مباني",IF(D365&lt;DATE(2018,9,24),2,10),
"عشش",IF(D365&lt;DATE(2019,11,30),2,10),
"كشك (تجاري/صناعي)",IF(D365&lt;DATE(2019,11,30),10,50),
"ردم",20,
0)))</f>
        <v>44800</v>
      </c>
      <c r="AC365" s="1" cm="1">
        <f t="array" aca="1" ref="AC365" ca="1">IF(Y365&lt;DATE(2023,5,1),0,
IF(J365="زراعة",
K365*
(
INT((Y365-MAX(DATE(2023,5,1),D365))/365)
+
CEILING(MOD((Y365-MAX(DATE(2023,5,1),D365))/365,1),0.25)
)
*3,
IF(J365="ردم",
K365*20,
K365*
(
DATEDIF(MAX(DATE(2023,5,1),D365),Y365,"m")+1
)
*
_xlfn.SWITCH(J365,
"موقف/تندة",6,
"تشوينات",4,
"مشاتل",2,
"رسو مراكب",6,
"مباني",3,
"عشش",1,
"كشك (تجاري/صناعي)",20,
"مواسير صرف صحي (&lt;1م)",16,
"مواسير صرف صحي (&gt;1م)",18,
0))))</f>
        <v>800</v>
      </c>
      <c r="AD365" s="1">
        <f t="shared" ca="1" si="34"/>
        <v>55</v>
      </c>
    </row>
    <row r="366" spans="1:30" ht="18.75" x14ac:dyDescent="0.25">
      <c r="A366" s="52">
        <v>323</v>
      </c>
      <c r="B366" s="6">
        <v>67</v>
      </c>
      <c r="C366" s="6">
        <v>2017</v>
      </c>
      <c r="D366" s="7">
        <v>42935</v>
      </c>
      <c r="E366" s="12"/>
      <c r="F366" s="6"/>
      <c r="G366" s="6" t="s">
        <v>435</v>
      </c>
      <c r="H366" s="6"/>
      <c r="I366" s="6" t="s">
        <v>144</v>
      </c>
      <c r="J366" s="3" t="s">
        <v>77</v>
      </c>
      <c r="K366" s="6">
        <v>40</v>
      </c>
      <c r="L366" s="3" t="s">
        <v>90</v>
      </c>
      <c r="M366" s="7"/>
      <c r="N366" s="6"/>
      <c r="O366" s="9">
        <f>0.47*Table2[[#This Row],[قيمة المحضر]]</f>
        <v>0</v>
      </c>
      <c r="P366" s="9">
        <f>0.17*Table2[[#This Row],[قيمة المحضر]]</f>
        <v>0</v>
      </c>
      <c r="Q366" s="9">
        <f t="shared" ca="1" si="35"/>
        <v>46600</v>
      </c>
      <c r="R366" s="3"/>
      <c r="S366" s="3"/>
      <c r="T366" s="9" t="str">
        <f t="shared" si="36"/>
        <v>-</v>
      </c>
      <c r="U366" s="3" t="s">
        <v>25</v>
      </c>
      <c r="V366" s="9" t="str">
        <f t="shared" si="37"/>
        <v>-</v>
      </c>
      <c r="W366" s="4"/>
      <c r="X366" s="38"/>
      <c r="Y366" s="1">
        <f t="shared" ca="1" si="33"/>
        <v>46162</v>
      </c>
      <c r="Z366" s="1" cm="1">
        <f t="array" ref="Z366">IF(D366&gt;DATE(2015,5,16),0,
K366*
(
INT((MIN(Y366,DATE(2015,5,16))-D366)/365)
+
CEILING(MOD((MIN(Y366,DATE(2015,5,16))-D366)/365,1),0.25)
)
*
_xlfn.SWITCH(J366,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66" s="1" cm="1">
        <f t="array" aca="1" ref="AA366" ca="1">IF(Y366&lt;DATE(2015,5,17),0,
K366*
(
INT((MIN(Y366,DATE(2018,9,23))-MAX(D366,DATE(2015,5,17)))/365)
+
CEILING(MOD((MIN(Y366,DATE(2018,9,23))-MAX(D366,DATE(2015,5,17)))/365,1),0.25)
)
*
_xlfn.SWITCH(J366,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1000</v>
      </c>
      <c r="AB366" s="1" cm="1">
        <f t="array" aca="1" ref="AB366" ca="1">IF(Y366&lt;DATE(2018,9,24),0,
IF(J366="زراعة",
K366*
(
INT((MIN(Y366,DATE(2023,4,30))-MAX(D366,DATE(2018,9,24)))/365)
+
CEILING(MOD((MIN(Y366,DATE(2023,4,30))-MAX(D366,DATE(2018,9,24)))/365,1),0.25)
)
*1,
K366*
(
DATEDIF(MAX(D366,DATE(2018,9,24)),MIN(Y366,DATE(2023,4,30)),"m")+1
)
*
_xlfn.SWITCH(J366,
"موقف/تندة",IF(D366&lt;DATE(2019,11,30),6,30),
"تشوينات",IF(D366&lt;DATE(2019,11,30),4,20),
"مشاتل",IF(D366&lt;DATE(2019,11,30),2,10),
"كافيتيريا",IF(D366&lt;DATE(2019,11,30),30,150),
"نوادي",IF(D366&lt;DATE(2019,11,30),6,30),
"رسو مراكب",IF(D366&lt;DATE(2019,11,30),2,10),
"مباني",IF(D366&lt;DATE(2018,9,24),2,10),
"عشش",IF(D366&lt;DATE(2019,11,30),2,10),
"كشك (تجاري/صناعي)",IF(D366&lt;DATE(2019,11,30),10,50),
"ردم",20,
0)))</f>
        <v>44800</v>
      </c>
      <c r="AC366" s="1" cm="1">
        <f t="array" aca="1" ref="AC366" ca="1">IF(Y366&lt;DATE(2023,5,1),0,
IF(J366="زراعة",
K366*
(
INT((Y366-MAX(DATE(2023,5,1),D366))/365)
+
CEILING(MOD((Y366-MAX(DATE(2023,5,1),D366))/365,1),0.25)
)
*3,
IF(J366="ردم",
K366*20,
K366*
(
DATEDIF(MAX(DATE(2023,5,1),D366),Y366,"m")+1
)
*
_xlfn.SWITCH(J366,
"موقف/تندة",6,
"تشوينات",4,
"مشاتل",2,
"رسو مراكب",6,
"مباني",3,
"عشش",1,
"كشك (تجاري/صناعي)",20,
"مواسير صرف صحي (&lt;1م)",16,
"مواسير صرف صحي (&gt;1م)",18,
0))))</f>
        <v>800</v>
      </c>
      <c r="AD366" s="1">
        <f t="shared" ca="1" si="34"/>
        <v>55</v>
      </c>
    </row>
    <row r="367" spans="1:30" ht="18.75" x14ac:dyDescent="0.25">
      <c r="A367" s="52">
        <v>324</v>
      </c>
      <c r="B367" s="6">
        <v>68</v>
      </c>
      <c r="C367" s="6">
        <v>2017</v>
      </c>
      <c r="D367" s="7">
        <v>42936</v>
      </c>
      <c r="E367" s="12"/>
      <c r="F367" s="6"/>
      <c r="G367" s="6" t="s">
        <v>439</v>
      </c>
      <c r="H367" s="6"/>
      <c r="I367" s="6" t="s">
        <v>105</v>
      </c>
      <c r="J367" s="3" t="s">
        <v>106</v>
      </c>
      <c r="K367" s="6"/>
      <c r="L367" s="3" t="s">
        <v>90</v>
      </c>
      <c r="M367" s="7"/>
      <c r="N367" s="6"/>
      <c r="O367" s="9">
        <f>0.47*Table2[[#This Row],[قيمة المحضر]]</f>
        <v>0</v>
      </c>
      <c r="P367" s="9">
        <f>0.17*Table2[[#This Row],[قيمة المحضر]]</f>
        <v>0</v>
      </c>
      <c r="Q367" s="9">
        <f t="shared" ca="1" si="35"/>
        <v>0</v>
      </c>
      <c r="R367" s="3"/>
      <c r="S367" s="3"/>
      <c r="T367" s="9" t="str">
        <f t="shared" si="36"/>
        <v>-</v>
      </c>
      <c r="U367" s="3" t="s">
        <v>25</v>
      </c>
      <c r="V367" s="9" t="str">
        <f t="shared" si="37"/>
        <v>-</v>
      </c>
      <c r="W367" s="4"/>
      <c r="X367" s="38"/>
      <c r="Y367" s="1">
        <f t="shared" ca="1" si="33"/>
        <v>46162</v>
      </c>
      <c r="Z367" s="1" cm="1">
        <f t="array" ref="Z367">IF(D367&gt;DATE(2015,5,16),0,
K367*
(
INT((MIN(Y367,DATE(2015,5,16))-D367)/365)
+
CEILING(MOD((MIN(Y367,DATE(2015,5,16))-D367)/365,1),0.25)
)
*
_xlfn.SWITCH(J367,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67" s="1" cm="1">
        <f t="array" aca="1" ref="AA367" ca="1">IF(Y367&lt;DATE(2015,5,17),0,
K367*
(
INT((MIN(Y367,DATE(2018,9,23))-MAX(D367,DATE(2015,5,17)))/365)
+
CEILING(MOD((MIN(Y367,DATE(2018,9,23))-MAX(D367,DATE(2015,5,17)))/365,1),0.25)
)
*
_xlfn.SWITCH(J367,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367" s="1" cm="1">
        <f t="array" aca="1" ref="AB367" ca="1">IF(Y367&lt;DATE(2018,9,24),0,
IF(J367="زراعة",
K367*
(
INT((MIN(Y367,DATE(2023,4,30))-MAX(D367,DATE(2018,9,24)))/365)
+
CEILING(MOD((MIN(Y367,DATE(2023,4,30))-MAX(D367,DATE(2018,9,24)))/365,1),0.25)
)
*1,
K367*
(
DATEDIF(MAX(D367,DATE(2018,9,24)),MIN(Y367,DATE(2023,4,30)),"m")+1
)
*
_xlfn.SWITCH(J367,
"موقف/تندة",IF(D367&lt;DATE(2019,11,30),6,30),
"تشوينات",IF(D367&lt;DATE(2019,11,30),4,20),
"مشاتل",IF(D367&lt;DATE(2019,11,30),2,10),
"كافيتيريا",IF(D367&lt;DATE(2019,11,30),30,150),
"نوادي",IF(D367&lt;DATE(2019,11,30),6,30),
"رسو مراكب",IF(D367&lt;DATE(2019,11,30),2,10),
"مباني",IF(D367&lt;DATE(2018,9,24),2,10),
"عشش",IF(D367&lt;DATE(2019,11,30),2,10),
"كشك (تجاري/صناعي)",IF(D367&lt;DATE(2019,11,30),10,50),
"ردم",20,
0)))</f>
        <v>0</v>
      </c>
      <c r="AC367" s="1" cm="1">
        <f t="array" aca="1" ref="AC367" ca="1">IF(Y367&lt;DATE(2023,5,1),0,
IF(J367="زراعة",
K367*
(
INT((Y367-MAX(DATE(2023,5,1),D367))/365)
+
CEILING(MOD((Y367-MAX(DATE(2023,5,1),D367))/365,1),0.25)
)
*3,
IF(J367="ردم",
K367*20,
K367*
(
DATEDIF(MAX(DATE(2023,5,1),D367),Y367,"m")+1
)
*
_xlfn.SWITCH(J367,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367" s="1">
        <f t="shared" ca="1" si="34"/>
        <v>55</v>
      </c>
    </row>
    <row r="368" spans="1:30" ht="18.75" x14ac:dyDescent="0.25">
      <c r="A368" s="52">
        <v>325</v>
      </c>
      <c r="B368" s="6">
        <v>69</v>
      </c>
      <c r="C368" s="6">
        <v>2017</v>
      </c>
      <c r="D368" s="7">
        <v>42936</v>
      </c>
      <c r="E368" s="12"/>
      <c r="F368" s="6"/>
      <c r="G368" s="6" t="s">
        <v>440</v>
      </c>
      <c r="H368" s="6"/>
      <c r="I368" s="6" t="s">
        <v>105</v>
      </c>
      <c r="J368" s="3" t="s">
        <v>106</v>
      </c>
      <c r="K368" s="6"/>
      <c r="L368" s="3" t="s">
        <v>90</v>
      </c>
      <c r="M368" s="7"/>
      <c r="N368" s="6"/>
      <c r="O368" s="9">
        <f>0.47*Table2[[#This Row],[قيمة المحضر]]</f>
        <v>0</v>
      </c>
      <c r="P368" s="9">
        <f>0.17*Table2[[#This Row],[قيمة المحضر]]</f>
        <v>0</v>
      </c>
      <c r="Q368" s="9">
        <f t="shared" ca="1" si="35"/>
        <v>0</v>
      </c>
      <c r="R368" s="3"/>
      <c r="S368" s="3"/>
      <c r="T368" s="9" t="str">
        <f t="shared" si="36"/>
        <v>-</v>
      </c>
      <c r="U368" s="3" t="s">
        <v>25</v>
      </c>
      <c r="V368" s="9" t="str">
        <f t="shared" si="37"/>
        <v>-</v>
      </c>
      <c r="W368" s="4"/>
      <c r="X368" s="38"/>
      <c r="Y368" s="1">
        <f t="shared" ca="1" si="33"/>
        <v>46162</v>
      </c>
      <c r="Z368" s="1" cm="1">
        <f t="array" ref="Z368">IF(D368&gt;DATE(2015,5,16),0,
K368*
(
INT((MIN(Y368,DATE(2015,5,16))-D368)/365)
+
CEILING(MOD((MIN(Y368,DATE(2015,5,16))-D368)/365,1),0.25)
)
*
_xlfn.SWITCH(J368,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68" s="1" cm="1">
        <f t="array" aca="1" ref="AA368" ca="1">IF(Y368&lt;DATE(2015,5,17),0,
K368*
(
INT((MIN(Y368,DATE(2018,9,23))-MAX(D368,DATE(2015,5,17)))/365)
+
CEILING(MOD((MIN(Y368,DATE(2018,9,23))-MAX(D368,DATE(2015,5,17)))/365,1),0.25)
)
*
_xlfn.SWITCH(J368,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368" s="1" cm="1">
        <f t="array" aca="1" ref="AB368" ca="1">IF(Y368&lt;DATE(2018,9,24),0,
IF(J368="زراعة",
K368*
(
INT((MIN(Y368,DATE(2023,4,30))-MAX(D368,DATE(2018,9,24)))/365)
+
CEILING(MOD((MIN(Y368,DATE(2023,4,30))-MAX(D368,DATE(2018,9,24)))/365,1),0.25)
)
*1,
K368*
(
DATEDIF(MAX(D368,DATE(2018,9,24)),MIN(Y368,DATE(2023,4,30)),"m")+1
)
*
_xlfn.SWITCH(J368,
"موقف/تندة",IF(D368&lt;DATE(2019,11,30),6,30),
"تشوينات",IF(D368&lt;DATE(2019,11,30),4,20),
"مشاتل",IF(D368&lt;DATE(2019,11,30),2,10),
"كافيتيريا",IF(D368&lt;DATE(2019,11,30),30,150),
"نوادي",IF(D368&lt;DATE(2019,11,30),6,30),
"رسو مراكب",IF(D368&lt;DATE(2019,11,30),2,10),
"مباني",IF(D368&lt;DATE(2018,9,24),2,10),
"عشش",IF(D368&lt;DATE(2019,11,30),2,10),
"كشك (تجاري/صناعي)",IF(D368&lt;DATE(2019,11,30),10,50),
"ردم",20,
0)))</f>
        <v>0</v>
      </c>
      <c r="AC368" s="1" cm="1">
        <f t="array" aca="1" ref="AC368" ca="1">IF(Y368&lt;DATE(2023,5,1),0,
IF(J368="زراعة",
K368*
(
INT((Y368-MAX(DATE(2023,5,1),D368))/365)
+
CEILING(MOD((Y368-MAX(DATE(2023,5,1),D368))/365,1),0.25)
)
*3,
IF(J368="ردم",
K368*20,
K368*
(
DATEDIF(MAX(DATE(2023,5,1),D368),Y368,"m")+1
)
*
_xlfn.SWITCH(J368,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368" s="1">
        <f t="shared" ca="1" si="34"/>
        <v>55</v>
      </c>
    </row>
    <row r="369" spans="1:30" ht="18.75" x14ac:dyDescent="0.25">
      <c r="A369" s="52">
        <v>326</v>
      </c>
      <c r="B369" s="6">
        <v>70</v>
      </c>
      <c r="C369" s="6">
        <v>2017</v>
      </c>
      <c r="D369" s="7">
        <v>42936</v>
      </c>
      <c r="E369" s="12"/>
      <c r="F369" s="6"/>
      <c r="G369" s="6" t="s">
        <v>441</v>
      </c>
      <c r="H369" s="6"/>
      <c r="I369" s="6" t="s">
        <v>105</v>
      </c>
      <c r="J369" s="3" t="s">
        <v>106</v>
      </c>
      <c r="K369" s="6"/>
      <c r="L369" s="3" t="s">
        <v>90</v>
      </c>
      <c r="M369" s="7"/>
      <c r="N369" s="6"/>
      <c r="O369" s="9">
        <f>0.47*Table2[[#This Row],[قيمة المحضر]]</f>
        <v>0</v>
      </c>
      <c r="P369" s="9">
        <f>0.17*Table2[[#This Row],[قيمة المحضر]]</f>
        <v>0</v>
      </c>
      <c r="Q369" s="9">
        <f t="shared" ca="1" si="35"/>
        <v>0</v>
      </c>
      <c r="R369" s="3"/>
      <c r="S369" s="3"/>
      <c r="T369" s="9" t="str">
        <f t="shared" si="36"/>
        <v>-</v>
      </c>
      <c r="U369" s="3" t="s">
        <v>25</v>
      </c>
      <c r="V369" s="9" t="str">
        <f t="shared" si="37"/>
        <v>-</v>
      </c>
      <c r="W369" s="4"/>
      <c r="X369" s="38"/>
      <c r="Y369" s="1">
        <f t="shared" ca="1" si="33"/>
        <v>46162</v>
      </c>
      <c r="Z369" s="1" cm="1">
        <f t="array" ref="Z369">IF(D369&gt;DATE(2015,5,16),0,
K369*
(
INT((MIN(Y369,DATE(2015,5,16))-D369)/365)
+
CEILING(MOD((MIN(Y369,DATE(2015,5,16))-D369)/365,1),0.25)
)
*
_xlfn.SWITCH(J369,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69" s="1" cm="1">
        <f t="array" aca="1" ref="AA369" ca="1">IF(Y369&lt;DATE(2015,5,17),0,
K369*
(
INT((MIN(Y369,DATE(2018,9,23))-MAX(D369,DATE(2015,5,17)))/365)
+
CEILING(MOD((MIN(Y369,DATE(2018,9,23))-MAX(D369,DATE(2015,5,17)))/365,1),0.25)
)
*
_xlfn.SWITCH(J369,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369" s="1" cm="1">
        <f t="array" aca="1" ref="AB369" ca="1">IF(Y369&lt;DATE(2018,9,24),0,
IF(J369="زراعة",
K369*
(
INT((MIN(Y369,DATE(2023,4,30))-MAX(D369,DATE(2018,9,24)))/365)
+
CEILING(MOD((MIN(Y369,DATE(2023,4,30))-MAX(D369,DATE(2018,9,24)))/365,1),0.25)
)
*1,
K369*
(
DATEDIF(MAX(D369,DATE(2018,9,24)),MIN(Y369,DATE(2023,4,30)),"m")+1
)
*
_xlfn.SWITCH(J369,
"موقف/تندة",IF(D369&lt;DATE(2019,11,30),6,30),
"تشوينات",IF(D369&lt;DATE(2019,11,30),4,20),
"مشاتل",IF(D369&lt;DATE(2019,11,30),2,10),
"كافيتيريا",IF(D369&lt;DATE(2019,11,30),30,150),
"نوادي",IF(D369&lt;DATE(2019,11,30),6,30),
"رسو مراكب",IF(D369&lt;DATE(2019,11,30),2,10),
"مباني",IF(D369&lt;DATE(2018,9,24),2,10),
"عشش",IF(D369&lt;DATE(2019,11,30),2,10),
"كشك (تجاري/صناعي)",IF(D369&lt;DATE(2019,11,30),10,50),
"ردم",20,
0)))</f>
        <v>0</v>
      </c>
      <c r="AC369" s="1" cm="1">
        <f t="array" aca="1" ref="AC369" ca="1">IF(Y369&lt;DATE(2023,5,1),0,
IF(J369="زراعة",
K369*
(
INT((Y369-MAX(DATE(2023,5,1),D369))/365)
+
CEILING(MOD((Y369-MAX(DATE(2023,5,1),D369))/365,1),0.25)
)
*3,
IF(J369="ردم",
K369*20,
K369*
(
DATEDIF(MAX(DATE(2023,5,1),D369),Y369,"m")+1
)
*
_xlfn.SWITCH(J369,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369" s="1">
        <f t="shared" ca="1" si="34"/>
        <v>55</v>
      </c>
    </row>
    <row r="370" spans="1:30" ht="18.75" x14ac:dyDescent="0.25">
      <c r="A370" s="52">
        <v>327</v>
      </c>
      <c r="B370" s="6">
        <v>71</v>
      </c>
      <c r="C370" s="6">
        <v>2017</v>
      </c>
      <c r="D370" s="7">
        <v>42936</v>
      </c>
      <c r="E370" s="12"/>
      <c r="F370" s="6"/>
      <c r="G370" s="6" t="s">
        <v>442</v>
      </c>
      <c r="H370" s="6"/>
      <c r="I370" s="6" t="s">
        <v>105</v>
      </c>
      <c r="J370" s="3" t="s">
        <v>106</v>
      </c>
      <c r="K370" s="6"/>
      <c r="L370" s="3" t="s">
        <v>90</v>
      </c>
      <c r="M370" s="7"/>
      <c r="N370" s="6"/>
      <c r="O370" s="9">
        <f>0.47*Table2[[#This Row],[قيمة المحضر]]</f>
        <v>0</v>
      </c>
      <c r="P370" s="9">
        <f>0.17*Table2[[#This Row],[قيمة المحضر]]</f>
        <v>0</v>
      </c>
      <c r="Q370" s="9">
        <f t="shared" ca="1" si="35"/>
        <v>0</v>
      </c>
      <c r="R370" s="3"/>
      <c r="S370" s="3"/>
      <c r="T370" s="9" t="str">
        <f t="shared" si="36"/>
        <v>-</v>
      </c>
      <c r="U370" s="3" t="s">
        <v>25</v>
      </c>
      <c r="V370" s="9" t="str">
        <f t="shared" si="37"/>
        <v>-</v>
      </c>
      <c r="W370" s="4"/>
      <c r="X370" s="38"/>
      <c r="Y370" s="1">
        <f t="shared" ca="1" si="33"/>
        <v>46162</v>
      </c>
      <c r="Z370" s="1" cm="1">
        <f t="array" ref="Z370">IF(D370&gt;DATE(2015,5,16),0,
K370*
(
INT((MIN(Y370,DATE(2015,5,16))-D370)/365)
+
CEILING(MOD((MIN(Y370,DATE(2015,5,16))-D370)/365,1),0.25)
)
*
_xlfn.SWITCH(J370,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70" s="1" cm="1">
        <f t="array" aca="1" ref="AA370" ca="1">IF(Y370&lt;DATE(2015,5,17),0,
K370*
(
INT((MIN(Y370,DATE(2018,9,23))-MAX(D370,DATE(2015,5,17)))/365)
+
CEILING(MOD((MIN(Y370,DATE(2018,9,23))-MAX(D370,DATE(2015,5,17)))/365,1),0.25)
)
*
_xlfn.SWITCH(J370,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370" s="1" cm="1">
        <f t="array" aca="1" ref="AB370" ca="1">IF(Y370&lt;DATE(2018,9,24),0,
IF(J370="زراعة",
K370*
(
INT((MIN(Y370,DATE(2023,4,30))-MAX(D370,DATE(2018,9,24)))/365)
+
CEILING(MOD((MIN(Y370,DATE(2023,4,30))-MAX(D370,DATE(2018,9,24)))/365,1),0.25)
)
*1,
K370*
(
DATEDIF(MAX(D370,DATE(2018,9,24)),MIN(Y370,DATE(2023,4,30)),"m")+1
)
*
_xlfn.SWITCH(J370,
"موقف/تندة",IF(D370&lt;DATE(2019,11,30),6,30),
"تشوينات",IF(D370&lt;DATE(2019,11,30),4,20),
"مشاتل",IF(D370&lt;DATE(2019,11,30),2,10),
"كافيتيريا",IF(D370&lt;DATE(2019,11,30),30,150),
"نوادي",IF(D370&lt;DATE(2019,11,30),6,30),
"رسو مراكب",IF(D370&lt;DATE(2019,11,30),2,10),
"مباني",IF(D370&lt;DATE(2018,9,24),2,10),
"عشش",IF(D370&lt;DATE(2019,11,30),2,10),
"كشك (تجاري/صناعي)",IF(D370&lt;DATE(2019,11,30),10,50),
"ردم",20,
0)))</f>
        <v>0</v>
      </c>
      <c r="AC370" s="1" cm="1">
        <f t="array" aca="1" ref="AC370" ca="1">IF(Y370&lt;DATE(2023,5,1),0,
IF(J370="زراعة",
K370*
(
INT((Y370-MAX(DATE(2023,5,1),D370))/365)
+
CEILING(MOD((Y370-MAX(DATE(2023,5,1),D370))/365,1),0.25)
)
*3,
IF(J370="ردم",
K370*20,
K370*
(
DATEDIF(MAX(DATE(2023,5,1),D370),Y370,"m")+1
)
*
_xlfn.SWITCH(J370,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370" s="1">
        <f t="shared" ca="1" si="34"/>
        <v>55</v>
      </c>
    </row>
    <row r="371" spans="1:30" ht="18.75" x14ac:dyDescent="0.25">
      <c r="A371" s="52">
        <v>328</v>
      </c>
      <c r="B371" s="6">
        <v>72</v>
      </c>
      <c r="C371" s="6">
        <v>2017</v>
      </c>
      <c r="D371" s="7">
        <v>42936</v>
      </c>
      <c r="E371" s="12"/>
      <c r="F371" s="6"/>
      <c r="G371" s="6" t="s">
        <v>443</v>
      </c>
      <c r="H371" s="6"/>
      <c r="I371" s="6" t="s">
        <v>105</v>
      </c>
      <c r="J371" s="3" t="s">
        <v>106</v>
      </c>
      <c r="K371" s="6"/>
      <c r="L371" s="3" t="s">
        <v>90</v>
      </c>
      <c r="M371" s="7"/>
      <c r="N371" s="6"/>
      <c r="O371" s="9">
        <f>0.47*Table2[[#This Row],[قيمة المحضر]]</f>
        <v>0</v>
      </c>
      <c r="P371" s="9">
        <f>0.17*Table2[[#This Row],[قيمة المحضر]]</f>
        <v>0</v>
      </c>
      <c r="Q371" s="9">
        <f t="shared" ca="1" si="35"/>
        <v>0</v>
      </c>
      <c r="R371" s="3"/>
      <c r="S371" s="3"/>
      <c r="T371" s="9" t="str">
        <f t="shared" si="36"/>
        <v>-</v>
      </c>
      <c r="U371" s="3" t="s">
        <v>25</v>
      </c>
      <c r="V371" s="9" t="str">
        <f t="shared" si="37"/>
        <v>-</v>
      </c>
      <c r="W371" s="4"/>
      <c r="X371" s="38"/>
      <c r="Y371" s="1">
        <f t="shared" ca="1" si="33"/>
        <v>46162</v>
      </c>
      <c r="Z371" s="1" cm="1">
        <f t="array" ref="Z371">IF(D371&gt;DATE(2015,5,16),0,
K371*
(
INT((MIN(Y371,DATE(2015,5,16))-D371)/365)
+
CEILING(MOD((MIN(Y371,DATE(2015,5,16))-D371)/365,1),0.25)
)
*
_xlfn.SWITCH(J371,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71" s="1" cm="1">
        <f t="array" aca="1" ref="AA371" ca="1">IF(Y371&lt;DATE(2015,5,17),0,
K371*
(
INT((MIN(Y371,DATE(2018,9,23))-MAX(D371,DATE(2015,5,17)))/365)
+
CEILING(MOD((MIN(Y371,DATE(2018,9,23))-MAX(D371,DATE(2015,5,17)))/365,1),0.25)
)
*
_xlfn.SWITCH(J371,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371" s="1" cm="1">
        <f t="array" aca="1" ref="AB371" ca="1">IF(Y371&lt;DATE(2018,9,24),0,
IF(J371="زراعة",
K371*
(
INT((MIN(Y371,DATE(2023,4,30))-MAX(D371,DATE(2018,9,24)))/365)
+
CEILING(MOD((MIN(Y371,DATE(2023,4,30))-MAX(D371,DATE(2018,9,24)))/365,1),0.25)
)
*1,
K371*
(
DATEDIF(MAX(D371,DATE(2018,9,24)),MIN(Y371,DATE(2023,4,30)),"m")+1
)
*
_xlfn.SWITCH(J371,
"موقف/تندة",IF(D371&lt;DATE(2019,11,30),6,30),
"تشوينات",IF(D371&lt;DATE(2019,11,30),4,20),
"مشاتل",IF(D371&lt;DATE(2019,11,30),2,10),
"كافيتيريا",IF(D371&lt;DATE(2019,11,30),30,150),
"نوادي",IF(D371&lt;DATE(2019,11,30),6,30),
"رسو مراكب",IF(D371&lt;DATE(2019,11,30),2,10),
"مباني",IF(D371&lt;DATE(2018,9,24),2,10),
"عشش",IF(D371&lt;DATE(2019,11,30),2,10),
"كشك (تجاري/صناعي)",IF(D371&lt;DATE(2019,11,30),10,50),
"ردم",20,
0)))</f>
        <v>0</v>
      </c>
      <c r="AC371" s="1" cm="1">
        <f t="array" aca="1" ref="AC371" ca="1">IF(Y371&lt;DATE(2023,5,1),0,
IF(J371="زراعة",
K371*
(
INT((Y371-MAX(DATE(2023,5,1),D371))/365)
+
CEILING(MOD((Y371-MAX(DATE(2023,5,1),D371))/365,1),0.25)
)
*3,
IF(J371="ردم",
K371*20,
K371*
(
DATEDIF(MAX(DATE(2023,5,1),D371),Y371,"m")+1
)
*
_xlfn.SWITCH(J371,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371" s="1">
        <f t="shared" ca="1" si="34"/>
        <v>55</v>
      </c>
    </row>
    <row r="372" spans="1:30" ht="18.75" x14ac:dyDescent="0.25">
      <c r="A372" s="52">
        <v>329</v>
      </c>
      <c r="B372" s="6">
        <v>73</v>
      </c>
      <c r="C372" s="6">
        <v>2017</v>
      </c>
      <c r="D372" s="7">
        <v>42936</v>
      </c>
      <c r="E372" s="12" t="s">
        <v>512</v>
      </c>
      <c r="F372" s="6"/>
      <c r="G372" s="6" t="s">
        <v>444</v>
      </c>
      <c r="H372" s="6"/>
      <c r="I372" s="6" t="s">
        <v>105</v>
      </c>
      <c r="J372" s="3" t="s">
        <v>77</v>
      </c>
      <c r="K372" s="6">
        <v>20</v>
      </c>
      <c r="L372" s="3" t="s">
        <v>90</v>
      </c>
      <c r="M372" s="7"/>
      <c r="N372" s="6"/>
      <c r="O372" s="9">
        <f>0.47*Table2[[#This Row],[قيمة المحضر]]</f>
        <v>0</v>
      </c>
      <c r="P372" s="9">
        <f>0.17*Table2[[#This Row],[قيمة المحضر]]</f>
        <v>0</v>
      </c>
      <c r="Q372" s="9">
        <f t="shared" ca="1" si="35"/>
        <v>23300</v>
      </c>
      <c r="R372" s="3"/>
      <c r="S372" s="3"/>
      <c r="T372" s="9" t="str">
        <f t="shared" si="36"/>
        <v>-</v>
      </c>
      <c r="U372" s="3" t="s">
        <v>25</v>
      </c>
      <c r="V372" s="9" t="str">
        <f t="shared" si="37"/>
        <v>-</v>
      </c>
      <c r="W372" s="4"/>
      <c r="X372" s="38"/>
      <c r="Y372" s="1">
        <f t="shared" ca="1" si="33"/>
        <v>46162</v>
      </c>
      <c r="Z372" s="1" cm="1">
        <f t="array" ref="Z372">IF(D372&gt;DATE(2015,5,16),0,
K372*
(
INT((MIN(Y372,DATE(2015,5,16))-D372)/365)
+
CEILING(MOD((MIN(Y372,DATE(2015,5,16))-D372)/365,1),0.25)
)
*
_xlfn.SWITCH(J372,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72" s="1" cm="1">
        <f t="array" aca="1" ref="AA372" ca="1">IF(Y372&lt;DATE(2015,5,17),0,
K372*
(
INT((MIN(Y372,DATE(2018,9,23))-MAX(D372,DATE(2015,5,17)))/365)
+
CEILING(MOD((MIN(Y372,DATE(2018,9,23))-MAX(D372,DATE(2015,5,17)))/365,1),0.25)
)
*
_xlfn.SWITCH(J372,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500</v>
      </c>
      <c r="AB372" s="1" cm="1">
        <f t="array" aca="1" ref="AB372" ca="1">IF(Y372&lt;DATE(2018,9,24),0,
IF(J372="زراعة",
K372*
(
INT((MIN(Y372,DATE(2023,4,30))-MAX(D372,DATE(2018,9,24)))/365)
+
CEILING(MOD((MIN(Y372,DATE(2023,4,30))-MAX(D372,DATE(2018,9,24)))/365,1),0.25)
)
*1,
K372*
(
DATEDIF(MAX(D372,DATE(2018,9,24)),MIN(Y372,DATE(2023,4,30)),"m")+1
)
*
_xlfn.SWITCH(J372,
"موقف/تندة",IF(D372&lt;DATE(2019,11,30),6,30),
"تشوينات",IF(D372&lt;DATE(2019,11,30),4,20),
"مشاتل",IF(D372&lt;DATE(2019,11,30),2,10),
"كافيتيريا",IF(D372&lt;DATE(2019,11,30),30,150),
"نوادي",IF(D372&lt;DATE(2019,11,30),6,30),
"رسو مراكب",IF(D372&lt;DATE(2019,11,30),2,10),
"مباني",IF(D372&lt;DATE(2018,9,24),2,10),
"عشش",IF(D372&lt;DATE(2019,11,30),2,10),
"كشك (تجاري/صناعي)",IF(D372&lt;DATE(2019,11,30),10,50),
"ردم",20,
0)))</f>
        <v>22400</v>
      </c>
      <c r="AC372" s="1" cm="1">
        <f t="array" aca="1" ref="AC372" ca="1">IF(Y372&lt;DATE(2023,5,1),0,
IF(J372="زراعة",
K372*
(
INT((Y372-MAX(DATE(2023,5,1),D372))/365)
+
CEILING(MOD((Y372-MAX(DATE(2023,5,1),D372))/365,1),0.25)
)
*3,
IF(J372="ردم",
K372*20,
K372*
(
DATEDIF(MAX(DATE(2023,5,1),D372),Y372,"m")+1
)
*
_xlfn.SWITCH(J372,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372" s="1">
        <f t="shared" ca="1" si="34"/>
        <v>55</v>
      </c>
    </row>
    <row r="373" spans="1:30" ht="18.75" x14ac:dyDescent="0.25">
      <c r="A373" s="52">
        <v>330</v>
      </c>
      <c r="B373" s="6">
        <v>74</v>
      </c>
      <c r="C373" s="6">
        <v>2017</v>
      </c>
      <c r="D373" s="7">
        <v>42936</v>
      </c>
      <c r="E373" s="12" t="s">
        <v>513</v>
      </c>
      <c r="F373" s="6"/>
      <c r="G373" s="6" t="s">
        <v>445</v>
      </c>
      <c r="H373" s="6"/>
      <c r="I373" s="6" t="s">
        <v>105</v>
      </c>
      <c r="J373" s="3" t="s">
        <v>27</v>
      </c>
      <c r="K373" s="6">
        <v>50</v>
      </c>
      <c r="L373" s="3" t="s">
        <v>90</v>
      </c>
      <c r="M373" s="7"/>
      <c r="N373" s="6"/>
      <c r="O373" s="9">
        <f>0.47*Table2[[#This Row],[قيمة المحضر]]</f>
        <v>0</v>
      </c>
      <c r="P373" s="9">
        <f>0.17*Table2[[#This Row],[قيمة المحضر]]</f>
        <v>0</v>
      </c>
      <c r="Q373" s="9">
        <f t="shared" ca="1" si="35"/>
        <v>11650</v>
      </c>
      <c r="R373" s="3"/>
      <c r="S373" s="3"/>
      <c r="T373" s="9" t="str">
        <f t="shared" si="36"/>
        <v>-</v>
      </c>
      <c r="U373" s="3" t="s">
        <v>25</v>
      </c>
      <c r="V373" s="9" t="str">
        <f t="shared" si="37"/>
        <v>-</v>
      </c>
      <c r="W373" s="4"/>
      <c r="X373" s="38"/>
      <c r="Y373" s="1">
        <f t="shared" ca="1" si="33"/>
        <v>46162</v>
      </c>
      <c r="Z373" s="1" cm="1">
        <f t="array" ref="Z373">IF(D373&gt;DATE(2015,5,16),0,
K373*
(
INT((MIN(Y373,DATE(2015,5,16))-D373)/365)
+
CEILING(MOD((MIN(Y373,DATE(2015,5,16))-D373)/365,1),0.25)
)
*
_xlfn.SWITCH(J373,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73" s="1" cm="1">
        <f t="array" aca="1" ref="AA373" ca="1">IF(Y373&lt;DATE(2015,5,17),0,
K373*
(
INT((MIN(Y373,DATE(2018,9,23))-MAX(D373,DATE(2015,5,17)))/365)
+
CEILING(MOD((MIN(Y373,DATE(2018,9,23))-MAX(D373,DATE(2015,5,17)))/365,1),0.25)
)
*
_xlfn.SWITCH(J373,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500</v>
      </c>
      <c r="AB373" s="1" cm="1">
        <f t="array" aca="1" ref="AB373" ca="1">IF(Y373&lt;DATE(2018,9,24),0,
IF(J373="زراعة",
K373*
(
INT((MIN(Y373,DATE(2023,4,30))-MAX(D373,DATE(2018,9,24)))/365)
+
CEILING(MOD((MIN(Y373,DATE(2023,4,30))-MAX(D373,DATE(2018,9,24)))/365,1),0.25)
)
*1,
K373*
(
DATEDIF(MAX(D373,DATE(2018,9,24)),MIN(Y373,DATE(2023,4,30)),"m")+1
)
*
_xlfn.SWITCH(J373,
"موقف/تندة",IF(D373&lt;DATE(2019,11,30),6,30),
"تشوينات",IF(D373&lt;DATE(2019,11,30),4,20),
"مشاتل",IF(D373&lt;DATE(2019,11,30),2,10),
"كافيتيريا",IF(D373&lt;DATE(2019,11,30),30,150),
"نوادي",IF(D373&lt;DATE(2019,11,30),6,30),
"رسو مراكب",IF(D373&lt;DATE(2019,11,30),2,10),
"مباني",IF(D373&lt;DATE(2018,9,24),2,10),
"عشش",IF(D373&lt;DATE(2019,11,30),2,10),
"كشك (تجاري/صناعي)",IF(D373&lt;DATE(2019,11,30),10,50),
"ردم",20,
0)))</f>
        <v>5600</v>
      </c>
      <c r="AC373" s="1" cm="1">
        <f t="array" aca="1" ref="AC373" ca="1">IF(Y373&lt;DATE(2023,5,1),0,
IF(J373="زراعة",
K373*
(
INT((Y373-MAX(DATE(2023,5,1),D373))/365)
+
CEILING(MOD((Y373-MAX(DATE(2023,5,1),D373))/365,1),0.25)
)
*3,
IF(J373="ردم",
K373*20,
K373*
(
DATEDIF(MAX(DATE(2023,5,1),D373),Y373,"m")+1
)
*
_xlfn.SWITCH(J373,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373" s="1">
        <f t="shared" ca="1" si="34"/>
        <v>55</v>
      </c>
    </row>
    <row r="374" spans="1:30" ht="18.75" x14ac:dyDescent="0.25">
      <c r="A374" s="52">
        <v>331</v>
      </c>
      <c r="B374" s="6">
        <v>75</v>
      </c>
      <c r="C374" s="6">
        <v>2017</v>
      </c>
      <c r="D374" s="7">
        <v>42936</v>
      </c>
      <c r="E374" s="12" t="s">
        <v>514</v>
      </c>
      <c r="F374" s="6"/>
      <c r="G374" s="6" t="s">
        <v>446</v>
      </c>
      <c r="H374" s="6"/>
      <c r="I374" s="6" t="s">
        <v>105</v>
      </c>
      <c r="J374" s="3" t="s">
        <v>27</v>
      </c>
      <c r="K374" s="6">
        <f>8*5</f>
        <v>40</v>
      </c>
      <c r="L374" s="3" t="s">
        <v>90</v>
      </c>
      <c r="M374" s="7"/>
      <c r="N374" s="6"/>
      <c r="O374" s="9">
        <f>0.47*Table2[[#This Row],[قيمة المحضر]]</f>
        <v>0</v>
      </c>
      <c r="P374" s="9">
        <f>0.17*Table2[[#This Row],[قيمة المحضر]]</f>
        <v>0</v>
      </c>
      <c r="Q374" s="9">
        <f t="shared" ca="1" si="35"/>
        <v>9320</v>
      </c>
      <c r="R374" s="3"/>
      <c r="S374" s="3"/>
      <c r="T374" s="9" t="str">
        <f t="shared" si="36"/>
        <v>-</v>
      </c>
      <c r="U374" s="3" t="s">
        <v>25</v>
      </c>
      <c r="V374" s="9" t="str">
        <f t="shared" si="37"/>
        <v>-</v>
      </c>
      <c r="W374" s="4"/>
      <c r="X374" s="38"/>
      <c r="Y374" s="1">
        <f t="shared" ca="1" si="33"/>
        <v>46162</v>
      </c>
      <c r="Z374" s="1" cm="1">
        <f t="array" ref="Z374">IF(D374&gt;DATE(2015,5,16),0,
K374*
(
INT((MIN(Y374,DATE(2015,5,16))-D374)/365)
+
CEILING(MOD((MIN(Y374,DATE(2015,5,16))-D374)/365,1),0.25)
)
*
_xlfn.SWITCH(J374,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74" s="1" cm="1">
        <f t="array" aca="1" ref="AA374" ca="1">IF(Y374&lt;DATE(2015,5,17),0,
K374*
(
INT((MIN(Y374,DATE(2018,9,23))-MAX(D374,DATE(2015,5,17)))/365)
+
CEILING(MOD((MIN(Y374,DATE(2018,9,23))-MAX(D374,DATE(2015,5,17)))/365,1),0.25)
)
*
_xlfn.SWITCH(J374,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400</v>
      </c>
      <c r="AB374" s="1" cm="1">
        <f t="array" aca="1" ref="AB374" ca="1">IF(Y374&lt;DATE(2018,9,24),0,
IF(J374="زراعة",
K374*
(
INT((MIN(Y374,DATE(2023,4,30))-MAX(D374,DATE(2018,9,24)))/365)
+
CEILING(MOD((MIN(Y374,DATE(2023,4,30))-MAX(D374,DATE(2018,9,24)))/365,1),0.25)
)
*1,
K374*
(
DATEDIF(MAX(D374,DATE(2018,9,24)),MIN(Y374,DATE(2023,4,30)),"m")+1
)
*
_xlfn.SWITCH(J374,
"موقف/تندة",IF(D374&lt;DATE(2019,11,30),6,30),
"تشوينات",IF(D374&lt;DATE(2019,11,30),4,20),
"مشاتل",IF(D374&lt;DATE(2019,11,30),2,10),
"كافيتيريا",IF(D374&lt;DATE(2019,11,30),30,150),
"نوادي",IF(D374&lt;DATE(2019,11,30),6,30),
"رسو مراكب",IF(D374&lt;DATE(2019,11,30),2,10),
"مباني",IF(D374&lt;DATE(2018,9,24),2,10),
"عشش",IF(D374&lt;DATE(2019,11,30),2,10),
"كشك (تجاري/صناعي)",IF(D374&lt;DATE(2019,11,30),10,50),
"ردم",20,
0)))</f>
        <v>4480</v>
      </c>
      <c r="AC374" s="1" cm="1">
        <f t="array" aca="1" ref="AC374" ca="1">IF(Y374&lt;DATE(2023,5,1),0,
IF(J374="زراعة",
K374*
(
INT((Y374-MAX(DATE(2023,5,1),D374))/365)
+
CEILING(MOD((Y374-MAX(DATE(2023,5,1),D374))/365,1),0.25)
)
*3,
IF(J374="ردم",
K374*20,
K374*
(
DATEDIF(MAX(DATE(2023,5,1),D374),Y374,"m")+1
)
*
_xlfn.SWITCH(J374,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74" s="1">
        <f t="shared" ca="1" si="34"/>
        <v>55</v>
      </c>
    </row>
    <row r="375" spans="1:30" ht="18.75" x14ac:dyDescent="0.25">
      <c r="A375" s="52">
        <v>332</v>
      </c>
      <c r="B375" s="6">
        <v>76</v>
      </c>
      <c r="C375" s="6">
        <v>2017</v>
      </c>
      <c r="D375" s="7">
        <v>42936</v>
      </c>
      <c r="E375" s="12" t="s">
        <v>515</v>
      </c>
      <c r="F375" s="6"/>
      <c r="G375" s="6" t="s">
        <v>447</v>
      </c>
      <c r="H375" s="6"/>
      <c r="I375" s="6" t="s">
        <v>105</v>
      </c>
      <c r="J375" s="3" t="s">
        <v>27</v>
      </c>
      <c r="K375" s="6">
        <v>15</v>
      </c>
      <c r="L375" s="3" t="s">
        <v>90</v>
      </c>
      <c r="M375" s="7"/>
      <c r="N375" s="6"/>
      <c r="O375" s="9">
        <f>0.47*Table2[[#This Row],[قيمة المحضر]]</f>
        <v>0</v>
      </c>
      <c r="P375" s="9">
        <f>0.17*Table2[[#This Row],[قيمة المحضر]]</f>
        <v>0</v>
      </c>
      <c r="Q375" s="9">
        <f t="shared" ca="1" si="35"/>
        <v>3495</v>
      </c>
      <c r="R375" s="3"/>
      <c r="S375" s="3"/>
      <c r="T375" s="9" t="str">
        <f t="shared" si="36"/>
        <v>-</v>
      </c>
      <c r="U375" s="3" t="s">
        <v>25</v>
      </c>
      <c r="V375" s="9" t="str">
        <f t="shared" si="37"/>
        <v>-</v>
      </c>
      <c r="W375" s="4"/>
      <c r="X375" s="38"/>
      <c r="Y375" s="1">
        <f t="shared" ca="1" si="33"/>
        <v>46162</v>
      </c>
      <c r="Z375" s="1" cm="1">
        <f t="array" ref="Z375">IF(D375&gt;DATE(2015,5,16),0,
K375*
(
INT((MIN(Y375,DATE(2015,5,16))-D375)/365)
+
CEILING(MOD((MIN(Y375,DATE(2015,5,16))-D375)/365,1),0.25)
)
*
_xlfn.SWITCH(J375,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75" s="1" cm="1">
        <f t="array" aca="1" ref="AA375" ca="1">IF(Y375&lt;DATE(2015,5,17),0,
K375*
(
INT((MIN(Y375,DATE(2018,9,23))-MAX(D375,DATE(2015,5,17)))/365)
+
CEILING(MOD((MIN(Y375,DATE(2018,9,23))-MAX(D375,DATE(2015,5,17)))/365,1),0.25)
)
*
_xlfn.SWITCH(J375,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150</v>
      </c>
      <c r="AB375" s="1" cm="1">
        <f t="array" aca="1" ref="AB375" ca="1">IF(Y375&lt;DATE(2018,9,24),0,
IF(J375="زراعة",
K375*
(
INT((MIN(Y375,DATE(2023,4,30))-MAX(D375,DATE(2018,9,24)))/365)
+
CEILING(MOD((MIN(Y375,DATE(2023,4,30))-MAX(D375,DATE(2018,9,24)))/365,1),0.25)
)
*1,
K375*
(
DATEDIF(MAX(D375,DATE(2018,9,24)),MIN(Y375,DATE(2023,4,30)),"m")+1
)
*
_xlfn.SWITCH(J375,
"موقف/تندة",IF(D375&lt;DATE(2019,11,30),6,30),
"تشوينات",IF(D375&lt;DATE(2019,11,30),4,20),
"مشاتل",IF(D375&lt;DATE(2019,11,30),2,10),
"كافيتيريا",IF(D375&lt;DATE(2019,11,30),30,150),
"نوادي",IF(D375&lt;DATE(2019,11,30),6,30),
"رسو مراكب",IF(D375&lt;DATE(2019,11,30),2,10),
"مباني",IF(D375&lt;DATE(2018,9,24),2,10),
"عشش",IF(D375&lt;DATE(2019,11,30),2,10),
"كشك (تجاري/صناعي)",IF(D375&lt;DATE(2019,11,30),10,50),
"ردم",20,
0)))</f>
        <v>1680</v>
      </c>
      <c r="AC375" s="1" cm="1">
        <f t="array" aca="1" ref="AC375" ca="1">IF(Y375&lt;DATE(2023,5,1),0,
IF(J375="زراعة",
K375*
(
INT((Y375-MAX(DATE(2023,5,1),D375))/365)
+
CEILING(MOD((Y375-MAX(DATE(2023,5,1),D375))/365,1),0.25)
)
*3,
IF(J375="ردم",
K375*20,
K375*
(
DATEDIF(MAX(DATE(2023,5,1),D375),Y375,"m")+1
)
*
_xlfn.SWITCH(J375,
"موقف/تندة",6,
"تشوينات",4,
"مشاتل",2,
"رسو مراكب",6,
"مباني",3,
"عشش",1,
"كشك (تجاري/صناعي)",20,
"مواسير صرف صحي (&lt;1م)",16,
"مواسير صرف صحي (&gt;1م)",18,
0))))</f>
        <v>1665</v>
      </c>
      <c r="AD375" s="1">
        <f t="shared" ca="1" si="34"/>
        <v>55</v>
      </c>
    </row>
    <row r="376" spans="1:30" ht="18.75" x14ac:dyDescent="0.25">
      <c r="A376" s="52">
        <v>333</v>
      </c>
      <c r="B376" s="6">
        <v>77</v>
      </c>
      <c r="C376" s="6">
        <v>2017</v>
      </c>
      <c r="D376" s="7">
        <v>42936</v>
      </c>
      <c r="E376" s="12" t="s">
        <v>516</v>
      </c>
      <c r="F376" s="6"/>
      <c r="G376" s="6" t="s">
        <v>448</v>
      </c>
      <c r="H376" s="6"/>
      <c r="I376" s="6" t="s">
        <v>105</v>
      </c>
      <c r="J376" s="3" t="s">
        <v>27</v>
      </c>
      <c r="K376" s="6">
        <v>15</v>
      </c>
      <c r="L376" s="3" t="s">
        <v>90</v>
      </c>
      <c r="M376" s="7"/>
      <c r="N376" s="6"/>
      <c r="O376" s="9">
        <f>0.47*Table2[[#This Row],[قيمة المحضر]]</f>
        <v>0</v>
      </c>
      <c r="P376" s="9">
        <f>0.17*Table2[[#This Row],[قيمة المحضر]]</f>
        <v>0</v>
      </c>
      <c r="Q376" s="9">
        <f t="shared" ca="1" si="35"/>
        <v>3495</v>
      </c>
      <c r="R376" s="3"/>
      <c r="S376" s="3"/>
      <c r="T376" s="9" t="str">
        <f t="shared" si="36"/>
        <v>-</v>
      </c>
      <c r="U376" s="3" t="s">
        <v>25</v>
      </c>
      <c r="V376" s="9" t="str">
        <f t="shared" si="37"/>
        <v>-</v>
      </c>
      <c r="W376" s="4"/>
      <c r="X376" s="38"/>
      <c r="Y376" s="1">
        <f t="shared" ca="1" si="33"/>
        <v>46162</v>
      </c>
      <c r="Z376" s="1" cm="1">
        <f t="array" ref="Z376">IF(D376&gt;DATE(2015,5,16),0,
K376*
(
INT((MIN(Y376,DATE(2015,5,16))-D376)/365)
+
CEILING(MOD((MIN(Y376,DATE(2015,5,16))-D376)/365,1),0.25)
)
*
_xlfn.SWITCH(J376,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76" s="1" cm="1">
        <f t="array" aca="1" ref="AA376" ca="1">IF(Y376&lt;DATE(2015,5,17),0,
K376*
(
INT((MIN(Y376,DATE(2018,9,23))-MAX(D376,DATE(2015,5,17)))/365)
+
CEILING(MOD((MIN(Y376,DATE(2018,9,23))-MAX(D376,DATE(2015,5,17)))/365,1),0.25)
)
*
_xlfn.SWITCH(J376,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150</v>
      </c>
      <c r="AB376" s="1" cm="1">
        <f t="array" aca="1" ref="AB376" ca="1">IF(Y376&lt;DATE(2018,9,24),0,
IF(J376="زراعة",
K376*
(
INT((MIN(Y376,DATE(2023,4,30))-MAX(D376,DATE(2018,9,24)))/365)
+
CEILING(MOD((MIN(Y376,DATE(2023,4,30))-MAX(D376,DATE(2018,9,24)))/365,1),0.25)
)
*1,
K376*
(
DATEDIF(MAX(D376,DATE(2018,9,24)),MIN(Y376,DATE(2023,4,30)),"m")+1
)
*
_xlfn.SWITCH(J376,
"موقف/تندة",IF(D376&lt;DATE(2019,11,30),6,30),
"تشوينات",IF(D376&lt;DATE(2019,11,30),4,20),
"مشاتل",IF(D376&lt;DATE(2019,11,30),2,10),
"كافيتيريا",IF(D376&lt;DATE(2019,11,30),30,150),
"نوادي",IF(D376&lt;DATE(2019,11,30),6,30),
"رسو مراكب",IF(D376&lt;DATE(2019,11,30),2,10),
"مباني",IF(D376&lt;DATE(2018,9,24),2,10),
"عشش",IF(D376&lt;DATE(2019,11,30),2,10),
"كشك (تجاري/صناعي)",IF(D376&lt;DATE(2019,11,30),10,50),
"ردم",20,
0)))</f>
        <v>1680</v>
      </c>
      <c r="AC376" s="1" cm="1">
        <f t="array" aca="1" ref="AC376" ca="1">IF(Y376&lt;DATE(2023,5,1),0,
IF(J376="زراعة",
K376*
(
INT((Y376-MAX(DATE(2023,5,1),D376))/365)
+
CEILING(MOD((Y376-MAX(DATE(2023,5,1),D376))/365,1),0.25)
)
*3,
IF(J376="ردم",
K376*20,
K376*
(
DATEDIF(MAX(DATE(2023,5,1),D376),Y376,"m")+1
)
*
_xlfn.SWITCH(J376,
"موقف/تندة",6,
"تشوينات",4,
"مشاتل",2,
"رسو مراكب",6,
"مباني",3,
"عشش",1,
"كشك (تجاري/صناعي)",20,
"مواسير صرف صحي (&lt;1م)",16,
"مواسير صرف صحي (&gt;1م)",18,
0))))</f>
        <v>1665</v>
      </c>
      <c r="AD376" s="1">
        <f t="shared" ca="1" si="34"/>
        <v>55</v>
      </c>
    </row>
    <row r="377" spans="1:30" ht="18.75" x14ac:dyDescent="0.25">
      <c r="A377" s="52">
        <v>334</v>
      </c>
      <c r="B377" s="6">
        <v>78</v>
      </c>
      <c r="C377" s="6">
        <v>2017</v>
      </c>
      <c r="D377" s="7">
        <v>42936</v>
      </c>
      <c r="E377" s="12" t="s">
        <v>517</v>
      </c>
      <c r="F377" s="6"/>
      <c r="G377" s="6" t="s">
        <v>449</v>
      </c>
      <c r="H377" s="6"/>
      <c r="I377" s="6" t="s">
        <v>105</v>
      </c>
      <c r="J377" s="3" t="s">
        <v>27</v>
      </c>
      <c r="K377" s="6">
        <v>15</v>
      </c>
      <c r="L377" s="3" t="s">
        <v>90</v>
      </c>
      <c r="M377" s="7"/>
      <c r="N377" s="6"/>
      <c r="O377" s="9">
        <f>0.47*Table2[[#This Row],[قيمة المحضر]]</f>
        <v>0</v>
      </c>
      <c r="P377" s="9">
        <f>0.17*Table2[[#This Row],[قيمة المحضر]]</f>
        <v>0</v>
      </c>
      <c r="Q377" s="9">
        <f t="shared" ca="1" si="35"/>
        <v>3495</v>
      </c>
      <c r="R377" s="3"/>
      <c r="S377" s="3"/>
      <c r="T377" s="9" t="str">
        <f t="shared" si="36"/>
        <v>-</v>
      </c>
      <c r="U377" s="3" t="s">
        <v>25</v>
      </c>
      <c r="V377" s="9" t="str">
        <f t="shared" si="37"/>
        <v>-</v>
      </c>
      <c r="W377" s="4"/>
      <c r="X377" s="38"/>
      <c r="Y377" s="1">
        <f t="shared" ca="1" si="33"/>
        <v>46162</v>
      </c>
      <c r="Z377" s="1" cm="1">
        <f t="array" ref="Z377">IF(D377&gt;DATE(2015,5,16),0,
K377*
(
INT((MIN(Y377,DATE(2015,5,16))-D377)/365)
+
CEILING(MOD((MIN(Y377,DATE(2015,5,16))-D377)/365,1),0.25)
)
*
_xlfn.SWITCH(J377,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77" s="1" cm="1">
        <f t="array" aca="1" ref="AA377" ca="1">IF(Y377&lt;DATE(2015,5,17),0,
K377*
(
INT((MIN(Y377,DATE(2018,9,23))-MAX(D377,DATE(2015,5,17)))/365)
+
CEILING(MOD((MIN(Y377,DATE(2018,9,23))-MAX(D377,DATE(2015,5,17)))/365,1),0.25)
)
*
_xlfn.SWITCH(J377,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150</v>
      </c>
      <c r="AB377" s="1" cm="1">
        <f t="array" aca="1" ref="AB377" ca="1">IF(Y377&lt;DATE(2018,9,24),0,
IF(J377="زراعة",
K377*
(
INT((MIN(Y377,DATE(2023,4,30))-MAX(D377,DATE(2018,9,24)))/365)
+
CEILING(MOD((MIN(Y377,DATE(2023,4,30))-MAX(D377,DATE(2018,9,24)))/365,1),0.25)
)
*1,
K377*
(
DATEDIF(MAX(D377,DATE(2018,9,24)),MIN(Y377,DATE(2023,4,30)),"m")+1
)
*
_xlfn.SWITCH(J377,
"موقف/تندة",IF(D377&lt;DATE(2019,11,30),6,30),
"تشوينات",IF(D377&lt;DATE(2019,11,30),4,20),
"مشاتل",IF(D377&lt;DATE(2019,11,30),2,10),
"كافيتيريا",IF(D377&lt;DATE(2019,11,30),30,150),
"نوادي",IF(D377&lt;DATE(2019,11,30),6,30),
"رسو مراكب",IF(D377&lt;DATE(2019,11,30),2,10),
"مباني",IF(D377&lt;DATE(2018,9,24),2,10),
"عشش",IF(D377&lt;DATE(2019,11,30),2,10),
"كشك (تجاري/صناعي)",IF(D377&lt;DATE(2019,11,30),10,50),
"ردم",20,
0)))</f>
        <v>1680</v>
      </c>
      <c r="AC377" s="1" cm="1">
        <f t="array" aca="1" ref="AC377" ca="1">IF(Y377&lt;DATE(2023,5,1),0,
IF(J377="زراعة",
K377*
(
INT((Y377-MAX(DATE(2023,5,1),D377))/365)
+
CEILING(MOD((Y377-MAX(DATE(2023,5,1),D377))/365,1),0.25)
)
*3,
IF(J377="ردم",
K377*20,
K377*
(
DATEDIF(MAX(DATE(2023,5,1),D377),Y377,"m")+1
)
*
_xlfn.SWITCH(J377,
"موقف/تندة",6,
"تشوينات",4,
"مشاتل",2,
"رسو مراكب",6,
"مباني",3,
"عشش",1,
"كشك (تجاري/صناعي)",20,
"مواسير صرف صحي (&lt;1م)",16,
"مواسير صرف صحي (&gt;1م)",18,
0))))</f>
        <v>1665</v>
      </c>
      <c r="AD377" s="1">
        <f t="shared" ca="1" si="34"/>
        <v>55</v>
      </c>
    </row>
    <row r="378" spans="1:30" ht="18.75" x14ac:dyDescent="0.25">
      <c r="A378" s="52">
        <v>335</v>
      </c>
      <c r="B378" s="6">
        <v>79</v>
      </c>
      <c r="C378" s="6">
        <v>2017</v>
      </c>
      <c r="D378" s="7">
        <v>42936</v>
      </c>
      <c r="E378" s="12" t="s">
        <v>518</v>
      </c>
      <c r="F378" s="6"/>
      <c r="G378" s="6" t="s">
        <v>450</v>
      </c>
      <c r="H378" s="6"/>
      <c r="I378" s="6" t="s">
        <v>105</v>
      </c>
      <c r="J378" s="3" t="s">
        <v>27</v>
      </c>
      <c r="K378" s="6">
        <v>15</v>
      </c>
      <c r="L378" s="3" t="s">
        <v>90</v>
      </c>
      <c r="M378" s="7"/>
      <c r="N378" s="6"/>
      <c r="O378" s="9">
        <f>0.47*Table2[[#This Row],[قيمة المحضر]]</f>
        <v>0</v>
      </c>
      <c r="P378" s="9">
        <f>0.17*Table2[[#This Row],[قيمة المحضر]]</f>
        <v>0</v>
      </c>
      <c r="Q378" s="9">
        <f t="shared" ca="1" si="35"/>
        <v>3495</v>
      </c>
      <c r="R378" s="3"/>
      <c r="S378" s="3"/>
      <c r="T378" s="9" t="str">
        <f t="shared" si="36"/>
        <v>-</v>
      </c>
      <c r="U378" s="3" t="s">
        <v>25</v>
      </c>
      <c r="V378" s="9" t="str">
        <f t="shared" si="37"/>
        <v>-</v>
      </c>
      <c r="W378" s="4"/>
      <c r="X378" s="38"/>
      <c r="Y378" s="1">
        <f t="shared" ca="1" si="33"/>
        <v>46162</v>
      </c>
      <c r="Z378" s="1" cm="1">
        <f t="array" ref="Z378">IF(D378&gt;DATE(2015,5,16),0,
K378*
(
INT((MIN(Y378,DATE(2015,5,16))-D378)/365)
+
CEILING(MOD((MIN(Y378,DATE(2015,5,16))-D378)/365,1),0.25)
)
*
_xlfn.SWITCH(J378,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78" s="1" cm="1">
        <f t="array" aca="1" ref="AA378" ca="1">IF(Y378&lt;DATE(2015,5,17),0,
K378*
(
INT((MIN(Y378,DATE(2018,9,23))-MAX(D378,DATE(2015,5,17)))/365)
+
CEILING(MOD((MIN(Y378,DATE(2018,9,23))-MAX(D378,DATE(2015,5,17)))/365,1),0.25)
)
*
_xlfn.SWITCH(J378,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150</v>
      </c>
      <c r="AB378" s="1" cm="1">
        <f t="array" aca="1" ref="AB378" ca="1">IF(Y378&lt;DATE(2018,9,24),0,
IF(J378="زراعة",
K378*
(
INT((MIN(Y378,DATE(2023,4,30))-MAX(D378,DATE(2018,9,24)))/365)
+
CEILING(MOD((MIN(Y378,DATE(2023,4,30))-MAX(D378,DATE(2018,9,24)))/365,1),0.25)
)
*1,
K378*
(
DATEDIF(MAX(D378,DATE(2018,9,24)),MIN(Y378,DATE(2023,4,30)),"m")+1
)
*
_xlfn.SWITCH(J378,
"موقف/تندة",IF(D378&lt;DATE(2019,11,30),6,30),
"تشوينات",IF(D378&lt;DATE(2019,11,30),4,20),
"مشاتل",IF(D378&lt;DATE(2019,11,30),2,10),
"كافيتيريا",IF(D378&lt;DATE(2019,11,30),30,150),
"نوادي",IF(D378&lt;DATE(2019,11,30),6,30),
"رسو مراكب",IF(D378&lt;DATE(2019,11,30),2,10),
"مباني",IF(D378&lt;DATE(2018,9,24),2,10),
"عشش",IF(D378&lt;DATE(2019,11,30),2,10),
"كشك (تجاري/صناعي)",IF(D378&lt;DATE(2019,11,30),10,50),
"ردم",20,
0)))</f>
        <v>1680</v>
      </c>
      <c r="AC378" s="1" cm="1">
        <f t="array" aca="1" ref="AC378" ca="1">IF(Y378&lt;DATE(2023,5,1),0,
IF(J378="زراعة",
K378*
(
INT((Y378-MAX(DATE(2023,5,1),D378))/365)
+
CEILING(MOD((Y378-MAX(DATE(2023,5,1),D378))/365,1),0.25)
)
*3,
IF(J378="ردم",
K378*20,
K378*
(
DATEDIF(MAX(DATE(2023,5,1),D378),Y378,"m")+1
)
*
_xlfn.SWITCH(J378,
"موقف/تندة",6,
"تشوينات",4,
"مشاتل",2,
"رسو مراكب",6,
"مباني",3,
"عشش",1,
"كشك (تجاري/صناعي)",20,
"مواسير صرف صحي (&lt;1م)",16,
"مواسير صرف صحي (&gt;1م)",18,
0))))</f>
        <v>1665</v>
      </c>
      <c r="AD378" s="1">
        <f t="shared" ca="1" si="34"/>
        <v>55</v>
      </c>
    </row>
    <row r="379" spans="1:30" ht="18.75" x14ac:dyDescent="0.25">
      <c r="A379" s="52">
        <v>336</v>
      </c>
      <c r="B379" s="6">
        <v>80</v>
      </c>
      <c r="C379" s="6">
        <v>2017</v>
      </c>
      <c r="D379" s="7">
        <v>42936</v>
      </c>
      <c r="E379" s="12" t="s">
        <v>519</v>
      </c>
      <c r="F379" s="6"/>
      <c r="G379" s="6" t="s">
        <v>451</v>
      </c>
      <c r="H379" s="6"/>
      <c r="I379" s="6" t="s">
        <v>105</v>
      </c>
      <c r="J379" s="3" t="s">
        <v>27</v>
      </c>
      <c r="K379" s="6">
        <v>18</v>
      </c>
      <c r="L379" s="3" t="s">
        <v>90</v>
      </c>
      <c r="M379" s="7"/>
      <c r="N379" s="6"/>
      <c r="O379" s="9">
        <f>0.47*Table2[[#This Row],[قيمة المحضر]]</f>
        <v>0</v>
      </c>
      <c r="P379" s="9">
        <f>0.17*Table2[[#This Row],[قيمة المحضر]]</f>
        <v>0</v>
      </c>
      <c r="Q379" s="9">
        <f t="shared" ca="1" si="35"/>
        <v>4194</v>
      </c>
      <c r="R379" s="3"/>
      <c r="S379" s="3"/>
      <c r="T379" s="9" t="str">
        <f t="shared" si="36"/>
        <v>-</v>
      </c>
      <c r="U379" s="3" t="s">
        <v>25</v>
      </c>
      <c r="V379" s="9" t="str">
        <f t="shared" si="37"/>
        <v>-</v>
      </c>
      <c r="W379" s="4"/>
      <c r="X379" s="38"/>
      <c r="Y379" s="1">
        <f t="shared" ca="1" si="33"/>
        <v>46162</v>
      </c>
      <c r="Z379" s="1" cm="1">
        <f t="array" ref="Z379">IF(D379&gt;DATE(2015,5,16),0,
K379*
(
INT((MIN(Y379,DATE(2015,5,16))-D379)/365)
+
CEILING(MOD((MIN(Y379,DATE(2015,5,16))-D379)/365,1),0.25)
)
*
_xlfn.SWITCH(J379,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79" s="1" cm="1">
        <f t="array" aca="1" ref="AA379" ca="1">IF(Y379&lt;DATE(2015,5,17),0,
K379*
(
INT((MIN(Y379,DATE(2018,9,23))-MAX(D379,DATE(2015,5,17)))/365)
+
CEILING(MOD((MIN(Y379,DATE(2018,9,23))-MAX(D379,DATE(2015,5,17)))/365,1),0.25)
)
*
_xlfn.SWITCH(J379,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180</v>
      </c>
      <c r="AB379" s="1" cm="1">
        <f t="array" aca="1" ref="AB379" ca="1">IF(Y379&lt;DATE(2018,9,24),0,
IF(J379="زراعة",
K379*
(
INT((MIN(Y379,DATE(2023,4,30))-MAX(D379,DATE(2018,9,24)))/365)
+
CEILING(MOD((MIN(Y379,DATE(2023,4,30))-MAX(D379,DATE(2018,9,24)))/365,1),0.25)
)
*1,
K379*
(
DATEDIF(MAX(D379,DATE(2018,9,24)),MIN(Y379,DATE(2023,4,30)),"m")+1
)
*
_xlfn.SWITCH(J379,
"موقف/تندة",IF(D379&lt;DATE(2019,11,30),6,30),
"تشوينات",IF(D379&lt;DATE(2019,11,30),4,20),
"مشاتل",IF(D379&lt;DATE(2019,11,30),2,10),
"كافيتيريا",IF(D379&lt;DATE(2019,11,30),30,150),
"نوادي",IF(D379&lt;DATE(2019,11,30),6,30),
"رسو مراكب",IF(D379&lt;DATE(2019,11,30),2,10),
"مباني",IF(D379&lt;DATE(2018,9,24),2,10),
"عشش",IF(D379&lt;DATE(2019,11,30),2,10),
"كشك (تجاري/صناعي)",IF(D379&lt;DATE(2019,11,30),10,50),
"ردم",20,
0)))</f>
        <v>2016</v>
      </c>
      <c r="AC379" s="1" cm="1">
        <f t="array" aca="1" ref="AC379" ca="1">IF(Y379&lt;DATE(2023,5,1),0,
IF(J379="زراعة",
K379*
(
INT((Y379-MAX(DATE(2023,5,1),D379))/365)
+
CEILING(MOD((Y379-MAX(DATE(2023,5,1),D379))/365,1),0.25)
)
*3,
IF(J379="ردم",
K379*20,
K379*
(
DATEDIF(MAX(DATE(2023,5,1),D379),Y379,"m")+1
)
*
_xlfn.SWITCH(J379,
"موقف/تندة",6,
"تشوينات",4,
"مشاتل",2,
"رسو مراكب",6,
"مباني",3,
"عشش",1,
"كشك (تجاري/صناعي)",20,
"مواسير صرف صحي (&lt;1م)",16,
"مواسير صرف صحي (&gt;1م)",18,
0))))</f>
        <v>1998</v>
      </c>
      <c r="AD379" s="1">
        <f t="shared" ca="1" si="34"/>
        <v>55</v>
      </c>
    </row>
    <row r="380" spans="1:30" ht="18.75" x14ac:dyDescent="0.25">
      <c r="A380" s="52">
        <v>337</v>
      </c>
      <c r="B380" s="6">
        <v>81</v>
      </c>
      <c r="C380" s="6">
        <v>2017</v>
      </c>
      <c r="D380" s="7">
        <v>42936</v>
      </c>
      <c r="E380" s="12" t="s">
        <v>520</v>
      </c>
      <c r="F380" s="6"/>
      <c r="G380" s="6" t="s">
        <v>452</v>
      </c>
      <c r="H380" s="6"/>
      <c r="I380" s="6" t="s">
        <v>105</v>
      </c>
      <c r="J380" s="3" t="s">
        <v>27</v>
      </c>
      <c r="K380" s="6">
        <v>21</v>
      </c>
      <c r="L380" s="3" t="s">
        <v>90</v>
      </c>
      <c r="M380" s="7"/>
      <c r="N380" s="6"/>
      <c r="O380" s="9">
        <f>0.47*Table2[[#This Row],[قيمة المحضر]]</f>
        <v>0</v>
      </c>
      <c r="P380" s="9">
        <f>0.17*Table2[[#This Row],[قيمة المحضر]]</f>
        <v>0</v>
      </c>
      <c r="Q380" s="9">
        <f t="shared" ca="1" si="35"/>
        <v>4893</v>
      </c>
      <c r="R380" s="3"/>
      <c r="S380" s="3"/>
      <c r="T380" s="9" t="str">
        <f t="shared" si="36"/>
        <v>-</v>
      </c>
      <c r="U380" s="3" t="s">
        <v>25</v>
      </c>
      <c r="V380" s="9" t="str">
        <f t="shared" si="37"/>
        <v>-</v>
      </c>
      <c r="W380" s="4"/>
      <c r="X380" s="38"/>
      <c r="Y380" s="1">
        <f t="shared" ca="1" si="33"/>
        <v>46162</v>
      </c>
      <c r="Z380" s="1" cm="1">
        <f t="array" ref="Z380">IF(D380&gt;DATE(2015,5,16),0,
K380*
(
INT((MIN(Y380,DATE(2015,5,16))-D380)/365)
+
CEILING(MOD((MIN(Y380,DATE(2015,5,16))-D380)/365,1),0.25)
)
*
_xlfn.SWITCH(J380,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80" s="1" cm="1">
        <f t="array" aca="1" ref="AA380" ca="1">IF(Y380&lt;DATE(2015,5,17),0,
K380*
(
INT((MIN(Y380,DATE(2018,9,23))-MAX(D380,DATE(2015,5,17)))/365)
+
CEILING(MOD((MIN(Y380,DATE(2018,9,23))-MAX(D380,DATE(2015,5,17)))/365,1),0.25)
)
*
_xlfn.SWITCH(J380,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210</v>
      </c>
      <c r="AB380" s="1" cm="1">
        <f t="array" aca="1" ref="AB380" ca="1">IF(Y380&lt;DATE(2018,9,24),0,
IF(J380="زراعة",
K380*
(
INT((MIN(Y380,DATE(2023,4,30))-MAX(D380,DATE(2018,9,24)))/365)
+
CEILING(MOD((MIN(Y380,DATE(2023,4,30))-MAX(D380,DATE(2018,9,24)))/365,1),0.25)
)
*1,
K380*
(
DATEDIF(MAX(D380,DATE(2018,9,24)),MIN(Y380,DATE(2023,4,30)),"m")+1
)
*
_xlfn.SWITCH(J380,
"موقف/تندة",IF(D380&lt;DATE(2019,11,30),6,30),
"تشوينات",IF(D380&lt;DATE(2019,11,30),4,20),
"مشاتل",IF(D380&lt;DATE(2019,11,30),2,10),
"كافيتيريا",IF(D380&lt;DATE(2019,11,30),30,150),
"نوادي",IF(D380&lt;DATE(2019,11,30),6,30),
"رسو مراكب",IF(D380&lt;DATE(2019,11,30),2,10),
"مباني",IF(D380&lt;DATE(2018,9,24),2,10),
"عشش",IF(D380&lt;DATE(2019,11,30),2,10),
"كشك (تجاري/صناعي)",IF(D380&lt;DATE(2019,11,30),10,50),
"ردم",20,
0)))</f>
        <v>2352</v>
      </c>
      <c r="AC380" s="1" cm="1">
        <f t="array" aca="1" ref="AC380" ca="1">IF(Y380&lt;DATE(2023,5,1),0,
IF(J380="زراعة",
K380*
(
INT((Y380-MAX(DATE(2023,5,1),D380))/365)
+
CEILING(MOD((Y380-MAX(DATE(2023,5,1),D380))/365,1),0.25)
)
*3,
IF(J380="ردم",
K380*20,
K380*
(
DATEDIF(MAX(DATE(2023,5,1),D380),Y380,"m")+1
)
*
_xlfn.SWITCH(J380,
"موقف/تندة",6,
"تشوينات",4,
"مشاتل",2,
"رسو مراكب",6,
"مباني",3,
"عشش",1,
"كشك (تجاري/صناعي)",20,
"مواسير صرف صحي (&lt;1م)",16,
"مواسير صرف صحي (&gt;1م)",18,
0))))</f>
        <v>2331</v>
      </c>
      <c r="AD380" s="1">
        <f t="shared" ca="1" si="34"/>
        <v>55</v>
      </c>
    </row>
    <row r="381" spans="1:30" ht="18.75" x14ac:dyDescent="0.25">
      <c r="A381" s="52">
        <v>338</v>
      </c>
      <c r="B381" s="6">
        <v>82</v>
      </c>
      <c r="C381" s="6">
        <v>2017</v>
      </c>
      <c r="D381" s="7">
        <v>42936</v>
      </c>
      <c r="E381" s="12" t="s">
        <v>521</v>
      </c>
      <c r="F381" s="6"/>
      <c r="G381" s="6" t="s">
        <v>453</v>
      </c>
      <c r="H381" s="6"/>
      <c r="I381" s="6" t="s">
        <v>105</v>
      </c>
      <c r="J381" s="3" t="s">
        <v>27</v>
      </c>
      <c r="K381" s="6">
        <v>21</v>
      </c>
      <c r="L381" s="3" t="s">
        <v>90</v>
      </c>
      <c r="M381" s="7"/>
      <c r="N381" s="6"/>
      <c r="O381" s="9">
        <f>0.47*Table2[[#This Row],[قيمة المحضر]]</f>
        <v>0</v>
      </c>
      <c r="P381" s="9">
        <f>0.17*Table2[[#This Row],[قيمة المحضر]]</f>
        <v>0</v>
      </c>
      <c r="Q381" s="9">
        <f t="shared" ca="1" si="35"/>
        <v>4893</v>
      </c>
      <c r="R381" s="3"/>
      <c r="S381" s="3"/>
      <c r="T381" s="9" t="str">
        <f t="shared" si="36"/>
        <v>-</v>
      </c>
      <c r="U381" s="3" t="s">
        <v>25</v>
      </c>
      <c r="V381" s="9" t="str">
        <f t="shared" si="37"/>
        <v>-</v>
      </c>
      <c r="W381" s="4"/>
      <c r="X381" s="38"/>
      <c r="Y381" s="1">
        <f t="shared" ca="1" si="33"/>
        <v>46162</v>
      </c>
      <c r="Z381" s="1" cm="1">
        <f t="array" ref="Z381">IF(D381&gt;DATE(2015,5,16),0,
K381*
(
INT((MIN(Y381,DATE(2015,5,16))-D381)/365)
+
CEILING(MOD((MIN(Y381,DATE(2015,5,16))-D381)/365,1),0.25)
)
*
_xlfn.SWITCH(J381,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81" s="1" cm="1">
        <f t="array" aca="1" ref="AA381" ca="1">IF(Y381&lt;DATE(2015,5,17),0,
K381*
(
INT((MIN(Y381,DATE(2018,9,23))-MAX(D381,DATE(2015,5,17)))/365)
+
CEILING(MOD((MIN(Y381,DATE(2018,9,23))-MAX(D381,DATE(2015,5,17)))/365,1),0.25)
)
*
_xlfn.SWITCH(J381,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210</v>
      </c>
      <c r="AB381" s="1" cm="1">
        <f t="array" aca="1" ref="AB381" ca="1">IF(Y381&lt;DATE(2018,9,24),0,
IF(J381="زراعة",
K381*
(
INT((MIN(Y381,DATE(2023,4,30))-MAX(D381,DATE(2018,9,24)))/365)
+
CEILING(MOD((MIN(Y381,DATE(2023,4,30))-MAX(D381,DATE(2018,9,24)))/365,1),0.25)
)
*1,
K381*
(
DATEDIF(MAX(D381,DATE(2018,9,24)),MIN(Y381,DATE(2023,4,30)),"m")+1
)
*
_xlfn.SWITCH(J381,
"موقف/تندة",IF(D381&lt;DATE(2019,11,30),6,30),
"تشوينات",IF(D381&lt;DATE(2019,11,30),4,20),
"مشاتل",IF(D381&lt;DATE(2019,11,30),2,10),
"كافيتيريا",IF(D381&lt;DATE(2019,11,30),30,150),
"نوادي",IF(D381&lt;DATE(2019,11,30),6,30),
"رسو مراكب",IF(D381&lt;DATE(2019,11,30),2,10),
"مباني",IF(D381&lt;DATE(2018,9,24),2,10),
"عشش",IF(D381&lt;DATE(2019,11,30),2,10),
"كشك (تجاري/صناعي)",IF(D381&lt;DATE(2019,11,30),10,50),
"ردم",20,
0)))</f>
        <v>2352</v>
      </c>
      <c r="AC381" s="1" cm="1">
        <f t="array" aca="1" ref="AC381" ca="1">IF(Y381&lt;DATE(2023,5,1),0,
IF(J381="زراعة",
K381*
(
INT((Y381-MAX(DATE(2023,5,1),D381))/365)
+
CEILING(MOD((Y381-MAX(DATE(2023,5,1),D381))/365,1),0.25)
)
*3,
IF(J381="ردم",
K381*20,
K381*
(
DATEDIF(MAX(DATE(2023,5,1),D381),Y381,"m")+1
)
*
_xlfn.SWITCH(J381,
"موقف/تندة",6,
"تشوينات",4,
"مشاتل",2,
"رسو مراكب",6,
"مباني",3,
"عشش",1,
"كشك (تجاري/صناعي)",20,
"مواسير صرف صحي (&lt;1م)",16,
"مواسير صرف صحي (&gt;1م)",18,
0))))</f>
        <v>2331</v>
      </c>
      <c r="AD381" s="1">
        <f t="shared" ca="1" si="34"/>
        <v>55</v>
      </c>
    </row>
    <row r="382" spans="1:30" ht="18.75" x14ac:dyDescent="0.25">
      <c r="A382" s="52">
        <v>339</v>
      </c>
      <c r="B382" s="6">
        <v>83</v>
      </c>
      <c r="C382" s="6">
        <v>2017</v>
      </c>
      <c r="D382" s="7">
        <v>42936</v>
      </c>
      <c r="E382" s="12" t="s">
        <v>522</v>
      </c>
      <c r="F382" s="6"/>
      <c r="G382" s="6" t="s">
        <v>454</v>
      </c>
      <c r="H382" s="6"/>
      <c r="I382" s="6" t="s">
        <v>105</v>
      </c>
      <c r="J382" s="3" t="s">
        <v>27</v>
      </c>
      <c r="K382" s="6">
        <v>18</v>
      </c>
      <c r="L382" s="3" t="s">
        <v>90</v>
      </c>
      <c r="M382" s="7"/>
      <c r="N382" s="6"/>
      <c r="O382" s="9">
        <f>0.47*Table2[[#This Row],[قيمة المحضر]]</f>
        <v>0</v>
      </c>
      <c r="P382" s="9">
        <f>0.17*Table2[[#This Row],[قيمة المحضر]]</f>
        <v>0</v>
      </c>
      <c r="Q382" s="9">
        <f t="shared" ca="1" si="35"/>
        <v>4194</v>
      </c>
      <c r="R382" s="3"/>
      <c r="S382" s="3"/>
      <c r="T382" s="9" t="str">
        <f t="shared" si="36"/>
        <v>-</v>
      </c>
      <c r="U382" s="3" t="s">
        <v>25</v>
      </c>
      <c r="V382" s="9" t="str">
        <f t="shared" si="37"/>
        <v>-</v>
      </c>
      <c r="W382" s="4"/>
      <c r="X382" s="38"/>
      <c r="Y382" s="1">
        <f t="shared" ca="1" si="33"/>
        <v>46162</v>
      </c>
      <c r="Z382" s="1" cm="1">
        <f t="array" ref="Z382">IF(D382&gt;DATE(2015,5,16),0,
K382*
(
INT((MIN(Y382,DATE(2015,5,16))-D382)/365)
+
CEILING(MOD((MIN(Y382,DATE(2015,5,16))-D382)/365,1),0.25)
)
*
_xlfn.SWITCH(J382,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82" s="1" cm="1">
        <f t="array" aca="1" ref="AA382" ca="1">IF(Y382&lt;DATE(2015,5,17),0,
K382*
(
INT((MIN(Y382,DATE(2018,9,23))-MAX(D382,DATE(2015,5,17)))/365)
+
CEILING(MOD((MIN(Y382,DATE(2018,9,23))-MAX(D382,DATE(2015,5,17)))/365,1),0.25)
)
*
_xlfn.SWITCH(J382,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180</v>
      </c>
      <c r="AB382" s="1" cm="1">
        <f t="array" aca="1" ref="AB382" ca="1">IF(Y382&lt;DATE(2018,9,24),0,
IF(J382="زراعة",
K382*
(
INT((MIN(Y382,DATE(2023,4,30))-MAX(D382,DATE(2018,9,24)))/365)
+
CEILING(MOD((MIN(Y382,DATE(2023,4,30))-MAX(D382,DATE(2018,9,24)))/365,1),0.25)
)
*1,
K382*
(
DATEDIF(MAX(D382,DATE(2018,9,24)),MIN(Y382,DATE(2023,4,30)),"m")+1
)
*
_xlfn.SWITCH(J382,
"موقف/تندة",IF(D382&lt;DATE(2019,11,30),6,30),
"تشوينات",IF(D382&lt;DATE(2019,11,30),4,20),
"مشاتل",IF(D382&lt;DATE(2019,11,30),2,10),
"كافيتيريا",IF(D382&lt;DATE(2019,11,30),30,150),
"نوادي",IF(D382&lt;DATE(2019,11,30),6,30),
"رسو مراكب",IF(D382&lt;DATE(2019,11,30),2,10),
"مباني",IF(D382&lt;DATE(2018,9,24),2,10),
"عشش",IF(D382&lt;DATE(2019,11,30),2,10),
"كشك (تجاري/صناعي)",IF(D382&lt;DATE(2019,11,30),10,50),
"ردم",20,
0)))</f>
        <v>2016</v>
      </c>
      <c r="AC382" s="1" cm="1">
        <f t="array" aca="1" ref="AC382" ca="1">IF(Y382&lt;DATE(2023,5,1),0,
IF(J382="زراعة",
K382*
(
INT((Y382-MAX(DATE(2023,5,1),D382))/365)
+
CEILING(MOD((Y382-MAX(DATE(2023,5,1),D382))/365,1),0.25)
)
*3,
IF(J382="ردم",
K382*20,
K382*
(
DATEDIF(MAX(DATE(2023,5,1),D382),Y382,"m")+1
)
*
_xlfn.SWITCH(J382,
"موقف/تندة",6,
"تشوينات",4,
"مشاتل",2,
"رسو مراكب",6,
"مباني",3,
"عشش",1,
"كشك (تجاري/صناعي)",20,
"مواسير صرف صحي (&lt;1م)",16,
"مواسير صرف صحي (&gt;1م)",18,
0))))</f>
        <v>1998</v>
      </c>
      <c r="AD382" s="1">
        <f t="shared" ca="1" si="34"/>
        <v>55</v>
      </c>
    </row>
    <row r="383" spans="1:30" ht="18.75" x14ac:dyDescent="0.25">
      <c r="A383" s="52">
        <v>340</v>
      </c>
      <c r="B383" s="6">
        <v>84</v>
      </c>
      <c r="C383" s="6">
        <v>2017</v>
      </c>
      <c r="D383" s="7">
        <v>42936</v>
      </c>
      <c r="E383" s="12" t="s">
        <v>523</v>
      </c>
      <c r="F383" s="6"/>
      <c r="G383" s="6" t="s">
        <v>455</v>
      </c>
      <c r="H383" s="6"/>
      <c r="I383" s="6" t="s">
        <v>105</v>
      </c>
      <c r="J383" s="3" t="s">
        <v>27</v>
      </c>
      <c r="K383" s="6">
        <v>21</v>
      </c>
      <c r="L383" s="3" t="s">
        <v>90</v>
      </c>
      <c r="M383" s="7"/>
      <c r="N383" s="6"/>
      <c r="O383" s="9">
        <f>0.47*Table2[[#This Row],[قيمة المحضر]]</f>
        <v>0</v>
      </c>
      <c r="P383" s="9">
        <f>0.17*Table2[[#This Row],[قيمة المحضر]]</f>
        <v>0</v>
      </c>
      <c r="Q383" s="9">
        <f t="shared" ca="1" si="35"/>
        <v>4893</v>
      </c>
      <c r="R383" s="3"/>
      <c r="S383" s="3"/>
      <c r="T383" s="9" t="str">
        <f t="shared" si="36"/>
        <v>-</v>
      </c>
      <c r="U383" s="3" t="s">
        <v>25</v>
      </c>
      <c r="V383" s="9" t="str">
        <f t="shared" si="37"/>
        <v>-</v>
      </c>
      <c r="W383" s="4"/>
      <c r="X383" s="38"/>
      <c r="Y383" s="1">
        <f t="shared" ca="1" si="33"/>
        <v>46162</v>
      </c>
      <c r="Z383" s="1" cm="1">
        <f t="array" ref="Z383">IF(D383&gt;DATE(2015,5,16),0,
K383*
(
INT((MIN(Y383,DATE(2015,5,16))-D383)/365)
+
CEILING(MOD((MIN(Y383,DATE(2015,5,16))-D383)/365,1),0.25)
)
*
_xlfn.SWITCH(J383,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83" s="1" cm="1">
        <f t="array" aca="1" ref="AA383" ca="1">IF(Y383&lt;DATE(2015,5,17),0,
K383*
(
INT((MIN(Y383,DATE(2018,9,23))-MAX(D383,DATE(2015,5,17)))/365)
+
CEILING(MOD((MIN(Y383,DATE(2018,9,23))-MAX(D383,DATE(2015,5,17)))/365,1),0.25)
)
*
_xlfn.SWITCH(J383,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210</v>
      </c>
      <c r="AB383" s="1" cm="1">
        <f t="array" aca="1" ref="AB383" ca="1">IF(Y383&lt;DATE(2018,9,24),0,
IF(J383="زراعة",
K383*
(
INT((MIN(Y383,DATE(2023,4,30))-MAX(D383,DATE(2018,9,24)))/365)
+
CEILING(MOD((MIN(Y383,DATE(2023,4,30))-MAX(D383,DATE(2018,9,24)))/365,1),0.25)
)
*1,
K383*
(
DATEDIF(MAX(D383,DATE(2018,9,24)),MIN(Y383,DATE(2023,4,30)),"m")+1
)
*
_xlfn.SWITCH(J383,
"موقف/تندة",IF(D383&lt;DATE(2019,11,30),6,30),
"تشوينات",IF(D383&lt;DATE(2019,11,30),4,20),
"مشاتل",IF(D383&lt;DATE(2019,11,30),2,10),
"كافيتيريا",IF(D383&lt;DATE(2019,11,30),30,150),
"نوادي",IF(D383&lt;DATE(2019,11,30),6,30),
"رسو مراكب",IF(D383&lt;DATE(2019,11,30),2,10),
"مباني",IF(D383&lt;DATE(2018,9,24),2,10),
"عشش",IF(D383&lt;DATE(2019,11,30),2,10),
"كشك (تجاري/صناعي)",IF(D383&lt;DATE(2019,11,30),10,50),
"ردم",20,
0)))</f>
        <v>2352</v>
      </c>
      <c r="AC383" s="1" cm="1">
        <f t="array" aca="1" ref="AC383" ca="1">IF(Y383&lt;DATE(2023,5,1),0,
IF(J383="زراعة",
K383*
(
INT((Y383-MAX(DATE(2023,5,1),D383))/365)
+
CEILING(MOD((Y383-MAX(DATE(2023,5,1),D383))/365,1),0.25)
)
*3,
IF(J383="ردم",
K383*20,
K383*
(
DATEDIF(MAX(DATE(2023,5,1),D383),Y383,"m")+1
)
*
_xlfn.SWITCH(J383,
"موقف/تندة",6,
"تشوينات",4,
"مشاتل",2,
"رسو مراكب",6,
"مباني",3,
"عشش",1,
"كشك (تجاري/صناعي)",20,
"مواسير صرف صحي (&lt;1م)",16,
"مواسير صرف صحي (&gt;1م)",18,
0))))</f>
        <v>2331</v>
      </c>
      <c r="AD383" s="1">
        <f t="shared" ca="1" si="34"/>
        <v>55</v>
      </c>
    </row>
    <row r="384" spans="1:30" ht="18.75" x14ac:dyDescent="0.25">
      <c r="A384" s="52">
        <v>341</v>
      </c>
      <c r="B384" s="6">
        <v>85</v>
      </c>
      <c r="C384" s="6">
        <v>2017</v>
      </c>
      <c r="D384" s="7">
        <v>42936</v>
      </c>
      <c r="E384" s="12" t="s">
        <v>524</v>
      </c>
      <c r="F384" s="6"/>
      <c r="G384" s="6" t="s">
        <v>456</v>
      </c>
      <c r="H384" s="6"/>
      <c r="I384" s="6" t="s">
        <v>33</v>
      </c>
      <c r="J384" s="3" t="s">
        <v>27</v>
      </c>
      <c r="K384" s="6">
        <v>60</v>
      </c>
      <c r="L384" s="3" t="s">
        <v>90</v>
      </c>
      <c r="M384" s="7"/>
      <c r="N384" s="6"/>
      <c r="O384" s="9">
        <f>0.47*Table2[[#This Row],[قيمة المحضر]]</f>
        <v>0</v>
      </c>
      <c r="P384" s="9">
        <f>0.17*Table2[[#This Row],[قيمة المحضر]]</f>
        <v>0</v>
      </c>
      <c r="Q384" s="9">
        <f t="shared" ca="1" si="35"/>
        <v>13980</v>
      </c>
      <c r="R384" s="3"/>
      <c r="S384" s="3"/>
      <c r="T384" s="9" t="str">
        <f t="shared" si="36"/>
        <v>-</v>
      </c>
      <c r="U384" s="3" t="s">
        <v>25</v>
      </c>
      <c r="V384" s="9" t="str">
        <f t="shared" si="37"/>
        <v>-</v>
      </c>
      <c r="W384" s="4"/>
      <c r="X384" s="38"/>
      <c r="Y384" s="1">
        <f t="shared" ca="1" si="33"/>
        <v>46162</v>
      </c>
      <c r="Z384" s="1" cm="1">
        <f t="array" ref="Z384">IF(D384&gt;DATE(2015,5,16),0,
K384*
(
INT((MIN(Y384,DATE(2015,5,16))-D384)/365)
+
CEILING(MOD((MIN(Y384,DATE(2015,5,16))-D384)/365,1),0.25)
)
*
_xlfn.SWITCH(J384,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84" s="1" cm="1">
        <f t="array" aca="1" ref="AA384" ca="1">IF(Y384&lt;DATE(2015,5,17),0,
K384*
(
INT((MIN(Y384,DATE(2018,9,23))-MAX(D384,DATE(2015,5,17)))/365)
+
CEILING(MOD((MIN(Y384,DATE(2018,9,23))-MAX(D384,DATE(2015,5,17)))/365,1),0.25)
)
*
_xlfn.SWITCH(J384,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600</v>
      </c>
      <c r="AB384" s="1" cm="1">
        <f t="array" aca="1" ref="AB384" ca="1">IF(Y384&lt;DATE(2018,9,24),0,
IF(J384="زراعة",
K384*
(
INT((MIN(Y384,DATE(2023,4,30))-MAX(D384,DATE(2018,9,24)))/365)
+
CEILING(MOD((MIN(Y384,DATE(2023,4,30))-MAX(D384,DATE(2018,9,24)))/365,1),0.25)
)
*1,
K384*
(
DATEDIF(MAX(D384,DATE(2018,9,24)),MIN(Y384,DATE(2023,4,30)),"m")+1
)
*
_xlfn.SWITCH(J384,
"موقف/تندة",IF(D384&lt;DATE(2019,11,30),6,30),
"تشوينات",IF(D384&lt;DATE(2019,11,30),4,20),
"مشاتل",IF(D384&lt;DATE(2019,11,30),2,10),
"كافيتيريا",IF(D384&lt;DATE(2019,11,30),30,150),
"نوادي",IF(D384&lt;DATE(2019,11,30),6,30),
"رسو مراكب",IF(D384&lt;DATE(2019,11,30),2,10),
"مباني",IF(D384&lt;DATE(2018,9,24),2,10),
"عشش",IF(D384&lt;DATE(2019,11,30),2,10),
"كشك (تجاري/صناعي)",IF(D384&lt;DATE(2019,11,30),10,50),
"ردم",20,
0)))</f>
        <v>6720</v>
      </c>
      <c r="AC384" s="1" cm="1">
        <f t="array" aca="1" ref="AC384" ca="1">IF(Y384&lt;DATE(2023,5,1),0,
IF(J384="زراعة",
K384*
(
INT((Y384-MAX(DATE(2023,5,1),D384))/365)
+
CEILING(MOD((Y384-MAX(DATE(2023,5,1),D384))/365,1),0.25)
)
*3,
IF(J384="ردم",
K384*20,
K384*
(
DATEDIF(MAX(DATE(2023,5,1),D384),Y384,"m")+1
)
*
_xlfn.SWITCH(J384,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384" s="1">
        <f t="shared" ca="1" si="34"/>
        <v>55</v>
      </c>
    </row>
    <row r="385" spans="1:30" ht="18.75" x14ac:dyDescent="0.25">
      <c r="A385" s="52">
        <v>342</v>
      </c>
      <c r="B385" s="6">
        <v>86</v>
      </c>
      <c r="C385" s="6">
        <v>2017</v>
      </c>
      <c r="D385" s="7">
        <v>42950</v>
      </c>
      <c r="E385" s="12" t="s">
        <v>525</v>
      </c>
      <c r="F385" s="6"/>
      <c r="G385" s="6" t="s">
        <v>221</v>
      </c>
      <c r="H385" s="6"/>
      <c r="I385" s="6" t="s">
        <v>33</v>
      </c>
      <c r="J385" s="3" t="s">
        <v>580</v>
      </c>
      <c r="K385" s="6">
        <v>16</v>
      </c>
      <c r="L385" s="3" t="s">
        <v>90</v>
      </c>
      <c r="M385" s="7"/>
      <c r="N385" s="6"/>
      <c r="O385" s="9">
        <f>0.47*Table2[[#This Row],[قيمة المحضر]]</f>
        <v>0</v>
      </c>
      <c r="P385" s="9">
        <f>0.17*Table2[[#This Row],[قيمة المحضر]]</f>
        <v>0</v>
      </c>
      <c r="Q385" s="9">
        <f t="shared" ca="1" si="35"/>
        <v>9088</v>
      </c>
      <c r="R385" s="3"/>
      <c r="S385" s="3"/>
      <c r="T385" s="9" t="str">
        <f t="shared" si="36"/>
        <v>-</v>
      </c>
      <c r="U385" s="3" t="s">
        <v>25</v>
      </c>
      <c r="V385" s="9" t="str">
        <f t="shared" si="37"/>
        <v>-</v>
      </c>
      <c r="W385" s="4"/>
      <c r="X385" s="38"/>
      <c r="Y385" s="1">
        <f t="shared" ca="1" si="33"/>
        <v>46162</v>
      </c>
      <c r="Z385" s="1" cm="1">
        <f t="array" ref="Z385">IF(D385&gt;DATE(2015,5,16),0,
K385*
(
INT((MIN(Y385,DATE(2015,5,16))-D385)/365)
+
CEILING(MOD((MIN(Y385,DATE(2015,5,16))-D385)/365,1),0.25)
)
*
_xlfn.SWITCH(J385,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85" s="1" cm="1">
        <f t="array" aca="1" ref="AA385" ca="1">IF(Y385&lt;DATE(2015,5,17),0,
K385*
(
INT((MIN(Y385,DATE(2018,9,23))-MAX(D385,DATE(2015,5,17)))/365)
+
CEILING(MOD((MIN(Y385,DATE(2018,9,23))-MAX(D385,DATE(2015,5,17)))/365,1),0.25)
)
*
_xlfn.SWITCH(J385,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160</v>
      </c>
      <c r="AB385" s="1" cm="1">
        <f t="array" aca="1" ref="AB385" ca="1">IF(Y385&lt;DATE(2018,9,24),0,
IF(J385="زراعة",
K385*
(
INT((MIN(Y385,DATE(2023,4,30))-MAX(D385,DATE(2018,9,24)))/365)
+
CEILING(MOD((MIN(Y385,DATE(2023,4,30))-MAX(D385,DATE(2018,9,24)))/365,1),0.25)
)
*1,
K385*
(
DATEDIF(MAX(D385,DATE(2018,9,24)),MIN(Y385,DATE(2023,4,30)),"m")+1
)
*
_xlfn.SWITCH(J385,
"موقف/تندة",IF(D385&lt;DATE(2019,11,30),6,30),
"تشوينات",IF(D385&lt;DATE(2019,11,30),4,20),
"مشاتل",IF(D385&lt;DATE(2019,11,30),2,10),
"كافيتيريا",IF(D385&lt;DATE(2019,11,30),30,150),
"نوادي",IF(D385&lt;DATE(2019,11,30),6,30),
"رسو مراكب",IF(D385&lt;DATE(2019,11,30),2,10),
"مباني",IF(D385&lt;DATE(2018,9,24),2,10),
"عشش",IF(D385&lt;DATE(2019,11,30),2,10),
"كشك (تجاري/صناعي)",IF(D385&lt;DATE(2019,11,30),10,50),
"ردم",20,
0)))</f>
        <v>5376</v>
      </c>
      <c r="AC385" s="1" cm="1">
        <f t="array" aca="1" ref="AC385" ca="1">IF(Y385&lt;DATE(2023,5,1),0,
IF(J385="زراعة",
K385*
(
INT((Y385-MAX(DATE(2023,5,1),D385))/365)
+
CEILING(MOD((Y385-MAX(DATE(2023,5,1),D385))/365,1),0.25)
)
*3,
IF(J385="ردم",
K385*20,
K385*
(
DATEDIF(MAX(DATE(2023,5,1),D385),Y385,"m")+1
)
*
_xlfn.SWITCH(J385,
"موقف/تندة",6,
"تشوينات",4,
"مشاتل",2,
"رسو مراكب",6,
"مباني",3,
"عشش",1,
"كشك (تجاري/صناعي)",20,
"مواسير صرف صحي (&lt;1م)",16,
"مواسير صرف صحي (&gt;1م)",18,
0))))</f>
        <v>3552</v>
      </c>
      <c r="AD385" s="1">
        <f t="shared" ca="1" si="34"/>
        <v>55</v>
      </c>
    </row>
    <row r="386" spans="1:30" ht="18.75" x14ac:dyDescent="0.25">
      <c r="A386" s="52">
        <v>343</v>
      </c>
      <c r="B386" s="6">
        <v>87</v>
      </c>
      <c r="C386" s="6">
        <v>2017</v>
      </c>
      <c r="D386" s="7">
        <v>42950</v>
      </c>
      <c r="E386" s="12" t="s">
        <v>526</v>
      </c>
      <c r="F386" s="6"/>
      <c r="G386" s="6" t="s">
        <v>222</v>
      </c>
      <c r="H386" s="6"/>
      <c r="I386" s="6" t="s">
        <v>33</v>
      </c>
      <c r="J386" s="3" t="s">
        <v>29</v>
      </c>
      <c r="K386" s="6">
        <v>6</v>
      </c>
      <c r="L386" s="3" t="s">
        <v>90</v>
      </c>
      <c r="M386" s="7"/>
      <c r="N386" s="6"/>
      <c r="O386" s="9">
        <f>0.47*Table2[[#This Row],[قيمة المحضر]]</f>
        <v>0</v>
      </c>
      <c r="P386" s="9">
        <f>0.17*Table2[[#This Row],[قيمة المحضر]]</f>
        <v>0</v>
      </c>
      <c r="Q386" s="9">
        <f t="shared" ca="1" si="35"/>
        <v>8700</v>
      </c>
      <c r="R386" s="3"/>
      <c r="S386" s="3"/>
      <c r="T386" s="9" t="str">
        <f t="shared" si="36"/>
        <v>-</v>
      </c>
      <c r="U386" s="3" t="s">
        <v>25</v>
      </c>
      <c r="V386" s="9" t="str">
        <f t="shared" si="37"/>
        <v>-</v>
      </c>
      <c r="W386" s="4"/>
      <c r="X386" s="38"/>
      <c r="Y386" s="1">
        <f t="shared" ca="1" si="33"/>
        <v>46162</v>
      </c>
      <c r="Z386" s="1" cm="1">
        <f t="array" ref="Z386">IF(D386&gt;DATE(2015,5,16),0,
K386*
(
INT((MIN(Y386,DATE(2015,5,16))-D386)/365)
+
CEILING(MOD((MIN(Y386,DATE(2015,5,16))-D386)/365,1),0.25)
)
*
_xlfn.SWITCH(J386,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86" s="1" cm="1">
        <f t="array" aca="1" ref="AA386" ca="1">IF(Y386&lt;DATE(2015,5,17),0,
K386*
(
INT((MIN(Y386,DATE(2018,9,23))-MAX(D386,DATE(2015,5,17)))/365)
+
CEILING(MOD((MIN(Y386,DATE(2018,9,23))-MAX(D386,DATE(2015,5,17)))/365,1),0.25)
)
*
_xlfn.SWITCH(J386,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900</v>
      </c>
      <c r="AB386" s="1" cm="1">
        <f t="array" aca="1" ref="AB386" ca="1">IF(Y386&lt;DATE(2018,9,24),0,
IF(J386="زراعة",
K386*
(
INT((MIN(Y386,DATE(2023,4,30))-MAX(D386,DATE(2018,9,24)))/365)
+
CEILING(MOD((MIN(Y386,DATE(2023,4,30))-MAX(D386,DATE(2018,9,24)))/365,1),0.25)
)
*1,
K386*
(
DATEDIF(MAX(D386,DATE(2018,9,24)),MIN(Y386,DATE(2023,4,30)),"m")+1
)
*
_xlfn.SWITCH(J386,
"موقف/تندة",IF(D386&lt;DATE(2019,11,30),6,30),
"تشوينات",IF(D386&lt;DATE(2019,11,30),4,20),
"مشاتل",IF(D386&lt;DATE(2019,11,30),2,10),
"كافيتيريا",IF(D386&lt;DATE(2019,11,30),30,150),
"نوادي",IF(D386&lt;DATE(2019,11,30),6,30),
"رسو مراكب",IF(D386&lt;DATE(2019,11,30),2,10),
"مباني",IF(D386&lt;DATE(2018,9,24),2,10),
"عشش",IF(D386&lt;DATE(2019,11,30),2,10),
"كشك (تجاري/صناعي)",IF(D386&lt;DATE(2019,11,30),10,50),
"ردم",20,
0)))</f>
        <v>3360</v>
      </c>
      <c r="AC386" s="1" cm="1">
        <f t="array" aca="1" ref="AC386" ca="1">IF(Y386&lt;DATE(2023,5,1),0,
IF(J386="زراعة",
K386*
(
INT((Y386-MAX(DATE(2023,5,1),D386))/365)
+
CEILING(MOD((Y386-MAX(DATE(2023,5,1),D386))/365,1),0.25)
)
*3,
IF(J386="ردم",
K386*20,
K386*
(
DATEDIF(MAX(DATE(2023,5,1),D386),Y386,"m")+1
)
*
_xlfn.SWITCH(J386,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86" s="1">
        <f t="shared" ca="1" si="34"/>
        <v>55</v>
      </c>
    </row>
    <row r="387" spans="1:30" ht="18.75" x14ac:dyDescent="0.25">
      <c r="A387" s="52">
        <v>344</v>
      </c>
      <c r="B387" s="6">
        <v>88</v>
      </c>
      <c r="C387" s="6">
        <v>2017</v>
      </c>
      <c r="D387" s="7">
        <v>42950</v>
      </c>
      <c r="E387" s="12" t="s">
        <v>527</v>
      </c>
      <c r="F387" s="6"/>
      <c r="G387" s="6" t="s">
        <v>223</v>
      </c>
      <c r="H387" s="6"/>
      <c r="I387" s="6" t="s">
        <v>33</v>
      </c>
      <c r="J387" s="3" t="s">
        <v>29</v>
      </c>
      <c r="K387" s="6">
        <v>6</v>
      </c>
      <c r="L387" s="3" t="s">
        <v>90</v>
      </c>
      <c r="M387" s="7"/>
      <c r="N387" s="6"/>
      <c r="O387" s="9">
        <f>0.47*Table2[[#This Row],[قيمة المحضر]]</f>
        <v>0</v>
      </c>
      <c r="P387" s="9">
        <f>0.17*Table2[[#This Row],[قيمة المحضر]]</f>
        <v>0</v>
      </c>
      <c r="Q387" s="9">
        <f t="shared" ca="1" si="35"/>
        <v>8700</v>
      </c>
      <c r="R387" s="3"/>
      <c r="S387" s="3"/>
      <c r="T387" s="9" t="str">
        <f t="shared" si="36"/>
        <v>-</v>
      </c>
      <c r="U387" s="3" t="s">
        <v>25</v>
      </c>
      <c r="V387" s="9" t="str">
        <f t="shared" si="37"/>
        <v>-</v>
      </c>
      <c r="W387" s="4"/>
      <c r="X387" s="38"/>
      <c r="Y387" s="1">
        <f t="shared" ref="Y387:Y450" ca="1" si="38">IF(M387="",TODAY(),M387)</f>
        <v>46162</v>
      </c>
      <c r="Z387" s="1" cm="1">
        <f t="array" ref="Z387">IF(D387&gt;DATE(2015,5,16),0,
K387*
(
INT((MIN(Y387,DATE(2015,5,16))-D387)/365)
+
CEILING(MOD((MIN(Y387,DATE(2015,5,16))-D387)/365,1),0.25)
)
*
_xlfn.SWITCH(J387,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87" s="1" cm="1">
        <f t="array" aca="1" ref="AA387" ca="1">IF(Y387&lt;DATE(2015,5,17),0,
K387*
(
INT((MIN(Y387,DATE(2018,9,23))-MAX(D387,DATE(2015,5,17)))/365)
+
CEILING(MOD((MIN(Y387,DATE(2018,9,23))-MAX(D387,DATE(2015,5,17)))/365,1),0.25)
)
*
_xlfn.SWITCH(J387,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900</v>
      </c>
      <c r="AB387" s="1" cm="1">
        <f t="array" aca="1" ref="AB387" ca="1">IF(Y387&lt;DATE(2018,9,24),0,
IF(J387="زراعة",
K387*
(
INT((MIN(Y387,DATE(2023,4,30))-MAX(D387,DATE(2018,9,24)))/365)
+
CEILING(MOD((MIN(Y387,DATE(2023,4,30))-MAX(D387,DATE(2018,9,24)))/365,1),0.25)
)
*1,
K387*
(
DATEDIF(MAX(D387,DATE(2018,9,24)),MIN(Y387,DATE(2023,4,30)),"m")+1
)
*
_xlfn.SWITCH(J387,
"موقف/تندة",IF(D387&lt;DATE(2019,11,30),6,30),
"تشوينات",IF(D387&lt;DATE(2019,11,30),4,20),
"مشاتل",IF(D387&lt;DATE(2019,11,30),2,10),
"كافيتيريا",IF(D387&lt;DATE(2019,11,30),30,150),
"نوادي",IF(D387&lt;DATE(2019,11,30),6,30),
"رسو مراكب",IF(D387&lt;DATE(2019,11,30),2,10),
"مباني",IF(D387&lt;DATE(2018,9,24),2,10),
"عشش",IF(D387&lt;DATE(2019,11,30),2,10),
"كشك (تجاري/صناعي)",IF(D387&lt;DATE(2019,11,30),10,50),
"ردم",20,
0)))</f>
        <v>3360</v>
      </c>
      <c r="AC387" s="1" cm="1">
        <f t="array" aca="1" ref="AC387" ca="1">IF(Y387&lt;DATE(2023,5,1),0,
IF(J387="زراعة",
K387*
(
INT((Y387-MAX(DATE(2023,5,1),D387))/365)
+
CEILING(MOD((Y387-MAX(DATE(2023,5,1),D387))/365,1),0.25)
)
*3,
IF(J387="ردم",
K387*20,
K387*
(
DATEDIF(MAX(DATE(2023,5,1),D387),Y387,"m")+1
)
*
_xlfn.SWITCH(J387,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87" s="1">
        <f t="shared" ref="AD387:AD450" ca="1" si="39">DATEDIF(MAX(D387,DATE(2018,9,24)),MIN(Y387,DATE(2023,4,30)),"m")</f>
        <v>55</v>
      </c>
    </row>
    <row r="388" spans="1:30" ht="18.75" x14ac:dyDescent="0.25">
      <c r="A388" s="52">
        <v>345</v>
      </c>
      <c r="B388" s="6">
        <v>89</v>
      </c>
      <c r="C388" s="6">
        <v>2017</v>
      </c>
      <c r="D388" s="7">
        <v>42950</v>
      </c>
      <c r="E388" s="12" t="s">
        <v>528</v>
      </c>
      <c r="F388" s="6"/>
      <c r="G388" s="6" t="s">
        <v>457</v>
      </c>
      <c r="H388" s="6"/>
      <c r="I388" s="6" t="s">
        <v>33</v>
      </c>
      <c r="J388" s="3" t="s">
        <v>29</v>
      </c>
      <c r="K388" s="6">
        <v>6</v>
      </c>
      <c r="L388" s="3" t="s">
        <v>90</v>
      </c>
      <c r="M388" s="7"/>
      <c r="N388" s="6"/>
      <c r="O388" s="9">
        <f>0.47*Table2[[#This Row],[قيمة المحضر]]</f>
        <v>0</v>
      </c>
      <c r="P388" s="9">
        <f>0.17*Table2[[#This Row],[قيمة المحضر]]</f>
        <v>0</v>
      </c>
      <c r="Q388" s="9">
        <f t="shared" ca="1" si="35"/>
        <v>8700</v>
      </c>
      <c r="R388" s="3"/>
      <c r="S388" s="3"/>
      <c r="T388" s="9" t="str">
        <f t="shared" si="36"/>
        <v>-</v>
      </c>
      <c r="U388" s="3" t="s">
        <v>25</v>
      </c>
      <c r="V388" s="9" t="str">
        <f t="shared" si="37"/>
        <v>-</v>
      </c>
      <c r="W388" s="4"/>
      <c r="X388" s="38"/>
      <c r="Y388" s="1">
        <f t="shared" ca="1" si="38"/>
        <v>46162</v>
      </c>
      <c r="Z388" s="1" cm="1">
        <f t="array" ref="Z388">IF(D388&gt;DATE(2015,5,16),0,
K388*
(
INT((MIN(Y388,DATE(2015,5,16))-D388)/365)
+
CEILING(MOD((MIN(Y388,DATE(2015,5,16))-D388)/365,1),0.25)
)
*
_xlfn.SWITCH(J388,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88" s="1" cm="1">
        <f t="array" aca="1" ref="AA388" ca="1">IF(Y388&lt;DATE(2015,5,17),0,
K388*
(
INT((MIN(Y388,DATE(2018,9,23))-MAX(D388,DATE(2015,5,17)))/365)
+
CEILING(MOD((MIN(Y388,DATE(2018,9,23))-MAX(D388,DATE(2015,5,17)))/365,1),0.25)
)
*
_xlfn.SWITCH(J388,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900</v>
      </c>
      <c r="AB388" s="1" cm="1">
        <f t="array" aca="1" ref="AB388" ca="1">IF(Y388&lt;DATE(2018,9,24),0,
IF(J388="زراعة",
K388*
(
INT((MIN(Y388,DATE(2023,4,30))-MAX(D388,DATE(2018,9,24)))/365)
+
CEILING(MOD((MIN(Y388,DATE(2023,4,30))-MAX(D388,DATE(2018,9,24)))/365,1),0.25)
)
*1,
K388*
(
DATEDIF(MAX(D388,DATE(2018,9,24)),MIN(Y388,DATE(2023,4,30)),"m")+1
)
*
_xlfn.SWITCH(J388,
"موقف/تندة",IF(D388&lt;DATE(2019,11,30),6,30),
"تشوينات",IF(D388&lt;DATE(2019,11,30),4,20),
"مشاتل",IF(D388&lt;DATE(2019,11,30),2,10),
"كافيتيريا",IF(D388&lt;DATE(2019,11,30),30,150),
"نوادي",IF(D388&lt;DATE(2019,11,30),6,30),
"رسو مراكب",IF(D388&lt;DATE(2019,11,30),2,10),
"مباني",IF(D388&lt;DATE(2018,9,24),2,10),
"عشش",IF(D388&lt;DATE(2019,11,30),2,10),
"كشك (تجاري/صناعي)",IF(D388&lt;DATE(2019,11,30),10,50),
"ردم",20,
0)))</f>
        <v>3360</v>
      </c>
      <c r="AC388" s="1" cm="1">
        <f t="array" aca="1" ref="AC388" ca="1">IF(Y388&lt;DATE(2023,5,1),0,
IF(J388="زراعة",
K388*
(
INT((Y388-MAX(DATE(2023,5,1),D388))/365)
+
CEILING(MOD((Y388-MAX(DATE(2023,5,1),D388))/365,1),0.25)
)
*3,
IF(J388="ردم",
K388*20,
K388*
(
DATEDIF(MAX(DATE(2023,5,1),D388),Y388,"m")+1
)
*
_xlfn.SWITCH(J388,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88" s="1">
        <f t="shared" ca="1" si="39"/>
        <v>55</v>
      </c>
    </row>
    <row r="389" spans="1:30" ht="18.75" x14ac:dyDescent="0.25">
      <c r="A389" s="52">
        <v>346</v>
      </c>
      <c r="B389" s="6">
        <v>90</v>
      </c>
      <c r="C389" s="6">
        <v>2017</v>
      </c>
      <c r="D389" s="7">
        <v>42950</v>
      </c>
      <c r="E389" s="12" t="s">
        <v>529</v>
      </c>
      <c r="F389" s="6"/>
      <c r="G389" s="6" t="s">
        <v>225</v>
      </c>
      <c r="H389" s="6"/>
      <c r="I389" s="6" t="s">
        <v>33</v>
      </c>
      <c r="J389" s="3" t="s">
        <v>29</v>
      </c>
      <c r="K389" s="6">
        <v>6</v>
      </c>
      <c r="L389" s="3" t="s">
        <v>90</v>
      </c>
      <c r="M389" s="7"/>
      <c r="N389" s="6"/>
      <c r="O389" s="9">
        <f>0.47*Table2[[#This Row],[قيمة المحضر]]</f>
        <v>0</v>
      </c>
      <c r="P389" s="9">
        <f>0.17*Table2[[#This Row],[قيمة المحضر]]</f>
        <v>0</v>
      </c>
      <c r="Q389" s="9">
        <f t="shared" ca="1" si="35"/>
        <v>8700</v>
      </c>
      <c r="R389" s="3"/>
      <c r="S389" s="3"/>
      <c r="T389" s="9" t="str">
        <f t="shared" si="36"/>
        <v>-</v>
      </c>
      <c r="U389" s="3" t="s">
        <v>25</v>
      </c>
      <c r="V389" s="9" t="str">
        <f t="shared" si="37"/>
        <v>-</v>
      </c>
      <c r="W389" s="4"/>
      <c r="X389" s="38"/>
      <c r="Y389" s="1">
        <f t="shared" ca="1" si="38"/>
        <v>46162</v>
      </c>
      <c r="Z389" s="1" cm="1">
        <f t="array" ref="Z389">IF(D389&gt;DATE(2015,5,16),0,
K389*
(
INT((MIN(Y389,DATE(2015,5,16))-D389)/365)
+
CEILING(MOD((MIN(Y389,DATE(2015,5,16))-D389)/365,1),0.25)
)
*
_xlfn.SWITCH(J389,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89" s="1" cm="1">
        <f t="array" aca="1" ref="AA389" ca="1">IF(Y389&lt;DATE(2015,5,17),0,
K389*
(
INT((MIN(Y389,DATE(2018,9,23))-MAX(D389,DATE(2015,5,17)))/365)
+
CEILING(MOD((MIN(Y389,DATE(2018,9,23))-MAX(D389,DATE(2015,5,17)))/365,1),0.25)
)
*
_xlfn.SWITCH(J389,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900</v>
      </c>
      <c r="AB389" s="1" cm="1">
        <f t="array" aca="1" ref="AB389" ca="1">IF(Y389&lt;DATE(2018,9,24),0,
IF(J389="زراعة",
K389*
(
INT((MIN(Y389,DATE(2023,4,30))-MAX(D389,DATE(2018,9,24)))/365)
+
CEILING(MOD((MIN(Y389,DATE(2023,4,30))-MAX(D389,DATE(2018,9,24)))/365,1),0.25)
)
*1,
K389*
(
DATEDIF(MAX(D389,DATE(2018,9,24)),MIN(Y389,DATE(2023,4,30)),"m")+1
)
*
_xlfn.SWITCH(J389,
"موقف/تندة",IF(D389&lt;DATE(2019,11,30),6,30),
"تشوينات",IF(D389&lt;DATE(2019,11,30),4,20),
"مشاتل",IF(D389&lt;DATE(2019,11,30),2,10),
"كافيتيريا",IF(D389&lt;DATE(2019,11,30),30,150),
"نوادي",IF(D389&lt;DATE(2019,11,30),6,30),
"رسو مراكب",IF(D389&lt;DATE(2019,11,30),2,10),
"مباني",IF(D389&lt;DATE(2018,9,24),2,10),
"عشش",IF(D389&lt;DATE(2019,11,30),2,10),
"كشك (تجاري/صناعي)",IF(D389&lt;DATE(2019,11,30),10,50),
"ردم",20,
0)))</f>
        <v>3360</v>
      </c>
      <c r="AC389" s="1" cm="1">
        <f t="array" aca="1" ref="AC389" ca="1">IF(Y389&lt;DATE(2023,5,1),0,
IF(J389="زراعة",
K389*
(
INT((Y389-MAX(DATE(2023,5,1),D389))/365)
+
CEILING(MOD((Y389-MAX(DATE(2023,5,1),D389))/365,1),0.25)
)
*3,
IF(J389="ردم",
K389*20,
K389*
(
DATEDIF(MAX(DATE(2023,5,1),D389),Y389,"m")+1
)
*
_xlfn.SWITCH(J389,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89" s="1">
        <f t="shared" ca="1" si="39"/>
        <v>55</v>
      </c>
    </row>
    <row r="390" spans="1:30" ht="18.75" x14ac:dyDescent="0.25">
      <c r="A390" s="52">
        <v>347</v>
      </c>
      <c r="B390" s="6">
        <v>91</v>
      </c>
      <c r="C390" s="6">
        <v>2017</v>
      </c>
      <c r="D390" s="7">
        <v>42950</v>
      </c>
      <c r="E390" s="12" t="s">
        <v>530</v>
      </c>
      <c r="F390" s="6"/>
      <c r="G390" s="6" t="s">
        <v>458</v>
      </c>
      <c r="H390" s="6"/>
      <c r="I390" s="6" t="s">
        <v>33</v>
      </c>
      <c r="J390" s="3" t="s">
        <v>27</v>
      </c>
      <c r="K390" s="6">
        <v>6</v>
      </c>
      <c r="L390" s="3" t="s">
        <v>90</v>
      </c>
      <c r="M390" s="7"/>
      <c r="N390" s="6"/>
      <c r="O390" s="9">
        <f>0.47*Table2[[#This Row],[قيمة المحضر]]</f>
        <v>0</v>
      </c>
      <c r="P390" s="9">
        <f>0.17*Table2[[#This Row],[قيمة المحضر]]</f>
        <v>0</v>
      </c>
      <c r="Q390" s="9">
        <f t="shared" ca="1" si="35"/>
        <v>1398</v>
      </c>
      <c r="R390" s="3"/>
      <c r="S390" s="3"/>
      <c r="T390" s="9" t="str">
        <f t="shared" si="36"/>
        <v>-</v>
      </c>
      <c r="U390" s="3" t="s">
        <v>25</v>
      </c>
      <c r="V390" s="9" t="str">
        <f t="shared" si="37"/>
        <v>-</v>
      </c>
      <c r="W390" s="4"/>
      <c r="X390" s="38"/>
      <c r="Y390" s="1">
        <f t="shared" ca="1" si="38"/>
        <v>46162</v>
      </c>
      <c r="Z390" s="1" cm="1">
        <f t="array" ref="Z390">IF(D390&gt;DATE(2015,5,16),0,
K390*
(
INT((MIN(Y390,DATE(2015,5,16))-D390)/365)
+
CEILING(MOD((MIN(Y390,DATE(2015,5,16))-D390)/365,1),0.25)
)
*
_xlfn.SWITCH(J390,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90" s="1" cm="1">
        <f t="array" aca="1" ref="AA390" ca="1">IF(Y390&lt;DATE(2015,5,17),0,
K390*
(
INT((MIN(Y390,DATE(2018,9,23))-MAX(D390,DATE(2015,5,17)))/365)
+
CEILING(MOD((MIN(Y390,DATE(2018,9,23))-MAX(D390,DATE(2015,5,17)))/365,1),0.25)
)
*
_xlfn.SWITCH(J390,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</v>
      </c>
      <c r="AB390" s="1" cm="1">
        <f t="array" aca="1" ref="AB390" ca="1">IF(Y390&lt;DATE(2018,9,24),0,
IF(J390="زراعة",
K390*
(
INT((MIN(Y390,DATE(2023,4,30))-MAX(D390,DATE(2018,9,24)))/365)
+
CEILING(MOD((MIN(Y390,DATE(2023,4,30))-MAX(D390,DATE(2018,9,24)))/365,1),0.25)
)
*1,
K390*
(
DATEDIF(MAX(D390,DATE(2018,9,24)),MIN(Y390,DATE(2023,4,30)),"m")+1
)
*
_xlfn.SWITCH(J390,
"موقف/تندة",IF(D390&lt;DATE(2019,11,30),6,30),
"تشوينات",IF(D390&lt;DATE(2019,11,30),4,20),
"مشاتل",IF(D390&lt;DATE(2019,11,30),2,10),
"كافيتيريا",IF(D390&lt;DATE(2019,11,30),30,150),
"نوادي",IF(D390&lt;DATE(2019,11,30),6,30),
"رسو مراكب",IF(D390&lt;DATE(2019,11,30),2,10),
"مباني",IF(D390&lt;DATE(2018,9,24),2,10),
"عشش",IF(D390&lt;DATE(2019,11,30),2,10),
"كشك (تجاري/صناعي)",IF(D390&lt;DATE(2019,11,30),10,50),
"ردم",20,
0)))</f>
        <v>672</v>
      </c>
      <c r="AC390" s="1" cm="1">
        <f t="array" aca="1" ref="AC390" ca="1">IF(Y390&lt;DATE(2023,5,1),0,
IF(J390="زراعة",
K390*
(
INT((Y390-MAX(DATE(2023,5,1),D390))/365)
+
CEILING(MOD((Y390-MAX(DATE(2023,5,1),D390))/365,1),0.25)
)
*3,
IF(J390="ردم",
K390*20,
K390*
(
DATEDIF(MAX(DATE(2023,5,1),D390),Y390,"m")+1
)
*
_xlfn.SWITCH(J390,
"موقف/تندة",6,
"تشوينات",4,
"مشاتل",2,
"رسو مراكب",6,
"مباني",3,
"عشش",1,
"كشك (تجاري/صناعي)",20,
"مواسير صرف صحي (&lt;1م)",16,
"مواسير صرف صحي (&gt;1م)",18,
0))))</f>
        <v>666</v>
      </c>
      <c r="AD390" s="1">
        <f t="shared" ca="1" si="39"/>
        <v>55</v>
      </c>
    </row>
    <row r="391" spans="1:30" ht="18.75" x14ac:dyDescent="0.25">
      <c r="A391" s="52">
        <v>348</v>
      </c>
      <c r="B391" s="6">
        <v>92</v>
      </c>
      <c r="C391" s="6">
        <v>2017</v>
      </c>
      <c r="D391" s="7">
        <v>42950</v>
      </c>
      <c r="E391" s="12" t="s">
        <v>531</v>
      </c>
      <c r="F391" s="6"/>
      <c r="G391" s="6" t="s">
        <v>459</v>
      </c>
      <c r="H391" s="6"/>
      <c r="I391" s="6" t="s">
        <v>33</v>
      </c>
      <c r="J391" s="3" t="s">
        <v>29</v>
      </c>
      <c r="K391" s="6">
        <v>6</v>
      </c>
      <c r="L391" s="3" t="s">
        <v>90</v>
      </c>
      <c r="M391" s="7"/>
      <c r="N391" s="6"/>
      <c r="O391" s="9">
        <f>0.47*Table2[[#This Row],[قيمة المحضر]]</f>
        <v>0</v>
      </c>
      <c r="P391" s="9">
        <f>0.17*Table2[[#This Row],[قيمة المحضر]]</f>
        <v>0</v>
      </c>
      <c r="Q391" s="9">
        <f t="shared" ca="1" si="35"/>
        <v>8700</v>
      </c>
      <c r="R391" s="3"/>
      <c r="S391" s="3"/>
      <c r="T391" s="9" t="str">
        <f t="shared" si="36"/>
        <v>-</v>
      </c>
      <c r="U391" s="3" t="s">
        <v>25</v>
      </c>
      <c r="V391" s="9" t="str">
        <f t="shared" si="37"/>
        <v>-</v>
      </c>
      <c r="W391" s="4"/>
      <c r="X391" s="38"/>
      <c r="Y391" s="1">
        <f t="shared" ca="1" si="38"/>
        <v>46162</v>
      </c>
      <c r="Z391" s="1" cm="1">
        <f t="array" ref="Z391">IF(D391&gt;DATE(2015,5,16),0,
K391*
(
INT((MIN(Y391,DATE(2015,5,16))-D391)/365)
+
CEILING(MOD((MIN(Y391,DATE(2015,5,16))-D391)/365,1),0.25)
)
*
_xlfn.SWITCH(J391,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91" s="1" cm="1">
        <f t="array" aca="1" ref="AA391" ca="1">IF(Y391&lt;DATE(2015,5,17),0,
K391*
(
INT((MIN(Y391,DATE(2018,9,23))-MAX(D391,DATE(2015,5,17)))/365)
+
CEILING(MOD((MIN(Y391,DATE(2018,9,23))-MAX(D391,DATE(2015,5,17)))/365,1),0.25)
)
*
_xlfn.SWITCH(J391,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900</v>
      </c>
      <c r="AB391" s="1" cm="1">
        <f t="array" aca="1" ref="AB391" ca="1">IF(Y391&lt;DATE(2018,9,24),0,
IF(J391="زراعة",
K391*
(
INT((MIN(Y391,DATE(2023,4,30))-MAX(D391,DATE(2018,9,24)))/365)
+
CEILING(MOD((MIN(Y391,DATE(2023,4,30))-MAX(D391,DATE(2018,9,24)))/365,1),0.25)
)
*1,
K391*
(
DATEDIF(MAX(D391,DATE(2018,9,24)),MIN(Y391,DATE(2023,4,30)),"m")+1
)
*
_xlfn.SWITCH(J391,
"موقف/تندة",IF(D391&lt;DATE(2019,11,30),6,30),
"تشوينات",IF(D391&lt;DATE(2019,11,30),4,20),
"مشاتل",IF(D391&lt;DATE(2019,11,30),2,10),
"كافيتيريا",IF(D391&lt;DATE(2019,11,30),30,150),
"نوادي",IF(D391&lt;DATE(2019,11,30),6,30),
"رسو مراكب",IF(D391&lt;DATE(2019,11,30),2,10),
"مباني",IF(D391&lt;DATE(2018,9,24),2,10),
"عشش",IF(D391&lt;DATE(2019,11,30),2,10),
"كشك (تجاري/صناعي)",IF(D391&lt;DATE(2019,11,30),10,50),
"ردم",20,
0)))</f>
        <v>3360</v>
      </c>
      <c r="AC391" s="1" cm="1">
        <f t="array" aca="1" ref="AC391" ca="1">IF(Y391&lt;DATE(2023,5,1),0,
IF(J391="زراعة",
K391*
(
INT((Y391-MAX(DATE(2023,5,1),D391))/365)
+
CEILING(MOD((Y391-MAX(DATE(2023,5,1),D391))/365,1),0.25)
)
*3,
IF(J391="ردم",
K391*20,
K391*
(
DATEDIF(MAX(DATE(2023,5,1),D391),Y391,"m")+1
)
*
_xlfn.SWITCH(J391,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91" s="1">
        <f t="shared" ca="1" si="39"/>
        <v>55</v>
      </c>
    </row>
    <row r="392" spans="1:30" ht="18.75" x14ac:dyDescent="0.25">
      <c r="A392" s="52">
        <v>349</v>
      </c>
      <c r="B392" s="6">
        <v>93</v>
      </c>
      <c r="C392" s="6">
        <v>2017</v>
      </c>
      <c r="D392" s="7">
        <v>42950</v>
      </c>
      <c r="E392" s="12" t="s">
        <v>532</v>
      </c>
      <c r="F392" s="6"/>
      <c r="G392" s="6" t="s">
        <v>228</v>
      </c>
      <c r="H392" s="6"/>
      <c r="I392" s="6" t="s">
        <v>33</v>
      </c>
      <c r="J392" s="3" t="s">
        <v>29</v>
      </c>
      <c r="K392" s="6">
        <v>6</v>
      </c>
      <c r="L392" s="3" t="s">
        <v>90</v>
      </c>
      <c r="M392" s="7"/>
      <c r="N392" s="6"/>
      <c r="O392" s="9">
        <f>0.47*Table2[[#This Row],[قيمة المحضر]]</f>
        <v>0</v>
      </c>
      <c r="P392" s="9">
        <f>0.17*Table2[[#This Row],[قيمة المحضر]]</f>
        <v>0</v>
      </c>
      <c r="Q392" s="9">
        <f t="shared" ca="1" si="35"/>
        <v>8700</v>
      </c>
      <c r="R392" s="3"/>
      <c r="S392" s="3"/>
      <c r="T392" s="9" t="str">
        <f t="shared" si="36"/>
        <v>-</v>
      </c>
      <c r="U392" s="3" t="s">
        <v>25</v>
      </c>
      <c r="V392" s="9" t="str">
        <f t="shared" si="37"/>
        <v>-</v>
      </c>
      <c r="W392" s="4"/>
      <c r="X392" s="38"/>
      <c r="Y392" s="1">
        <f t="shared" ca="1" si="38"/>
        <v>46162</v>
      </c>
      <c r="Z392" s="1" cm="1">
        <f t="array" ref="Z392">IF(D392&gt;DATE(2015,5,16),0,
K392*
(
INT((MIN(Y392,DATE(2015,5,16))-D392)/365)
+
CEILING(MOD((MIN(Y392,DATE(2015,5,16))-D392)/365,1),0.25)
)
*
_xlfn.SWITCH(J392,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92" s="1" cm="1">
        <f t="array" aca="1" ref="AA392" ca="1">IF(Y392&lt;DATE(2015,5,17),0,
K392*
(
INT((MIN(Y392,DATE(2018,9,23))-MAX(D392,DATE(2015,5,17)))/365)
+
CEILING(MOD((MIN(Y392,DATE(2018,9,23))-MAX(D392,DATE(2015,5,17)))/365,1),0.25)
)
*
_xlfn.SWITCH(J392,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900</v>
      </c>
      <c r="AB392" s="1" cm="1">
        <f t="array" aca="1" ref="AB392" ca="1">IF(Y392&lt;DATE(2018,9,24),0,
IF(J392="زراعة",
K392*
(
INT((MIN(Y392,DATE(2023,4,30))-MAX(D392,DATE(2018,9,24)))/365)
+
CEILING(MOD((MIN(Y392,DATE(2023,4,30))-MAX(D392,DATE(2018,9,24)))/365,1),0.25)
)
*1,
K392*
(
DATEDIF(MAX(D392,DATE(2018,9,24)),MIN(Y392,DATE(2023,4,30)),"m")+1
)
*
_xlfn.SWITCH(J392,
"موقف/تندة",IF(D392&lt;DATE(2019,11,30),6,30),
"تشوينات",IF(D392&lt;DATE(2019,11,30),4,20),
"مشاتل",IF(D392&lt;DATE(2019,11,30),2,10),
"كافيتيريا",IF(D392&lt;DATE(2019,11,30),30,150),
"نوادي",IF(D392&lt;DATE(2019,11,30),6,30),
"رسو مراكب",IF(D392&lt;DATE(2019,11,30),2,10),
"مباني",IF(D392&lt;DATE(2018,9,24),2,10),
"عشش",IF(D392&lt;DATE(2019,11,30),2,10),
"كشك (تجاري/صناعي)",IF(D392&lt;DATE(2019,11,30),10,50),
"ردم",20,
0)))</f>
        <v>3360</v>
      </c>
      <c r="AC392" s="1" cm="1">
        <f t="array" aca="1" ref="AC392" ca="1">IF(Y392&lt;DATE(2023,5,1),0,
IF(J392="زراعة",
K392*
(
INT((Y392-MAX(DATE(2023,5,1),D392))/365)
+
CEILING(MOD((Y392-MAX(DATE(2023,5,1),D392))/365,1),0.25)
)
*3,
IF(J392="ردم",
K392*20,
K392*
(
DATEDIF(MAX(DATE(2023,5,1),D392),Y392,"m")+1
)
*
_xlfn.SWITCH(J392,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92" s="1">
        <f t="shared" ca="1" si="39"/>
        <v>55</v>
      </c>
    </row>
    <row r="393" spans="1:30" ht="18.75" x14ac:dyDescent="0.25">
      <c r="A393" s="52">
        <v>350</v>
      </c>
      <c r="B393" s="6">
        <v>94</v>
      </c>
      <c r="C393" s="6">
        <v>2017</v>
      </c>
      <c r="D393" s="7">
        <v>42950</v>
      </c>
      <c r="E393" s="12" t="s">
        <v>533</v>
      </c>
      <c r="F393" s="6"/>
      <c r="G393" s="6" t="s">
        <v>230</v>
      </c>
      <c r="H393" s="6"/>
      <c r="I393" s="6" t="s">
        <v>33</v>
      </c>
      <c r="J393" s="3" t="s">
        <v>29</v>
      </c>
      <c r="K393" s="6">
        <v>8</v>
      </c>
      <c r="L393" s="3" t="s">
        <v>90</v>
      </c>
      <c r="M393" s="7"/>
      <c r="N393" s="6"/>
      <c r="O393" s="9">
        <f>0.47*Table2[[#This Row],[قيمة المحضر]]</f>
        <v>0</v>
      </c>
      <c r="P393" s="9">
        <f>0.17*Table2[[#This Row],[قيمة المحضر]]</f>
        <v>0</v>
      </c>
      <c r="Q393" s="9">
        <f t="shared" ca="1" si="35"/>
        <v>11600</v>
      </c>
      <c r="R393" s="3"/>
      <c r="S393" s="3"/>
      <c r="T393" s="9" t="str">
        <f t="shared" si="36"/>
        <v>-</v>
      </c>
      <c r="U393" s="3" t="s">
        <v>25</v>
      </c>
      <c r="V393" s="9" t="str">
        <f t="shared" si="37"/>
        <v>-</v>
      </c>
      <c r="W393" s="4"/>
      <c r="X393" s="38"/>
      <c r="Y393" s="1">
        <f t="shared" ca="1" si="38"/>
        <v>46162</v>
      </c>
      <c r="Z393" s="1" cm="1">
        <f t="array" ref="Z393">IF(D393&gt;DATE(2015,5,16),0,
K393*
(
INT((MIN(Y393,DATE(2015,5,16))-D393)/365)
+
CEILING(MOD((MIN(Y393,DATE(2015,5,16))-D393)/365,1),0.25)
)
*
_xlfn.SWITCH(J393,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93" s="1" cm="1">
        <f t="array" aca="1" ref="AA393" ca="1">IF(Y393&lt;DATE(2015,5,17),0,
K393*
(
INT((MIN(Y393,DATE(2018,9,23))-MAX(D393,DATE(2015,5,17)))/365)
+
CEILING(MOD((MIN(Y393,DATE(2018,9,23))-MAX(D393,DATE(2015,5,17)))/365,1),0.25)
)
*
_xlfn.SWITCH(J393,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1200</v>
      </c>
      <c r="AB393" s="1" cm="1">
        <f t="array" aca="1" ref="AB393" ca="1">IF(Y393&lt;DATE(2018,9,24),0,
IF(J393="زراعة",
K393*
(
INT((MIN(Y393,DATE(2023,4,30))-MAX(D393,DATE(2018,9,24)))/365)
+
CEILING(MOD((MIN(Y393,DATE(2023,4,30))-MAX(D393,DATE(2018,9,24)))/365,1),0.25)
)
*1,
K393*
(
DATEDIF(MAX(D393,DATE(2018,9,24)),MIN(Y393,DATE(2023,4,30)),"m")+1
)
*
_xlfn.SWITCH(J393,
"موقف/تندة",IF(D393&lt;DATE(2019,11,30),6,30),
"تشوينات",IF(D393&lt;DATE(2019,11,30),4,20),
"مشاتل",IF(D393&lt;DATE(2019,11,30),2,10),
"كافيتيريا",IF(D393&lt;DATE(2019,11,30),30,150),
"نوادي",IF(D393&lt;DATE(2019,11,30),6,30),
"رسو مراكب",IF(D393&lt;DATE(2019,11,30),2,10),
"مباني",IF(D393&lt;DATE(2018,9,24),2,10),
"عشش",IF(D393&lt;DATE(2019,11,30),2,10),
"كشك (تجاري/صناعي)",IF(D393&lt;DATE(2019,11,30),10,50),
"ردم",20,
0)))</f>
        <v>4480</v>
      </c>
      <c r="AC393" s="1" cm="1">
        <f t="array" aca="1" ref="AC393" ca="1">IF(Y393&lt;DATE(2023,5,1),0,
IF(J393="زراعة",
K393*
(
INT((Y393-MAX(DATE(2023,5,1),D393))/365)
+
CEILING(MOD((Y393-MAX(DATE(2023,5,1),D393))/365,1),0.25)
)
*3,
IF(J393="ردم",
K393*20,
K393*
(
DATEDIF(MAX(DATE(2023,5,1),D393),Y393,"m")+1
)
*
_xlfn.SWITCH(J393,
"موقف/تندة",6,
"تشوينات",4,
"مشاتل",2,
"رسو مراكب",6,
"مباني",3,
"عشش",1,
"كشك (تجاري/صناعي)",20,
"مواسير صرف صحي (&lt;1م)",16,
"مواسير صرف صحي (&gt;1م)",18,
0))))</f>
        <v>5920</v>
      </c>
      <c r="AD393" s="1">
        <f t="shared" ca="1" si="39"/>
        <v>55</v>
      </c>
    </row>
    <row r="394" spans="1:30" ht="18.75" x14ac:dyDescent="0.25">
      <c r="A394" s="52">
        <v>351</v>
      </c>
      <c r="B394" s="6">
        <v>95</v>
      </c>
      <c r="C394" s="6">
        <v>2017</v>
      </c>
      <c r="D394" s="7">
        <v>42950</v>
      </c>
      <c r="E394" s="12" t="s">
        <v>534</v>
      </c>
      <c r="F394" s="6"/>
      <c r="G394" s="6" t="s">
        <v>460</v>
      </c>
      <c r="H394" s="6"/>
      <c r="I394" s="6" t="s">
        <v>33</v>
      </c>
      <c r="J394" s="3" t="s">
        <v>27</v>
      </c>
      <c r="K394" s="6">
        <v>20</v>
      </c>
      <c r="L394" s="3" t="s">
        <v>90</v>
      </c>
      <c r="M394" s="7"/>
      <c r="N394" s="6"/>
      <c r="O394" s="9">
        <f>0.47*Table2[[#This Row],[قيمة المحضر]]</f>
        <v>0</v>
      </c>
      <c r="P394" s="9">
        <f>0.17*Table2[[#This Row],[قيمة المحضر]]</f>
        <v>0</v>
      </c>
      <c r="Q394" s="9">
        <f t="shared" ca="1" si="35"/>
        <v>4660</v>
      </c>
      <c r="R394" s="3"/>
      <c r="S394" s="3"/>
      <c r="T394" s="9" t="str">
        <f t="shared" si="36"/>
        <v>-</v>
      </c>
      <c r="U394" s="3" t="s">
        <v>25</v>
      </c>
      <c r="V394" s="9" t="str">
        <f t="shared" si="37"/>
        <v>-</v>
      </c>
      <c r="W394" s="4"/>
      <c r="X394" s="38"/>
      <c r="Y394" s="1">
        <f t="shared" ca="1" si="38"/>
        <v>46162</v>
      </c>
      <c r="Z394" s="1" cm="1">
        <f t="array" ref="Z394">IF(D394&gt;DATE(2015,5,16),0,
K394*
(
INT((MIN(Y394,DATE(2015,5,16))-D394)/365)
+
CEILING(MOD((MIN(Y394,DATE(2015,5,16))-D394)/365,1),0.25)
)
*
_xlfn.SWITCH(J394,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94" s="1" cm="1">
        <f t="array" aca="1" ref="AA394" ca="1">IF(Y394&lt;DATE(2015,5,17),0,
K394*
(
INT((MIN(Y394,DATE(2018,9,23))-MAX(D394,DATE(2015,5,17)))/365)
+
CEILING(MOD((MIN(Y394,DATE(2018,9,23))-MAX(D394,DATE(2015,5,17)))/365,1),0.25)
)
*
_xlfn.SWITCH(J394,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200</v>
      </c>
      <c r="AB394" s="1" cm="1">
        <f t="array" aca="1" ref="AB394" ca="1">IF(Y394&lt;DATE(2018,9,24),0,
IF(J394="زراعة",
K394*
(
INT((MIN(Y394,DATE(2023,4,30))-MAX(D394,DATE(2018,9,24)))/365)
+
CEILING(MOD((MIN(Y394,DATE(2023,4,30))-MAX(D394,DATE(2018,9,24)))/365,1),0.25)
)
*1,
K394*
(
DATEDIF(MAX(D394,DATE(2018,9,24)),MIN(Y394,DATE(2023,4,30)),"m")+1
)
*
_xlfn.SWITCH(J394,
"موقف/تندة",IF(D394&lt;DATE(2019,11,30),6,30),
"تشوينات",IF(D394&lt;DATE(2019,11,30),4,20),
"مشاتل",IF(D394&lt;DATE(2019,11,30),2,10),
"كافيتيريا",IF(D394&lt;DATE(2019,11,30),30,150),
"نوادي",IF(D394&lt;DATE(2019,11,30),6,30),
"رسو مراكب",IF(D394&lt;DATE(2019,11,30),2,10),
"مباني",IF(D394&lt;DATE(2018,9,24),2,10),
"عشش",IF(D394&lt;DATE(2019,11,30),2,10),
"كشك (تجاري/صناعي)",IF(D394&lt;DATE(2019,11,30),10,50),
"ردم",20,
0)))</f>
        <v>2240</v>
      </c>
      <c r="AC394" s="1" cm="1">
        <f t="array" aca="1" ref="AC394" ca="1">IF(Y394&lt;DATE(2023,5,1),0,
IF(J394="زراعة",
K394*
(
INT((Y394-MAX(DATE(2023,5,1),D394))/365)
+
CEILING(MOD((Y394-MAX(DATE(2023,5,1),D394))/365,1),0.25)
)
*3,
IF(J394="ردم",
K394*20,
K394*
(
DATEDIF(MAX(DATE(2023,5,1),D394),Y394,"m")+1
)
*
_xlfn.SWITCH(J394,
"موقف/تندة",6,
"تشوينات",4,
"مشاتل",2,
"رسو مراكب",6,
"مباني",3,
"عشش",1,
"كشك (تجاري/صناعي)",20,
"مواسير صرف صحي (&lt;1م)",16,
"مواسير صرف صحي (&gt;1م)",18,
0))))</f>
        <v>2220</v>
      </c>
      <c r="AD394" s="1">
        <f t="shared" ca="1" si="39"/>
        <v>55</v>
      </c>
    </row>
    <row r="395" spans="1:30" ht="18.75" x14ac:dyDescent="0.25">
      <c r="A395" s="52">
        <v>352</v>
      </c>
      <c r="B395" s="6">
        <v>96</v>
      </c>
      <c r="C395" s="6">
        <v>2017</v>
      </c>
      <c r="D395" s="7">
        <v>42950</v>
      </c>
      <c r="E395" s="12" t="s">
        <v>535</v>
      </c>
      <c r="F395" s="6"/>
      <c r="G395" s="6" t="s">
        <v>461</v>
      </c>
      <c r="H395" s="6"/>
      <c r="I395" s="6" t="s">
        <v>33</v>
      </c>
      <c r="J395" s="3" t="s">
        <v>27</v>
      </c>
      <c r="K395" s="6">
        <v>20</v>
      </c>
      <c r="L395" s="3" t="s">
        <v>90</v>
      </c>
      <c r="M395" s="7"/>
      <c r="N395" s="6"/>
      <c r="O395" s="9">
        <f>0.47*Table2[[#This Row],[قيمة المحضر]]</f>
        <v>0</v>
      </c>
      <c r="P395" s="9">
        <f>0.17*Table2[[#This Row],[قيمة المحضر]]</f>
        <v>0</v>
      </c>
      <c r="Q395" s="9">
        <f t="shared" ca="1" si="35"/>
        <v>4660</v>
      </c>
      <c r="R395" s="3"/>
      <c r="S395" s="3"/>
      <c r="T395" s="9" t="str">
        <f t="shared" si="36"/>
        <v>-</v>
      </c>
      <c r="U395" s="3" t="s">
        <v>25</v>
      </c>
      <c r="V395" s="9" t="str">
        <f t="shared" si="37"/>
        <v>-</v>
      </c>
      <c r="W395" s="4"/>
      <c r="X395" s="38"/>
      <c r="Y395" s="1">
        <f t="shared" ca="1" si="38"/>
        <v>46162</v>
      </c>
      <c r="Z395" s="1" cm="1">
        <f t="array" ref="Z395">IF(D395&gt;DATE(2015,5,16),0,
K395*
(
INT((MIN(Y395,DATE(2015,5,16))-D395)/365)
+
CEILING(MOD((MIN(Y395,DATE(2015,5,16))-D395)/365,1),0.25)
)
*
_xlfn.SWITCH(J395,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95" s="1" cm="1">
        <f t="array" aca="1" ref="AA395" ca="1">IF(Y395&lt;DATE(2015,5,17),0,
K395*
(
INT((MIN(Y395,DATE(2018,9,23))-MAX(D395,DATE(2015,5,17)))/365)
+
CEILING(MOD((MIN(Y395,DATE(2018,9,23))-MAX(D395,DATE(2015,5,17)))/365,1),0.25)
)
*
_xlfn.SWITCH(J395,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200</v>
      </c>
      <c r="AB395" s="1" cm="1">
        <f t="array" aca="1" ref="AB395" ca="1">IF(Y395&lt;DATE(2018,9,24),0,
IF(J395="زراعة",
K395*
(
INT((MIN(Y395,DATE(2023,4,30))-MAX(D395,DATE(2018,9,24)))/365)
+
CEILING(MOD((MIN(Y395,DATE(2023,4,30))-MAX(D395,DATE(2018,9,24)))/365,1),0.25)
)
*1,
K395*
(
DATEDIF(MAX(D395,DATE(2018,9,24)),MIN(Y395,DATE(2023,4,30)),"m")+1
)
*
_xlfn.SWITCH(J395,
"موقف/تندة",IF(D395&lt;DATE(2019,11,30),6,30),
"تشوينات",IF(D395&lt;DATE(2019,11,30),4,20),
"مشاتل",IF(D395&lt;DATE(2019,11,30),2,10),
"كافيتيريا",IF(D395&lt;DATE(2019,11,30),30,150),
"نوادي",IF(D395&lt;DATE(2019,11,30),6,30),
"رسو مراكب",IF(D395&lt;DATE(2019,11,30),2,10),
"مباني",IF(D395&lt;DATE(2018,9,24),2,10),
"عشش",IF(D395&lt;DATE(2019,11,30),2,10),
"كشك (تجاري/صناعي)",IF(D395&lt;DATE(2019,11,30),10,50),
"ردم",20,
0)))</f>
        <v>2240</v>
      </c>
      <c r="AC395" s="1" cm="1">
        <f t="array" aca="1" ref="AC395" ca="1">IF(Y395&lt;DATE(2023,5,1),0,
IF(J395="زراعة",
K395*
(
INT((Y395-MAX(DATE(2023,5,1),D395))/365)
+
CEILING(MOD((Y395-MAX(DATE(2023,5,1),D395))/365,1),0.25)
)
*3,
IF(J395="ردم",
K395*20,
K395*
(
DATEDIF(MAX(DATE(2023,5,1),D395),Y395,"m")+1
)
*
_xlfn.SWITCH(J395,
"موقف/تندة",6,
"تشوينات",4,
"مشاتل",2,
"رسو مراكب",6,
"مباني",3,
"عشش",1,
"كشك (تجاري/صناعي)",20,
"مواسير صرف صحي (&lt;1م)",16,
"مواسير صرف صحي (&gt;1م)",18,
0))))</f>
        <v>2220</v>
      </c>
      <c r="AD395" s="1">
        <f t="shared" ca="1" si="39"/>
        <v>55</v>
      </c>
    </row>
    <row r="396" spans="1:30" ht="18.75" x14ac:dyDescent="0.25">
      <c r="A396" s="52">
        <v>353</v>
      </c>
      <c r="B396" s="6">
        <v>97</v>
      </c>
      <c r="C396" s="6">
        <v>2017</v>
      </c>
      <c r="D396" s="7">
        <v>42950</v>
      </c>
      <c r="E396" s="12" t="s">
        <v>536</v>
      </c>
      <c r="F396" s="6"/>
      <c r="G396" s="6" t="s">
        <v>462</v>
      </c>
      <c r="H396" s="6"/>
      <c r="I396" s="6" t="s">
        <v>33</v>
      </c>
      <c r="J396" s="3" t="s">
        <v>29</v>
      </c>
      <c r="K396" s="6">
        <v>6</v>
      </c>
      <c r="L396" s="3" t="s">
        <v>90</v>
      </c>
      <c r="M396" s="7"/>
      <c r="N396" s="6"/>
      <c r="O396" s="9">
        <f>0.47*Table2[[#This Row],[قيمة المحضر]]</f>
        <v>0</v>
      </c>
      <c r="P396" s="9">
        <f>0.17*Table2[[#This Row],[قيمة المحضر]]</f>
        <v>0</v>
      </c>
      <c r="Q396" s="9">
        <f t="shared" ca="1" si="35"/>
        <v>8700</v>
      </c>
      <c r="R396" s="3"/>
      <c r="S396" s="3"/>
      <c r="T396" s="9" t="str">
        <f t="shared" si="36"/>
        <v>-</v>
      </c>
      <c r="U396" s="3" t="s">
        <v>25</v>
      </c>
      <c r="V396" s="9" t="str">
        <f t="shared" si="37"/>
        <v>-</v>
      </c>
      <c r="W396" s="4"/>
      <c r="X396" s="38"/>
      <c r="Y396" s="1">
        <f t="shared" ca="1" si="38"/>
        <v>46162</v>
      </c>
      <c r="Z396" s="1" cm="1">
        <f t="array" ref="Z396">IF(D396&gt;DATE(2015,5,16),0,
K396*
(
INT((MIN(Y396,DATE(2015,5,16))-D396)/365)
+
CEILING(MOD((MIN(Y396,DATE(2015,5,16))-D396)/365,1),0.25)
)
*
_xlfn.SWITCH(J396,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96" s="1" cm="1">
        <f t="array" aca="1" ref="AA396" ca="1">IF(Y396&lt;DATE(2015,5,17),0,
K396*
(
INT((MIN(Y396,DATE(2018,9,23))-MAX(D396,DATE(2015,5,17)))/365)
+
CEILING(MOD((MIN(Y396,DATE(2018,9,23))-MAX(D396,DATE(2015,5,17)))/365,1),0.25)
)
*
_xlfn.SWITCH(J396,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900</v>
      </c>
      <c r="AB396" s="1" cm="1">
        <f t="array" aca="1" ref="AB396" ca="1">IF(Y396&lt;DATE(2018,9,24),0,
IF(J396="زراعة",
K396*
(
INT((MIN(Y396,DATE(2023,4,30))-MAX(D396,DATE(2018,9,24)))/365)
+
CEILING(MOD((MIN(Y396,DATE(2023,4,30))-MAX(D396,DATE(2018,9,24)))/365,1),0.25)
)
*1,
K396*
(
DATEDIF(MAX(D396,DATE(2018,9,24)),MIN(Y396,DATE(2023,4,30)),"m")+1
)
*
_xlfn.SWITCH(J396,
"موقف/تندة",IF(D396&lt;DATE(2019,11,30),6,30),
"تشوينات",IF(D396&lt;DATE(2019,11,30),4,20),
"مشاتل",IF(D396&lt;DATE(2019,11,30),2,10),
"كافيتيريا",IF(D396&lt;DATE(2019,11,30),30,150),
"نوادي",IF(D396&lt;DATE(2019,11,30),6,30),
"رسو مراكب",IF(D396&lt;DATE(2019,11,30),2,10),
"مباني",IF(D396&lt;DATE(2018,9,24),2,10),
"عشش",IF(D396&lt;DATE(2019,11,30),2,10),
"كشك (تجاري/صناعي)",IF(D396&lt;DATE(2019,11,30),10,50),
"ردم",20,
0)))</f>
        <v>3360</v>
      </c>
      <c r="AC396" s="1" cm="1">
        <f t="array" aca="1" ref="AC396" ca="1">IF(Y396&lt;DATE(2023,5,1),0,
IF(J396="زراعة",
K396*
(
INT((Y396-MAX(DATE(2023,5,1),D396))/365)
+
CEILING(MOD((Y396-MAX(DATE(2023,5,1),D396))/365,1),0.25)
)
*3,
IF(J396="ردم",
K396*20,
K396*
(
DATEDIF(MAX(DATE(2023,5,1),D396),Y396,"m")+1
)
*
_xlfn.SWITCH(J396,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396" s="1">
        <f t="shared" ca="1" si="39"/>
        <v>55</v>
      </c>
    </row>
    <row r="397" spans="1:30" ht="18.75" x14ac:dyDescent="0.25">
      <c r="A397" s="52">
        <v>354</v>
      </c>
      <c r="B397" s="6">
        <v>98</v>
      </c>
      <c r="C397" s="6">
        <v>2017</v>
      </c>
      <c r="D397" s="7">
        <v>42950</v>
      </c>
      <c r="E397" s="12" t="s">
        <v>537</v>
      </c>
      <c r="F397" s="6"/>
      <c r="G397" s="6" t="s">
        <v>463</v>
      </c>
      <c r="H397" s="6"/>
      <c r="I397" s="6" t="s">
        <v>33</v>
      </c>
      <c r="J397" s="3" t="s">
        <v>29</v>
      </c>
      <c r="K397" s="6">
        <v>4</v>
      </c>
      <c r="L397" s="3" t="s">
        <v>90</v>
      </c>
      <c r="M397" s="7"/>
      <c r="N397" s="6"/>
      <c r="O397" s="9">
        <f>0.47*Table2[[#This Row],[قيمة المحضر]]</f>
        <v>0</v>
      </c>
      <c r="P397" s="9">
        <f>0.17*Table2[[#This Row],[قيمة المحضر]]</f>
        <v>0</v>
      </c>
      <c r="Q397" s="9">
        <f t="shared" ca="1" si="35"/>
        <v>5800</v>
      </c>
      <c r="R397" s="3"/>
      <c r="S397" s="3"/>
      <c r="T397" s="9" t="str">
        <f t="shared" si="36"/>
        <v>-</v>
      </c>
      <c r="U397" s="3" t="s">
        <v>25</v>
      </c>
      <c r="V397" s="9" t="str">
        <f t="shared" si="37"/>
        <v>-</v>
      </c>
      <c r="W397" s="4"/>
      <c r="X397" s="38"/>
      <c r="Y397" s="1">
        <f t="shared" ca="1" si="38"/>
        <v>46162</v>
      </c>
      <c r="Z397" s="1" cm="1">
        <f t="array" ref="Z397">IF(D397&gt;DATE(2015,5,16),0,
K397*
(
INT((MIN(Y397,DATE(2015,5,16))-D397)/365)
+
CEILING(MOD((MIN(Y397,DATE(2015,5,16))-D397)/365,1),0.25)
)
*
_xlfn.SWITCH(J397,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97" s="1" cm="1">
        <f t="array" aca="1" ref="AA397" ca="1">IF(Y397&lt;DATE(2015,5,17),0,
K397*
(
INT((MIN(Y397,DATE(2018,9,23))-MAX(D397,DATE(2015,5,17)))/365)
+
CEILING(MOD((MIN(Y397,DATE(2018,9,23))-MAX(D397,DATE(2015,5,17)))/365,1),0.25)
)
*
_xlfn.SWITCH(J397,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600</v>
      </c>
      <c r="AB397" s="1" cm="1">
        <f t="array" aca="1" ref="AB397" ca="1">IF(Y397&lt;DATE(2018,9,24),0,
IF(J397="زراعة",
K397*
(
INT((MIN(Y397,DATE(2023,4,30))-MAX(D397,DATE(2018,9,24)))/365)
+
CEILING(MOD((MIN(Y397,DATE(2023,4,30))-MAX(D397,DATE(2018,9,24)))/365,1),0.25)
)
*1,
K397*
(
DATEDIF(MAX(D397,DATE(2018,9,24)),MIN(Y397,DATE(2023,4,30)),"m")+1
)
*
_xlfn.SWITCH(J397,
"موقف/تندة",IF(D397&lt;DATE(2019,11,30),6,30),
"تشوينات",IF(D397&lt;DATE(2019,11,30),4,20),
"مشاتل",IF(D397&lt;DATE(2019,11,30),2,10),
"كافيتيريا",IF(D397&lt;DATE(2019,11,30),30,150),
"نوادي",IF(D397&lt;DATE(2019,11,30),6,30),
"رسو مراكب",IF(D397&lt;DATE(2019,11,30),2,10),
"مباني",IF(D397&lt;DATE(2018,9,24),2,10),
"عشش",IF(D397&lt;DATE(2019,11,30),2,10),
"كشك (تجاري/صناعي)",IF(D397&lt;DATE(2019,11,30),10,50),
"ردم",20,
0)))</f>
        <v>2240</v>
      </c>
      <c r="AC397" s="1" cm="1">
        <f t="array" aca="1" ref="AC397" ca="1">IF(Y397&lt;DATE(2023,5,1),0,
IF(J397="زراعة",
K397*
(
INT((Y397-MAX(DATE(2023,5,1),D397))/365)
+
CEILING(MOD((Y397-MAX(DATE(2023,5,1),D397))/365,1),0.25)
)
*3,
IF(J397="ردم",
K397*20,
K397*
(
DATEDIF(MAX(DATE(2023,5,1),D397),Y397,"m")+1
)
*
_xlfn.SWITCH(J397,
"موقف/تندة",6,
"تشوينات",4,
"مشاتل",2,
"رسو مراكب",6,
"مباني",3,
"عشش",1,
"كشك (تجاري/صناعي)",20,
"مواسير صرف صحي (&lt;1م)",16,
"مواسير صرف صحي (&gt;1م)",18,
0))))</f>
        <v>2960</v>
      </c>
      <c r="AD397" s="1">
        <f t="shared" ca="1" si="39"/>
        <v>55</v>
      </c>
    </row>
    <row r="398" spans="1:30" ht="18.75" x14ac:dyDescent="0.25">
      <c r="A398" s="52">
        <v>355</v>
      </c>
      <c r="B398" s="6">
        <v>99</v>
      </c>
      <c r="C398" s="6">
        <v>2017</v>
      </c>
      <c r="D398" s="7">
        <v>42950</v>
      </c>
      <c r="E398" s="12" t="s">
        <v>538</v>
      </c>
      <c r="F398" s="6"/>
      <c r="G398" s="6" t="s">
        <v>236</v>
      </c>
      <c r="H398" s="6"/>
      <c r="I398" s="6" t="s">
        <v>33</v>
      </c>
      <c r="J398" s="3" t="s">
        <v>27</v>
      </c>
      <c r="K398" s="6">
        <v>24</v>
      </c>
      <c r="L398" s="3" t="s">
        <v>90</v>
      </c>
      <c r="M398" s="7"/>
      <c r="N398" s="6"/>
      <c r="O398" s="9">
        <f>0.47*Table2[[#This Row],[قيمة المحضر]]</f>
        <v>0</v>
      </c>
      <c r="P398" s="9">
        <f>0.17*Table2[[#This Row],[قيمة المحضر]]</f>
        <v>0</v>
      </c>
      <c r="Q398" s="9">
        <f t="shared" ca="1" si="35"/>
        <v>5592</v>
      </c>
      <c r="R398" s="3"/>
      <c r="S398" s="3"/>
      <c r="T398" s="9" t="str">
        <f t="shared" si="36"/>
        <v>-</v>
      </c>
      <c r="U398" s="3" t="s">
        <v>25</v>
      </c>
      <c r="V398" s="9" t="str">
        <f t="shared" si="37"/>
        <v>-</v>
      </c>
      <c r="W398" s="4"/>
      <c r="X398" s="38"/>
      <c r="Y398" s="1">
        <f t="shared" ca="1" si="38"/>
        <v>46162</v>
      </c>
      <c r="Z398" s="1" cm="1">
        <f t="array" ref="Z398">IF(D398&gt;DATE(2015,5,16),0,
K398*
(
INT((MIN(Y398,DATE(2015,5,16))-D398)/365)
+
CEILING(MOD((MIN(Y398,DATE(2015,5,16))-D398)/365,1),0.25)
)
*
_xlfn.SWITCH(J398,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98" s="1" cm="1">
        <f t="array" aca="1" ref="AA398" ca="1">IF(Y398&lt;DATE(2015,5,17),0,
K398*
(
INT((MIN(Y398,DATE(2018,9,23))-MAX(D398,DATE(2015,5,17)))/365)
+
CEILING(MOD((MIN(Y398,DATE(2018,9,23))-MAX(D398,DATE(2015,5,17)))/365,1),0.25)
)
*
_xlfn.SWITCH(J398,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240</v>
      </c>
      <c r="AB398" s="1" cm="1">
        <f t="array" aca="1" ref="AB398" ca="1">IF(Y398&lt;DATE(2018,9,24),0,
IF(J398="زراعة",
K398*
(
INT((MIN(Y398,DATE(2023,4,30))-MAX(D398,DATE(2018,9,24)))/365)
+
CEILING(MOD((MIN(Y398,DATE(2023,4,30))-MAX(D398,DATE(2018,9,24)))/365,1),0.25)
)
*1,
K398*
(
DATEDIF(MAX(D398,DATE(2018,9,24)),MIN(Y398,DATE(2023,4,30)),"m")+1
)
*
_xlfn.SWITCH(J398,
"موقف/تندة",IF(D398&lt;DATE(2019,11,30),6,30),
"تشوينات",IF(D398&lt;DATE(2019,11,30),4,20),
"مشاتل",IF(D398&lt;DATE(2019,11,30),2,10),
"كافيتيريا",IF(D398&lt;DATE(2019,11,30),30,150),
"نوادي",IF(D398&lt;DATE(2019,11,30),6,30),
"رسو مراكب",IF(D398&lt;DATE(2019,11,30),2,10),
"مباني",IF(D398&lt;DATE(2018,9,24),2,10),
"عشش",IF(D398&lt;DATE(2019,11,30),2,10),
"كشك (تجاري/صناعي)",IF(D398&lt;DATE(2019,11,30),10,50),
"ردم",20,
0)))</f>
        <v>2688</v>
      </c>
      <c r="AC398" s="1" cm="1">
        <f t="array" aca="1" ref="AC398" ca="1">IF(Y398&lt;DATE(2023,5,1),0,
IF(J398="زراعة",
K398*
(
INT((Y398-MAX(DATE(2023,5,1),D398))/365)
+
CEILING(MOD((Y398-MAX(DATE(2023,5,1),D398))/365,1),0.25)
)
*3,
IF(J398="ردم",
K398*20,
K398*
(
DATEDIF(MAX(DATE(2023,5,1),D398),Y398,"m")+1
)
*
_xlfn.SWITCH(J398,
"موقف/تندة",6,
"تشوينات",4,
"مشاتل",2,
"رسو مراكب",6,
"مباني",3,
"عشش",1,
"كشك (تجاري/صناعي)",20,
"مواسير صرف صحي (&lt;1م)",16,
"مواسير صرف صحي (&gt;1م)",18,
0))))</f>
        <v>2664</v>
      </c>
      <c r="AD398" s="1">
        <f t="shared" ca="1" si="39"/>
        <v>55</v>
      </c>
    </row>
    <row r="399" spans="1:30" ht="18.75" x14ac:dyDescent="0.25">
      <c r="A399" s="52">
        <v>356</v>
      </c>
      <c r="B399" s="82">
        <v>100</v>
      </c>
      <c r="C399" s="6">
        <v>2017</v>
      </c>
      <c r="D399" s="7">
        <v>42950</v>
      </c>
      <c r="E399" s="12" t="s">
        <v>539</v>
      </c>
      <c r="F399" s="6"/>
      <c r="G399" s="6" t="s">
        <v>464</v>
      </c>
      <c r="H399" s="6"/>
      <c r="I399" s="6" t="s">
        <v>33</v>
      </c>
      <c r="J399" s="3" t="s">
        <v>77</v>
      </c>
      <c r="K399" s="6">
        <v>20</v>
      </c>
      <c r="L399" s="3" t="s">
        <v>90</v>
      </c>
      <c r="M399" s="7"/>
      <c r="N399" s="6"/>
      <c r="O399" s="9">
        <f>0.47*Table2[[#This Row],[قيمة المحضر]]</f>
        <v>0</v>
      </c>
      <c r="P399" s="9">
        <f>0.17*Table2[[#This Row],[قيمة المحضر]]</f>
        <v>0</v>
      </c>
      <c r="Q399" s="9">
        <f t="shared" ca="1" si="35"/>
        <v>23300</v>
      </c>
      <c r="R399" s="3"/>
      <c r="S399" s="3"/>
      <c r="T399" s="9" t="str">
        <f t="shared" si="36"/>
        <v>-</v>
      </c>
      <c r="U399" s="3" t="s">
        <v>25</v>
      </c>
      <c r="V399" s="9" t="str">
        <f t="shared" si="37"/>
        <v>-</v>
      </c>
      <c r="W399" s="4"/>
      <c r="X399" s="38"/>
      <c r="Y399" s="1">
        <f t="shared" ca="1" si="38"/>
        <v>46162</v>
      </c>
      <c r="Z399" s="1" cm="1">
        <f t="array" ref="Z399">IF(D399&gt;DATE(2015,5,16),0,
K399*
(
INT((MIN(Y399,DATE(2015,5,16))-D399)/365)
+
CEILING(MOD((MIN(Y399,DATE(2015,5,16))-D399)/365,1),0.25)
)
*
_xlfn.SWITCH(J399,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399" s="1" cm="1">
        <f t="array" aca="1" ref="AA399" ca="1">IF(Y399&lt;DATE(2015,5,17),0,
K399*
(
INT((MIN(Y399,DATE(2018,9,23))-MAX(D399,DATE(2015,5,17)))/365)
+
CEILING(MOD((MIN(Y399,DATE(2018,9,23))-MAX(D399,DATE(2015,5,17)))/365,1),0.25)
)
*
_xlfn.SWITCH(J399,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500</v>
      </c>
      <c r="AB399" s="1" cm="1">
        <f t="array" aca="1" ref="AB399" ca="1">IF(Y399&lt;DATE(2018,9,24),0,
IF(J399="زراعة",
K399*
(
INT((MIN(Y399,DATE(2023,4,30))-MAX(D399,DATE(2018,9,24)))/365)
+
CEILING(MOD((MIN(Y399,DATE(2023,4,30))-MAX(D399,DATE(2018,9,24)))/365,1),0.25)
)
*1,
K399*
(
DATEDIF(MAX(D399,DATE(2018,9,24)),MIN(Y399,DATE(2023,4,30)),"m")+1
)
*
_xlfn.SWITCH(J399,
"موقف/تندة",IF(D399&lt;DATE(2019,11,30),6,30),
"تشوينات",IF(D399&lt;DATE(2019,11,30),4,20),
"مشاتل",IF(D399&lt;DATE(2019,11,30),2,10),
"كافيتيريا",IF(D399&lt;DATE(2019,11,30),30,150),
"نوادي",IF(D399&lt;DATE(2019,11,30),6,30),
"رسو مراكب",IF(D399&lt;DATE(2019,11,30),2,10),
"مباني",IF(D399&lt;DATE(2018,9,24),2,10),
"عشش",IF(D399&lt;DATE(2019,11,30),2,10),
"كشك (تجاري/صناعي)",IF(D399&lt;DATE(2019,11,30),10,50),
"ردم",20,
0)))</f>
        <v>22400</v>
      </c>
      <c r="AC399" s="1" cm="1">
        <f t="array" aca="1" ref="AC399" ca="1">IF(Y399&lt;DATE(2023,5,1),0,
IF(J399="زراعة",
K399*
(
INT((Y399-MAX(DATE(2023,5,1),D399))/365)
+
CEILING(MOD((Y399-MAX(DATE(2023,5,1),D399))/365,1),0.25)
)
*3,
IF(J399="ردم",
K399*20,
K399*
(
DATEDIF(MAX(DATE(2023,5,1),D399),Y399,"m")+1
)
*
_xlfn.SWITCH(J399,
"موقف/تندة",6,
"تشوينات",4,
"مشاتل",2,
"رسو مراكب",6,
"مباني",3,
"عشش",1,
"كشك (تجاري/صناعي)",20,
"مواسير صرف صحي (&lt;1م)",16,
"مواسير صرف صحي (&gt;1م)",18,
0))))</f>
        <v>400</v>
      </c>
      <c r="AD399" s="1">
        <f t="shared" ca="1" si="39"/>
        <v>55</v>
      </c>
    </row>
    <row r="400" spans="1:30" ht="18.75" x14ac:dyDescent="0.25">
      <c r="A400" s="52">
        <v>356</v>
      </c>
      <c r="B400" s="82">
        <v>100</v>
      </c>
      <c r="C400" s="6">
        <v>2017</v>
      </c>
      <c r="D400" s="7">
        <v>42950</v>
      </c>
      <c r="E400" s="12" t="s">
        <v>539</v>
      </c>
      <c r="F400" s="6"/>
      <c r="G400" s="6" t="s">
        <v>464</v>
      </c>
      <c r="H400" s="6"/>
      <c r="I400" s="6" t="s">
        <v>33</v>
      </c>
      <c r="J400" s="3" t="s">
        <v>438</v>
      </c>
      <c r="K400" s="6">
        <v>20</v>
      </c>
      <c r="L400" s="3" t="s">
        <v>90</v>
      </c>
      <c r="M400" s="7"/>
      <c r="N400" s="6"/>
      <c r="O400" s="9">
        <f>0.47*Table2[[#This Row],[قيمة المحضر]]</f>
        <v>0</v>
      </c>
      <c r="P400" s="9">
        <f>0.17*Table2[[#This Row],[قيمة المحضر]]</f>
        <v>0</v>
      </c>
      <c r="Q400" s="9">
        <f t="shared" ca="1" si="35"/>
        <v>7640</v>
      </c>
      <c r="R400" s="3"/>
      <c r="S400" s="3"/>
      <c r="T400" s="9" t="str">
        <f t="shared" si="36"/>
        <v>-</v>
      </c>
      <c r="U400" s="3" t="s">
        <v>25</v>
      </c>
      <c r="V400" s="9" t="str">
        <f t="shared" si="37"/>
        <v>-</v>
      </c>
      <c r="W400" s="4"/>
      <c r="X400" s="38"/>
      <c r="Y400" s="1">
        <f t="shared" ca="1" si="38"/>
        <v>46162</v>
      </c>
      <c r="Z400" s="1" cm="1">
        <f t="array" ref="Z400">IF(D400&gt;DATE(2015,5,16),0,
K400*
(
INT((MIN(Y400,DATE(2015,5,16))-D400)/365)
+
CEILING(MOD((MIN(Y400,DATE(2015,5,16))-D400)/365,1),0.25)
)
*
_xlfn.SWITCH(J400,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00" s="1" cm="1">
        <f t="array" aca="1" ref="AA400" ca="1">IF(Y400&lt;DATE(2015,5,17),0,
K400*
(
INT((MIN(Y400,DATE(2018,9,23))-MAX(D400,DATE(2015,5,17)))/365)
+
CEILING(MOD((MIN(Y400,DATE(2018,9,23))-MAX(D400,DATE(2015,5,17)))/365,1),0.25)
)
*
_xlfn.SWITCH(J400,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200</v>
      </c>
      <c r="AB400" s="1" cm="1">
        <f t="array" aca="1" ref="AB400" ca="1">IF(Y400&lt;DATE(2018,9,24),0,
IF(J400="زراعة",
K400*
(
INT((MIN(Y400,DATE(2023,4,30))-MAX(D400,DATE(2018,9,24)))/365)
+
CEILING(MOD((MIN(Y400,DATE(2023,4,30))-MAX(D400,DATE(2018,9,24)))/365,1),0.25)
)
*1,
K400*
(
DATEDIF(MAX(D400,DATE(2018,9,24)),MIN(Y400,DATE(2023,4,30)),"m")+1
)
*
_xlfn.SWITCH(J400,
"موقف/تندة",IF(D400&lt;DATE(2019,11,30),6,30),
"تشوينات",IF(D400&lt;DATE(2019,11,30),4,20),
"مشاتل",IF(D400&lt;DATE(2019,11,30),2,10),
"كافيتيريا",IF(D400&lt;DATE(2019,11,30),30,150),
"نوادي",IF(D400&lt;DATE(2019,11,30),6,30),
"رسو مراكب",IF(D400&lt;DATE(2019,11,30),2,10),
"مباني",IF(D400&lt;DATE(2018,9,24),2,10),
"عشش",IF(D400&lt;DATE(2019,11,30),2,10),
"كشك (تجاري/صناعي)",IF(D400&lt;DATE(2019,11,30),10,50),
"ردم",20,
0)))</f>
        <v>4480</v>
      </c>
      <c r="AC400" s="1" cm="1">
        <f t="array" aca="1" ref="AC400" ca="1">IF(Y400&lt;DATE(2023,5,1),0,
IF(J400="زراعة",
K400*
(
INT((Y400-MAX(DATE(2023,5,1),D400))/365)
+
CEILING(MOD((Y400-MAX(DATE(2023,5,1),D400))/365,1),0.25)
)
*3,
IF(J400="ردم",
K400*20,
K400*
(
DATEDIF(MAX(DATE(2023,5,1),D400),Y400,"m")+1
)
*
_xlfn.SWITCH(J400,
"موقف/تندة",6,
"تشوينات",4,
"مشاتل",2,
"رسو مراكب",6,
"مباني",3,
"عشش",1,
"كشك (تجاري/صناعي)",20,
"مواسير صرف صحي (&lt;1م)",16,
"مواسير صرف صحي (&gt;1م)",18,
0))))</f>
        <v>2960</v>
      </c>
      <c r="AD400" s="1">
        <f t="shared" ca="1" si="39"/>
        <v>55</v>
      </c>
    </row>
    <row r="401" spans="1:30" ht="18.75" x14ac:dyDescent="0.25">
      <c r="A401" s="52">
        <v>357</v>
      </c>
      <c r="B401" s="6">
        <v>101</v>
      </c>
      <c r="C401" s="6">
        <v>2017</v>
      </c>
      <c r="D401" s="7">
        <v>42950</v>
      </c>
      <c r="E401" s="12" t="s">
        <v>540</v>
      </c>
      <c r="F401" s="6"/>
      <c r="G401" s="6" t="s">
        <v>465</v>
      </c>
      <c r="H401" s="6"/>
      <c r="I401" s="6" t="s">
        <v>33</v>
      </c>
      <c r="J401" s="3" t="s">
        <v>29</v>
      </c>
      <c r="K401" s="6">
        <v>6</v>
      </c>
      <c r="L401" s="3" t="s">
        <v>90</v>
      </c>
      <c r="M401" s="7"/>
      <c r="N401" s="6"/>
      <c r="O401" s="9">
        <f>0.47*Table2[[#This Row],[قيمة المحضر]]</f>
        <v>0</v>
      </c>
      <c r="P401" s="9">
        <f>0.17*Table2[[#This Row],[قيمة المحضر]]</f>
        <v>0</v>
      </c>
      <c r="Q401" s="9">
        <f t="shared" ca="1" si="35"/>
        <v>8700</v>
      </c>
      <c r="R401" s="3"/>
      <c r="S401" s="3"/>
      <c r="T401" s="9" t="str">
        <f t="shared" si="36"/>
        <v>-</v>
      </c>
      <c r="U401" s="3" t="s">
        <v>25</v>
      </c>
      <c r="V401" s="9" t="str">
        <f t="shared" si="37"/>
        <v>-</v>
      </c>
      <c r="W401" s="4"/>
      <c r="X401" s="38"/>
      <c r="Y401" s="1">
        <f t="shared" ca="1" si="38"/>
        <v>46162</v>
      </c>
      <c r="Z401" s="1" cm="1">
        <f t="array" ref="Z401">IF(D401&gt;DATE(2015,5,16),0,
K401*
(
INT((MIN(Y401,DATE(2015,5,16))-D401)/365)
+
CEILING(MOD((MIN(Y401,DATE(2015,5,16))-D401)/365,1),0.25)
)
*
_xlfn.SWITCH(J401,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01" s="1" cm="1">
        <f t="array" aca="1" ref="AA401" ca="1">IF(Y401&lt;DATE(2015,5,17),0,
K401*
(
INT((MIN(Y401,DATE(2018,9,23))-MAX(D401,DATE(2015,5,17)))/365)
+
CEILING(MOD((MIN(Y401,DATE(2018,9,23))-MAX(D401,DATE(2015,5,17)))/365,1),0.25)
)
*
_xlfn.SWITCH(J401,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900</v>
      </c>
      <c r="AB401" s="1" cm="1">
        <f t="array" aca="1" ref="AB401" ca="1">IF(Y401&lt;DATE(2018,9,24),0,
IF(J401="زراعة",
K401*
(
INT((MIN(Y401,DATE(2023,4,30))-MAX(D401,DATE(2018,9,24)))/365)
+
CEILING(MOD((MIN(Y401,DATE(2023,4,30))-MAX(D401,DATE(2018,9,24)))/365,1),0.25)
)
*1,
K401*
(
DATEDIF(MAX(D401,DATE(2018,9,24)),MIN(Y401,DATE(2023,4,30)),"m")+1
)
*
_xlfn.SWITCH(J401,
"موقف/تندة",IF(D401&lt;DATE(2019,11,30),6,30),
"تشوينات",IF(D401&lt;DATE(2019,11,30),4,20),
"مشاتل",IF(D401&lt;DATE(2019,11,30),2,10),
"كافيتيريا",IF(D401&lt;DATE(2019,11,30),30,150),
"نوادي",IF(D401&lt;DATE(2019,11,30),6,30),
"رسو مراكب",IF(D401&lt;DATE(2019,11,30),2,10),
"مباني",IF(D401&lt;DATE(2018,9,24),2,10),
"عشش",IF(D401&lt;DATE(2019,11,30),2,10),
"كشك (تجاري/صناعي)",IF(D401&lt;DATE(2019,11,30),10,50),
"ردم",20,
0)))</f>
        <v>3360</v>
      </c>
      <c r="AC401" s="1" cm="1">
        <f t="array" aca="1" ref="AC401" ca="1">IF(Y401&lt;DATE(2023,5,1),0,
IF(J401="زراعة",
K401*
(
INT((Y401-MAX(DATE(2023,5,1),D401))/365)
+
CEILING(MOD((Y401-MAX(DATE(2023,5,1),D401))/365,1),0.25)
)
*3,
IF(J401="ردم",
K401*20,
K401*
(
DATEDIF(MAX(DATE(2023,5,1),D401),Y401,"m")+1
)
*
_xlfn.SWITCH(J401,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401" s="1">
        <f t="shared" ca="1" si="39"/>
        <v>55</v>
      </c>
    </row>
    <row r="402" spans="1:30" ht="18.75" x14ac:dyDescent="0.25">
      <c r="A402" s="52">
        <v>358</v>
      </c>
      <c r="B402" s="6">
        <v>102</v>
      </c>
      <c r="C402" s="6">
        <v>2017</v>
      </c>
      <c r="D402" s="7">
        <v>42950</v>
      </c>
      <c r="E402" s="12" t="s">
        <v>541</v>
      </c>
      <c r="F402" s="6"/>
      <c r="G402" s="6" t="s">
        <v>466</v>
      </c>
      <c r="H402" s="6"/>
      <c r="I402" s="6" t="s">
        <v>33</v>
      </c>
      <c r="J402" s="3" t="s">
        <v>28</v>
      </c>
      <c r="K402" s="6">
        <v>8</v>
      </c>
      <c r="L402" s="3" t="s">
        <v>90</v>
      </c>
      <c r="M402" s="7"/>
      <c r="N402" s="6"/>
      <c r="O402" s="9">
        <f>0.47*Table2[[#This Row],[قيمة المحضر]]</f>
        <v>0</v>
      </c>
      <c r="P402" s="9">
        <f>0.17*Table2[[#This Row],[قيمة المحضر]]</f>
        <v>0</v>
      </c>
      <c r="Q402" s="9">
        <f t="shared" ca="1" si="35"/>
        <v>1232</v>
      </c>
      <c r="R402" s="3"/>
      <c r="S402" s="3"/>
      <c r="T402" s="9" t="str">
        <f t="shared" si="36"/>
        <v>-</v>
      </c>
      <c r="U402" s="3" t="s">
        <v>25</v>
      </c>
      <c r="V402" s="9" t="str">
        <f t="shared" si="37"/>
        <v>-</v>
      </c>
      <c r="W402" s="4"/>
      <c r="X402" s="38"/>
      <c r="Y402" s="1">
        <f t="shared" ca="1" si="38"/>
        <v>46162</v>
      </c>
      <c r="Z402" s="1" cm="1">
        <f t="array" ref="Z402">IF(D402&gt;DATE(2015,5,16),0,
K402*
(
INT((MIN(Y402,DATE(2015,5,16))-D402)/365)
+
CEILING(MOD((MIN(Y402,DATE(2015,5,16))-D402)/365,1),0.25)
)
*
_xlfn.SWITCH(J402,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02" s="1" cm="1">
        <f t="array" aca="1" ref="AA402" ca="1">IF(Y402&lt;DATE(2015,5,17),0,
K402*
(
INT((MIN(Y402,DATE(2018,9,23))-MAX(D402,DATE(2015,5,17)))/365)
+
CEILING(MOD((MIN(Y402,DATE(2018,9,23))-MAX(D402,DATE(2015,5,17)))/365,1),0.25)
)
*
_xlfn.SWITCH(J402,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40</v>
      </c>
      <c r="AB402" s="1" cm="1">
        <f t="array" aca="1" ref="AB402" ca="1">IF(Y402&lt;DATE(2018,9,24),0,
IF(J402="زراعة",
K402*
(
INT((MIN(Y402,DATE(2023,4,30))-MAX(D402,DATE(2018,9,24)))/365)
+
CEILING(MOD((MIN(Y402,DATE(2023,4,30))-MAX(D402,DATE(2018,9,24)))/365,1),0.25)
)
*1,
K402*
(
DATEDIF(MAX(D402,DATE(2018,9,24)),MIN(Y402,DATE(2023,4,30)),"m")+1
)
*
_xlfn.SWITCH(J402,
"موقف/تندة",IF(D402&lt;DATE(2019,11,30),6,30),
"تشوينات",IF(D402&lt;DATE(2019,11,30),4,20),
"مشاتل",IF(D402&lt;DATE(2019,11,30),2,10),
"كافيتيريا",IF(D402&lt;DATE(2019,11,30),30,150),
"نوادي",IF(D402&lt;DATE(2019,11,30),6,30),
"رسو مراكب",IF(D402&lt;DATE(2019,11,30),2,10),
"مباني",IF(D402&lt;DATE(2018,9,24),2,10),
"عشش",IF(D402&lt;DATE(2019,11,30),2,10),
"كشك (تجاري/صناعي)",IF(D402&lt;DATE(2019,11,30),10,50),
"ردم",20,
0)))</f>
        <v>896</v>
      </c>
      <c r="AC402" s="1" cm="1">
        <f t="array" aca="1" ref="AC402" ca="1">IF(Y402&lt;DATE(2023,5,1),0,
IF(J402="زراعة",
K402*
(
INT((Y402-MAX(DATE(2023,5,1),D402))/365)
+
CEILING(MOD((Y402-MAX(DATE(2023,5,1),D402))/365,1),0.25)
)
*3,
IF(J402="ردم",
K402*20,
K402*
(
DATEDIF(MAX(DATE(2023,5,1),D402),Y402,"m")+1
)
*
_xlfn.SWITCH(J402,
"موقف/تندة",6,
"تشوينات",4,
"مشاتل",2,
"رسو مراكب",6,
"مباني",3,
"عشش",1,
"كشك (تجاري/صناعي)",20,
"مواسير صرف صحي (&lt;1م)",16,
"مواسير صرف صحي (&gt;1م)",18,
0))))</f>
        <v>296</v>
      </c>
      <c r="AD402" s="1">
        <f t="shared" ca="1" si="39"/>
        <v>55</v>
      </c>
    </row>
    <row r="403" spans="1:30" ht="18.75" x14ac:dyDescent="0.25">
      <c r="A403" s="52">
        <v>359</v>
      </c>
      <c r="B403" s="6">
        <v>103</v>
      </c>
      <c r="C403" s="6">
        <v>2017</v>
      </c>
      <c r="D403" s="7">
        <v>42950</v>
      </c>
      <c r="E403" s="12" t="s">
        <v>542</v>
      </c>
      <c r="F403" s="6"/>
      <c r="G403" s="6" t="s">
        <v>460</v>
      </c>
      <c r="H403" s="6"/>
      <c r="I403" s="6" t="s">
        <v>33</v>
      </c>
      <c r="J403" s="3" t="s">
        <v>27</v>
      </c>
      <c r="K403" s="6">
        <v>24</v>
      </c>
      <c r="L403" s="3" t="s">
        <v>90</v>
      </c>
      <c r="M403" s="7"/>
      <c r="N403" s="6"/>
      <c r="O403" s="9">
        <f>0.47*Table2[[#This Row],[قيمة المحضر]]</f>
        <v>0</v>
      </c>
      <c r="P403" s="9">
        <f>0.17*Table2[[#This Row],[قيمة المحضر]]</f>
        <v>0</v>
      </c>
      <c r="Q403" s="9">
        <f t="shared" ca="1" si="35"/>
        <v>5592</v>
      </c>
      <c r="R403" s="3"/>
      <c r="S403" s="3"/>
      <c r="T403" s="9" t="str">
        <f t="shared" si="36"/>
        <v>-</v>
      </c>
      <c r="U403" s="3" t="s">
        <v>25</v>
      </c>
      <c r="V403" s="9" t="str">
        <f t="shared" si="37"/>
        <v>-</v>
      </c>
      <c r="W403" s="4"/>
      <c r="X403" s="38"/>
      <c r="Y403" s="1">
        <f t="shared" ca="1" si="38"/>
        <v>46162</v>
      </c>
      <c r="Z403" s="1" cm="1">
        <f t="array" ref="Z403">IF(D403&gt;DATE(2015,5,16),0,
K403*
(
INT((MIN(Y403,DATE(2015,5,16))-D403)/365)
+
CEILING(MOD((MIN(Y403,DATE(2015,5,16))-D403)/365,1),0.25)
)
*
_xlfn.SWITCH(J403,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03" s="1" cm="1">
        <f t="array" aca="1" ref="AA403" ca="1">IF(Y403&lt;DATE(2015,5,17),0,
K403*
(
INT((MIN(Y403,DATE(2018,9,23))-MAX(D403,DATE(2015,5,17)))/365)
+
CEILING(MOD((MIN(Y403,DATE(2018,9,23))-MAX(D403,DATE(2015,5,17)))/365,1),0.25)
)
*
_xlfn.SWITCH(J403,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240</v>
      </c>
      <c r="AB403" s="1" cm="1">
        <f t="array" aca="1" ref="AB403" ca="1">IF(Y403&lt;DATE(2018,9,24),0,
IF(J403="زراعة",
K403*
(
INT((MIN(Y403,DATE(2023,4,30))-MAX(D403,DATE(2018,9,24)))/365)
+
CEILING(MOD((MIN(Y403,DATE(2023,4,30))-MAX(D403,DATE(2018,9,24)))/365,1),0.25)
)
*1,
K403*
(
DATEDIF(MAX(D403,DATE(2018,9,24)),MIN(Y403,DATE(2023,4,30)),"m")+1
)
*
_xlfn.SWITCH(J403,
"موقف/تندة",IF(D403&lt;DATE(2019,11,30),6,30),
"تشوينات",IF(D403&lt;DATE(2019,11,30),4,20),
"مشاتل",IF(D403&lt;DATE(2019,11,30),2,10),
"كافيتيريا",IF(D403&lt;DATE(2019,11,30),30,150),
"نوادي",IF(D403&lt;DATE(2019,11,30),6,30),
"رسو مراكب",IF(D403&lt;DATE(2019,11,30),2,10),
"مباني",IF(D403&lt;DATE(2018,9,24),2,10),
"عشش",IF(D403&lt;DATE(2019,11,30),2,10),
"كشك (تجاري/صناعي)",IF(D403&lt;DATE(2019,11,30),10,50),
"ردم",20,
0)))</f>
        <v>2688</v>
      </c>
      <c r="AC403" s="1" cm="1">
        <f t="array" aca="1" ref="AC403" ca="1">IF(Y403&lt;DATE(2023,5,1),0,
IF(J403="زراعة",
K403*
(
INT((Y403-MAX(DATE(2023,5,1),D403))/365)
+
CEILING(MOD((Y403-MAX(DATE(2023,5,1),D403))/365,1),0.25)
)
*3,
IF(J403="ردم",
K403*20,
K403*
(
DATEDIF(MAX(DATE(2023,5,1),D403),Y403,"m")+1
)
*
_xlfn.SWITCH(J403,
"موقف/تندة",6,
"تشوينات",4,
"مشاتل",2,
"رسو مراكب",6,
"مباني",3,
"عشش",1,
"كشك (تجاري/صناعي)",20,
"مواسير صرف صحي (&lt;1م)",16,
"مواسير صرف صحي (&gt;1م)",18,
0))))</f>
        <v>2664</v>
      </c>
      <c r="AD403" s="1">
        <f t="shared" ca="1" si="39"/>
        <v>55</v>
      </c>
    </row>
    <row r="404" spans="1:30" ht="18.75" x14ac:dyDescent="0.25">
      <c r="A404" s="52">
        <v>360</v>
      </c>
      <c r="B404" s="6">
        <v>104</v>
      </c>
      <c r="C404" s="6">
        <v>2017</v>
      </c>
      <c r="D404" s="7">
        <v>42950</v>
      </c>
      <c r="E404" s="12" t="s">
        <v>543</v>
      </c>
      <c r="F404" s="6"/>
      <c r="G404" s="6" t="s">
        <v>467</v>
      </c>
      <c r="H404" s="6"/>
      <c r="I404" s="6" t="s">
        <v>33</v>
      </c>
      <c r="J404" s="3" t="s">
        <v>29</v>
      </c>
      <c r="K404" s="6">
        <v>6</v>
      </c>
      <c r="L404" s="3" t="s">
        <v>90</v>
      </c>
      <c r="M404" s="7"/>
      <c r="N404" s="6"/>
      <c r="O404" s="9">
        <f>0.47*Table2[[#This Row],[قيمة المحضر]]</f>
        <v>0</v>
      </c>
      <c r="P404" s="9">
        <f>0.17*Table2[[#This Row],[قيمة المحضر]]</f>
        <v>0</v>
      </c>
      <c r="Q404" s="9">
        <f t="shared" ca="1" si="35"/>
        <v>8700</v>
      </c>
      <c r="R404" s="3"/>
      <c r="S404" s="3"/>
      <c r="T404" s="9" t="str">
        <f t="shared" si="36"/>
        <v>-</v>
      </c>
      <c r="U404" s="3" t="s">
        <v>25</v>
      </c>
      <c r="V404" s="9" t="str">
        <f t="shared" si="37"/>
        <v>-</v>
      </c>
      <c r="W404" s="4"/>
      <c r="X404" s="38"/>
      <c r="Y404" s="1">
        <f t="shared" ca="1" si="38"/>
        <v>46162</v>
      </c>
      <c r="Z404" s="1" cm="1">
        <f t="array" ref="Z404">IF(D404&gt;DATE(2015,5,16),0,
K404*
(
INT((MIN(Y404,DATE(2015,5,16))-D404)/365)
+
CEILING(MOD((MIN(Y404,DATE(2015,5,16))-D404)/365,1),0.25)
)
*
_xlfn.SWITCH(J404,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04" s="1" cm="1">
        <f t="array" aca="1" ref="AA404" ca="1">IF(Y404&lt;DATE(2015,5,17),0,
K404*
(
INT((MIN(Y404,DATE(2018,9,23))-MAX(D404,DATE(2015,5,17)))/365)
+
CEILING(MOD((MIN(Y404,DATE(2018,9,23))-MAX(D404,DATE(2015,5,17)))/365,1),0.25)
)
*
_xlfn.SWITCH(J404,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900</v>
      </c>
      <c r="AB404" s="1" cm="1">
        <f t="array" aca="1" ref="AB404" ca="1">IF(Y404&lt;DATE(2018,9,24),0,
IF(J404="زراعة",
K404*
(
INT((MIN(Y404,DATE(2023,4,30))-MAX(D404,DATE(2018,9,24)))/365)
+
CEILING(MOD((MIN(Y404,DATE(2023,4,30))-MAX(D404,DATE(2018,9,24)))/365,1),0.25)
)
*1,
K404*
(
DATEDIF(MAX(D404,DATE(2018,9,24)),MIN(Y404,DATE(2023,4,30)),"m")+1
)
*
_xlfn.SWITCH(J404,
"موقف/تندة",IF(D404&lt;DATE(2019,11,30),6,30),
"تشوينات",IF(D404&lt;DATE(2019,11,30),4,20),
"مشاتل",IF(D404&lt;DATE(2019,11,30),2,10),
"كافيتيريا",IF(D404&lt;DATE(2019,11,30),30,150),
"نوادي",IF(D404&lt;DATE(2019,11,30),6,30),
"رسو مراكب",IF(D404&lt;DATE(2019,11,30),2,10),
"مباني",IF(D404&lt;DATE(2018,9,24),2,10),
"عشش",IF(D404&lt;DATE(2019,11,30),2,10),
"كشك (تجاري/صناعي)",IF(D404&lt;DATE(2019,11,30),10,50),
"ردم",20,
0)))</f>
        <v>3360</v>
      </c>
      <c r="AC404" s="1" cm="1">
        <f t="array" aca="1" ref="AC404" ca="1">IF(Y404&lt;DATE(2023,5,1),0,
IF(J404="زراعة",
K404*
(
INT((Y404-MAX(DATE(2023,5,1),D404))/365)
+
CEILING(MOD((Y404-MAX(DATE(2023,5,1),D404))/365,1),0.25)
)
*3,
IF(J404="ردم",
K404*20,
K404*
(
DATEDIF(MAX(DATE(2023,5,1),D404),Y404,"m")+1
)
*
_xlfn.SWITCH(J404,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404" s="1">
        <f t="shared" ca="1" si="39"/>
        <v>55</v>
      </c>
    </row>
    <row r="405" spans="1:30" ht="18.75" x14ac:dyDescent="0.25">
      <c r="A405" s="52">
        <v>361</v>
      </c>
      <c r="B405" s="6">
        <v>105</v>
      </c>
      <c r="C405" s="6">
        <v>2017</v>
      </c>
      <c r="D405" s="7">
        <v>42950</v>
      </c>
      <c r="E405" s="12" t="s">
        <v>544</v>
      </c>
      <c r="F405" s="6"/>
      <c r="G405" s="6" t="s">
        <v>468</v>
      </c>
      <c r="H405" s="6"/>
      <c r="I405" s="6" t="s">
        <v>33</v>
      </c>
      <c r="J405" s="3" t="s">
        <v>27</v>
      </c>
      <c r="K405" s="6">
        <v>24</v>
      </c>
      <c r="L405" s="3" t="s">
        <v>90</v>
      </c>
      <c r="M405" s="7"/>
      <c r="N405" s="6"/>
      <c r="O405" s="9">
        <f>0.47*Table2[[#This Row],[قيمة المحضر]]</f>
        <v>0</v>
      </c>
      <c r="P405" s="9">
        <f>0.17*Table2[[#This Row],[قيمة المحضر]]</f>
        <v>0</v>
      </c>
      <c r="Q405" s="9">
        <f t="shared" ca="1" si="35"/>
        <v>5592</v>
      </c>
      <c r="R405" s="3"/>
      <c r="S405" s="3"/>
      <c r="T405" s="9" t="str">
        <f t="shared" si="36"/>
        <v>-</v>
      </c>
      <c r="U405" s="3" t="s">
        <v>25</v>
      </c>
      <c r="V405" s="9" t="str">
        <f t="shared" si="37"/>
        <v>-</v>
      </c>
      <c r="W405" s="4"/>
      <c r="X405" s="38"/>
      <c r="Y405" s="1">
        <f t="shared" ca="1" si="38"/>
        <v>46162</v>
      </c>
      <c r="Z405" s="1" cm="1">
        <f t="array" ref="Z405">IF(D405&gt;DATE(2015,5,16),0,
K405*
(
INT((MIN(Y405,DATE(2015,5,16))-D405)/365)
+
CEILING(MOD((MIN(Y405,DATE(2015,5,16))-D405)/365,1),0.25)
)
*
_xlfn.SWITCH(J405,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05" s="1" cm="1">
        <f t="array" aca="1" ref="AA405" ca="1">IF(Y405&lt;DATE(2015,5,17),0,
K405*
(
INT((MIN(Y405,DATE(2018,9,23))-MAX(D405,DATE(2015,5,17)))/365)
+
CEILING(MOD((MIN(Y405,DATE(2018,9,23))-MAX(D405,DATE(2015,5,17)))/365,1),0.25)
)
*
_xlfn.SWITCH(J405,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240</v>
      </c>
      <c r="AB405" s="1" cm="1">
        <f t="array" aca="1" ref="AB405" ca="1">IF(Y405&lt;DATE(2018,9,24),0,
IF(J405="زراعة",
K405*
(
INT((MIN(Y405,DATE(2023,4,30))-MAX(D405,DATE(2018,9,24)))/365)
+
CEILING(MOD((MIN(Y405,DATE(2023,4,30))-MAX(D405,DATE(2018,9,24)))/365,1),0.25)
)
*1,
K405*
(
DATEDIF(MAX(D405,DATE(2018,9,24)),MIN(Y405,DATE(2023,4,30)),"m")+1
)
*
_xlfn.SWITCH(J405,
"موقف/تندة",IF(D405&lt;DATE(2019,11,30),6,30),
"تشوينات",IF(D405&lt;DATE(2019,11,30),4,20),
"مشاتل",IF(D405&lt;DATE(2019,11,30),2,10),
"كافيتيريا",IF(D405&lt;DATE(2019,11,30),30,150),
"نوادي",IF(D405&lt;DATE(2019,11,30),6,30),
"رسو مراكب",IF(D405&lt;DATE(2019,11,30),2,10),
"مباني",IF(D405&lt;DATE(2018,9,24),2,10),
"عشش",IF(D405&lt;DATE(2019,11,30),2,10),
"كشك (تجاري/صناعي)",IF(D405&lt;DATE(2019,11,30),10,50),
"ردم",20,
0)))</f>
        <v>2688</v>
      </c>
      <c r="AC405" s="1" cm="1">
        <f t="array" aca="1" ref="AC405" ca="1">IF(Y405&lt;DATE(2023,5,1),0,
IF(J405="زراعة",
K405*
(
INT((Y405-MAX(DATE(2023,5,1),D405))/365)
+
CEILING(MOD((Y405-MAX(DATE(2023,5,1),D405))/365,1),0.25)
)
*3,
IF(J405="ردم",
K405*20,
K405*
(
DATEDIF(MAX(DATE(2023,5,1),D405),Y405,"m")+1
)
*
_xlfn.SWITCH(J405,
"موقف/تندة",6,
"تشوينات",4,
"مشاتل",2,
"رسو مراكب",6,
"مباني",3,
"عشش",1,
"كشك (تجاري/صناعي)",20,
"مواسير صرف صحي (&lt;1م)",16,
"مواسير صرف صحي (&gt;1م)",18,
0))))</f>
        <v>2664</v>
      </c>
      <c r="AD405" s="1">
        <f t="shared" ca="1" si="39"/>
        <v>55</v>
      </c>
    </row>
    <row r="406" spans="1:30" ht="18.75" x14ac:dyDescent="0.25">
      <c r="A406" s="52">
        <v>362</v>
      </c>
      <c r="B406" s="6">
        <v>106</v>
      </c>
      <c r="C406" s="6">
        <v>2017</v>
      </c>
      <c r="D406" s="7">
        <v>42950</v>
      </c>
      <c r="E406" s="12" t="s">
        <v>545</v>
      </c>
      <c r="F406" s="6"/>
      <c r="G406" s="6" t="s">
        <v>469</v>
      </c>
      <c r="H406" s="6"/>
      <c r="I406" s="6" t="s">
        <v>33</v>
      </c>
      <c r="J406" s="3" t="s">
        <v>27</v>
      </c>
      <c r="K406" s="6">
        <v>24</v>
      </c>
      <c r="L406" s="3" t="s">
        <v>90</v>
      </c>
      <c r="M406" s="7"/>
      <c r="N406" s="6"/>
      <c r="O406" s="9">
        <f>0.47*Table2[[#This Row],[قيمة المحضر]]</f>
        <v>0</v>
      </c>
      <c r="P406" s="9">
        <f>0.17*Table2[[#This Row],[قيمة المحضر]]</f>
        <v>0</v>
      </c>
      <c r="Q406" s="9">
        <f t="shared" ca="1" si="35"/>
        <v>5592</v>
      </c>
      <c r="R406" s="3"/>
      <c r="S406" s="3"/>
      <c r="T406" s="9" t="str">
        <f t="shared" si="36"/>
        <v>-</v>
      </c>
      <c r="U406" s="3" t="s">
        <v>25</v>
      </c>
      <c r="V406" s="9" t="str">
        <f t="shared" si="37"/>
        <v>-</v>
      </c>
      <c r="W406" s="4"/>
      <c r="X406" s="38"/>
      <c r="Y406" s="1">
        <f t="shared" ca="1" si="38"/>
        <v>46162</v>
      </c>
      <c r="Z406" s="1" cm="1">
        <f t="array" ref="Z406">IF(D406&gt;DATE(2015,5,16),0,
K406*
(
INT((MIN(Y406,DATE(2015,5,16))-D406)/365)
+
CEILING(MOD((MIN(Y406,DATE(2015,5,16))-D406)/365,1),0.25)
)
*
_xlfn.SWITCH(J406,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06" s="1" cm="1">
        <f t="array" aca="1" ref="AA406" ca="1">IF(Y406&lt;DATE(2015,5,17),0,
K406*
(
INT((MIN(Y406,DATE(2018,9,23))-MAX(D406,DATE(2015,5,17)))/365)
+
CEILING(MOD((MIN(Y406,DATE(2018,9,23))-MAX(D406,DATE(2015,5,17)))/365,1),0.25)
)
*
_xlfn.SWITCH(J406,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240</v>
      </c>
      <c r="AB406" s="1" cm="1">
        <f t="array" aca="1" ref="AB406" ca="1">IF(Y406&lt;DATE(2018,9,24),0,
IF(J406="زراعة",
K406*
(
INT((MIN(Y406,DATE(2023,4,30))-MAX(D406,DATE(2018,9,24)))/365)
+
CEILING(MOD((MIN(Y406,DATE(2023,4,30))-MAX(D406,DATE(2018,9,24)))/365,1),0.25)
)
*1,
K406*
(
DATEDIF(MAX(D406,DATE(2018,9,24)),MIN(Y406,DATE(2023,4,30)),"m")+1
)
*
_xlfn.SWITCH(J406,
"موقف/تندة",IF(D406&lt;DATE(2019,11,30),6,30),
"تشوينات",IF(D406&lt;DATE(2019,11,30),4,20),
"مشاتل",IF(D406&lt;DATE(2019,11,30),2,10),
"كافيتيريا",IF(D406&lt;DATE(2019,11,30),30,150),
"نوادي",IF(D406&lt;DATE(2019,11,30),6,30),
"رسو مراكب",IF(D406&lt;DATE(2019,11,30),2,10),
"مباني",IF(D406&lt;DATE(2018,9,24),2,10),
"عشش",IF(D406&lt;DATE(2019,11,30),2,10),
"كشك (تجاري/صناعي)",IF(D406&lt;DATE(2019,11,30),10,50),
"ردم",20,
0)))</f>
        <v>2688</v>
      </c>
      <c r="AC406" s="1" cm="1">
        <f t="array" aca="1" ref="AC406" ca="1">IF(Y406&lt;DATE(2023,5,1),0,
IF(J406="زراعة",
K406*
(
INT((Y406-MAX(DATE(2023,5,1),D406))/365)
+
CEILING(MOD((Y406-MAX(DATE(2023,5,1),D406))/365,1),0.25)
)
*3,
IF(J406="ردم",
K406*20,
K406*
(
DATEDIF(MAX(DATE(2023,5,1),D406),Y406,"m")+1
)
*
_xlfn.SWITCH(J406,
"موقف/تندة",6,
"تشوينات",4,
"مشاتل",2,
"رسو مراكب",6,
"مباني",3,
"عشش",1,
"كشك (تجاري/صناعي)",20,
"مواسير صرف صحي (&lt;1م)",16,
"مواسير صرف صحي (&gt;1م)",18,
0))))</f>
        <v>2664</v>
      </c>
      <c r="AD406" s="1">
        <f t="shared" ca="1" si="39"/>
        <v>55</v>
      </c>
    </row>
    <row r="407" spans="1:30" ht="18.75" x14ac:dyDescent="0.25">
      <c r="A407" s="52">
        <v>363</v>
      </c>
      <c r="B407" s="6">
        <v>107</v>
      </c>
      <c r="C407" s="6">
        <v>2017</v>
      </c>
      <c r="D407" s="7">
        <v>42950</v>
      </c>
      <c r="E407" s="12" t="s">
        <v>546</v>
      </c>
      <c r="F407" s="6"/>
      <c r="G407" s="6" t="s">
        <v>470</v>
      </c>
      <c r="H407" s="6"/>
      <c r="I407" s="6" t="s">
        <v>33</v>
      </c>
      <c r="J407" s="3" t="s">
        <v>27</v>
      </c>
      <c r="K407" s="6">
        <v>64</v>
      </c>
      <c r="L407" s="3" t="s">
        <v>90</v>
      </c>
      <c r="M407" s="7"/>
      <c r="N407" s="6"/>
      <c r="O407" s="9">
        <f>0.47*Table2[[#This Row],[قيمة المحضر]]</f>
        <v>0</v>
      </c>
      <c r="P407" s="9">
        <f>0.17*Table2[[#This Row],[قيمة المحضر]]</f>
        <v>0</v>
      </c>
      <c r="Q407" s="9">
        <f t="shared" ca="1" si="35"/>
        <v>14912</v>
      </c>
      <c r="R407" s="3"/>
      <c r="S407" s="3"/>
      <c r="T407" s="9" t="str">
        <f t="shared" si="36"/>
        <v>-</v>
      </c>
      <c r="U407" s="3" t="s">
        <v>25</v>
      </c>
      <c r="V407" s="9" t="str">
        <f t="shared" si="37"/>
        <v>-</v>
      </c>
      <c r="W407" s="4"/>
      <c r="X407" s="38"/>
      <c r="Y407" s="1">
        <f t="shared" ca="1" si="38"/>
        <v>46162</v>
      </c>
      <c r="Z407" s="1" cm="1">
        <f t="array" ref="Z407">IF(D407&gt;DATE(2015,5,16),0,
K407*
(
INT((MIN(Y407,DATE(2015,5,16))-D407)/365)
+
CEILING(MOD((MIN(Y407,DATE(2015,5,16))-D407)/365,1),0.25)
)
*
_xlfn.SWITCH(J407,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07" s="1" cm="1">
        <f t="array" aca="1" ref="AA407" ca="1">IF(Y407&lt;DATE(2015,5,17),0,
K407*
(
INT((MIN(Y407,DATE(2018,9,23))-MAX(D407,DATE(2015,5,17)))/365)
+
CEILING(MOD((MIN(Y407,DATE(2018,9,23))-MAX(D407,DATE(2015,5,17)))/365,1),0.25)
)
*
_xlfn.SWITCH(J407,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640</v>
      </c>
      <c r="AB407" s="1" cm="1">
        <f t="array" aca="1" ref="AB407" ca="1">IF(Y407&lt;DATE(2018,9,24),0,
IF(J407="زراعة",
K407*
(
INT((MIN(Y407,DATE(2023,4,30))-MAX(D407,DATE(2018,9,24)))/365)
+
CEILING(MOD((MIN(Y407,DATE(2023,4,30))-MAX(D407,DATE(2018,9,24)))/365,1),0.25)
)
*1,
K407*
(
DATEDIF(MAX(D407,DATE(2018,9,24)),MIN(Y407,DATE(2023,4,30)),"m")+1
)
*
_xlfn.SWITCH(J407,
"موقف/تندة",IF(D407&lt;DATE(2019,11,30),6,30),
"تشوينات",IF(D407&lt;DATE(2019,11,30),4,20),
"مشاتل",IF(D407&lt;DATE(2019,11,30),2,10),
"كافيتيريا",IF(D407&lt;DATE(2019,11,30),30,150),
"نوادي",IF(D407&lt;DATE(2019,11,30),6,30),
"رسو مراكب",IF(D407&lt;DATE(2019,11,30),2,10),
"مباني",IF(D407&lt;DATE(2018,9,24),2,10),
"عشش",IF(D407&lt;DATE(2019,11,30),2,10),
"كشك (تجاري/صناعي)",IF(D407&lt;DATE(2019,11,30),10,50),
"ردم",20,
0)))</f>
        <v>7168</v>
      </c>
      <c r="AC407" s="1" cm="1">
        <f t="array" aca="1" ref="AC407" ca="1">IF(Y407&lt;DATE(2023,5,1),0,
IF(J407="زراعة",
K407*
(
INT((Y407-MAX(DATE(2023,5,1),D407))/365)
+
CEILING(MOD((Y407-MAX(DATE(2023,5,1),D407))/365,1),0.25)
)
*3,
IF(J407="ردم",
K407*20,
K407*
(
DATEDIF(MAX(DATE(2023,5,1),D407),Y407,"m")+1
)
*
_xlfn.SWITCH(J407,
"موقف/تندة",6,
"تشوينات",4,
"مشاتل",2,
"رسو مراكب",6,
"مباني",3,
"عشش",1,
"كشك (تجاري/صناعي)",20,
"مواسير صرف صحي (&lt;1م)",16,
"مواسير صرف صحي (&gt;1م)",18,
0))))</f>
        <v>7104</v>
      </c>
      <c r="AD407" s="1">
        <f t="shared" ca="1" si="39"/>
        <v>55</v>
      </c>
    </row>
    <row r="408" spans="1:30" ht="18.75" x14ac:dyDescent="0.25">
      <c r="A408" s="52">
        <v>364</v>
      </c>
      <c r="B408" s="6">
        <v>108</v>
      </c>
      <c r="C408" s="6">
        <v>2017</v>
      </c>
      <c r="D408" s="7">
        <v>42950</v>
      </c>
      <c r="E408" s="12" t="s">
        <v>547</v>
      </c>
      <c r="F408" s="6"/>
      <c r="G408" s="6" t="s">
        <v>471</v>
      </c>
      <c r="H408" s="6"/>
      <c r="I408" s="6" t="s">
        <v>33</v>
      </c>
      <c r="J408" s="3" t="s">
        <v>27</v>
      </c>
      <c r="K408" s="6">
        <v>80</v>
      </c>
      <c r="L408" s="3" t="s">
        <v>90</v>
      </c>
      <c r="M408" s="7"/>
      <c r="N408" s="6"/>
      <c r="O408" s="9">
        <f>0.47*Table2[[#This Row],[قيمة المحضر]]</f>
        <v>0</v>
      </c>
      <c r="P408" s="9">
        <f>0.17*Table2[[#This Row],[قيمة المحضر]]</f>
        <v>0</v>
      </c>
      <c r="Q408" s="9">
        <f t="shared" ca="1" si="35"/>
        <v>18640</v>
      </c>
      <c r="R408" s="3"/>
      <c r="S408" s="3"/>
      <c r="T408" s="9" t="str">
        <f t="shared" si="36"/>
        <v>-</v>
      </c>
      <c r="U408" s="3" t="s">
        <v>25</v>
      </c>
      <c r="V408" s="9" t="str">
        <f t="shared" si="37"/>
        <v>-</v>
      </c>
      <c r="W408" s="4"/>
      <c r="X408" s="38"/>
      <c r="Y408" s="1">
        <f t="shared" ca="1" si="38"/>
        <v>46162</v>
      </c>
      <c r="Z408" s="1" cm="1">
        <f t="array" ref="Z408">IF(D408&gt;DATE(2015,5,16),0,
K408*
(
INT((MIN(Y408,DATE(2015,5,16))-D408)/365)
+
CEILING(MOD((MIN(Y408,DATE(2015,5,16))-D408)/365,1),0.25)
)
*
_xlfn.SWITCH(J408,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08" s="1" cm="1">
        <f t="array" aca="1" ref="AA408" ca="1">IF(Y408&lt;DATE(2015,5,17),0,
K408*
(
INT((MIN(Y408,DATE(2018,9,23))-MAX(D408,DATE(2015,5,17)))/365)
+
CEILING(MOD((MIN(Y408,DATE(2018,9,23))-MAX(D408,DATE(2015,5,17)))/365,1),0.25)
)
*
_xlfn.SWITCH(J408,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800</v>
      </c>
      <c r="AB408" s="1" cm="1">
        <f t="array" aca="1" ref="AB408" ca="1">IF(Y408&lt;DATE(2018,9,24),0,
IF(J408="زراعة",
K408*
(
INT((MIN(Y408,DATE(2023,4,30))-MAX(D408,DATE(2018,9,24)))/365)
+
CEILING(MOD((MIN(Y408,DATE(2023,4,30))-MAX(D408,DATE(2018,9,24)))/365,1),0.25)
)
*1,
K408*
(
DATEDIF(MAX(D408,DATE(2018,9,24)),MIN(Y408,DATE(2023,4,30)),"m")+1
)
*
_xlfn.SWITCH(J408,
"موقف/تندة",IF(D408&lt;DATE(2019,11,30),6,30),
"تشوينات",IF(D408&lt;DATE(2019,11,30),4,20),
"مشاتل",IF(D408&lt;DATE(2019,11,30),2,10),
"كافيتيريا",IF(D408&lt;DATE(2019,11,30),30,150),
"نوادي",IF(D408&lt;DATE(2019,11,30),6,30),
"رسو مراكب",IF(D408&lt;DATE(2019,11,30),2,10),
"مباني",IF(D408&lt;DATE(2018,9,24),2,10),
"عشش",IF(D408&lt;DATE(2019,11,30),2,10),
"كشك (تجاري/صناعي)",IF(D408&lt;DATE(2019,11,30),10,50),
"ردم",20,
0)))</f>
        <v>8960</v>
      </c>
      <c r="AC408" s="1" cm="1">
        <f t="array" aca="1" ref="AC408" ca="1">IF(Y408&lt;DATE(2023,5,1),0,
IF(J408="زراعة",
K408*
(
INT((Y408-MAX(DATE(2023,5,1),D408))/365)
+
CEILING(MOD((Y408-MAX(DATE(2023,5,1),D408))/365,1),0.25)
)
*3,
IF(J408="ردم",
K408*20,
K408*
(
DATEDIF(MAX(DATE(2023,5,1),D408),Y408,"m")+1
)
*
_xlfn.SWITCH(J408,
"موقف/تندة",6,
"تشوينات",4,
"مشاتل",2,
"رسو مراكب",6,
"مباني",3,
"عشش",1,
"كشك (تجاري/صناعي)",20,
"مواسير صرف صحي (&lt;1م)",16,
"مواسير صرف صحي (&gt;1م)",18,
0))))</f>
        <v>8880</v>
      </c>
      <c r="AD408" s="1">
        <f t="shared" ca="1" si="39"/>
        <v>55</v>
      </c>
    </row>
    <row r="409" spans="1:30" ht="18.75" x14ac:dyDescent="0.25">
      <c r="A409" s="52">
        <v>365</v>
      </c>
      <c r="B409" s="6">
        <v>109</v>
      </c>
      <c r="C409" s="6">
        <v>2017</v>
      </c>
      <c r="D409" s="7">
        <v>42950</v>
      </c>
      <c r="E409" s="12" t="s">
        <v>548</v>
      </c>
      <c r="F409" s="6"/>
      <c r="G409" s="6" t="s">
        <v>472</v>
      </c>
      <c r="H409" s="6"/>
      <c r="I409" s="6" t="s">
        <v>33</v>
      </c>
      <c r="J409" s="3" t="s">
        <v>27</v>
      </c>
      <c r="K409" s="6">
        <f>15*8</f>
        <v>120</v>
      </c>
      <c r="L409" s="3" t="s">
        <v>90</v>
      </c>
      <c r="M409" s="7"/>
      <c r="N409" s="6"/>
      <c r="O409" s="9">
        <f>0.47*Table2[[#This Row],[قيمة المحضر]]</f>
        <v>0</v>
      </c>
      <c r="P409" s="9">
        <f>0.17*Table2[[#This Row],[قيمة المحضر]]</f>
        <v>0</v>
      </c>
      <c r="Q409" s="9">
        <f t="shared" ca="1" si="35"/>
        <v>27960</v>
      </c>
      <c r="R409" s="3"/>
      <c r="S409" s="3"/>
      <c r="T409" s="9" t="str">
        <f t="shared" si="36"/>
        <v>-</v>
      </c>
      <c r="U409" s="3" t="s">
        <v>25</v>
      </c>
      <c r="V409" s="9" t="str">
        <f t="shared" si="37"/>
        <v>-</v>
      </c>
      <c r="W409" s="4"/>
      <c r="X409" s="38"/>
      <c r="Y409" s="1">
        <f t="shared" ca="1" si="38"/>
        <v>46162</v>
      </c>
      <c r="Z409" s="1" cm="1">
        <f t="array" ref="Z409">IF(D409&gt;DATE(2015,5,16),0,
K409*
(
INT((MIN(Y409,DATE(2015,5,16))-D409)/365)
+
CEILING(MOD((MIN(Y409,DATE(2015,5,16))-D409)/365,1),0.25)
)
*
_xlfn.SWITCH(J409,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09" s="1" cm="1">
        <f t="array" aca="1" ref="AA409" ca="1">IF(Y409&lt;DATE(2015,5,17),0,
K409*
(
INT((MIN(Y409,DATE(2018,9,23))-MAX(D409,DATE(2015,5,17)))/365)
+
CEILING(MOD((MIN(Y409,DATE(2018,9,23))-MAX(D409,DATE(2015,5,17)))/365,1),0.25)
)
*
_xlfn.SWITCH(J409,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1200</v>
      </c>
      <c r="AB409" s="1" cm="1">
        <f t="array" aca="1" ref="AB409" ca="1">IF(Y409&lt;DATE(2018,9,24),0,
IF(J409="زراعة",
K409*
(
INT((MIN(Y409,DATE(2023,4,30))-MAX(D409,DATE(2018,9,24)))/365)
+
CEILING(MOD((MIN(Y409,DATE(2023,4,30))-MAX(D409,DATE(2018,9,24)))/365,1),0.25)
)
*1,
K409*
(
DATEDIF(MAX(D409,DATE(2018,9,24)),MIN(Y409,DATE(2023,4,30)),"m")+1
)
*
_xlfn.SWITCH(J409,
"موقف/تندة",IF(D409&lt;DATE(2019,11,30),6,30),
"تشوينات",IF(D409&lt;DATE(2019,11,30),4,20),
"مشاتل",IF(D409&lt;DATE(2019,11,30),2,10),
"كافيتيريا",IF(D409&lt;DATE(2019,11,30),30,150),
"نوادي",IF(D409&lt;DATE(2019,11,30),6,30),
"رسو مراكب",IF(D409&lt;DATE(2019,11,30),2,10),
"مباني",IF(D409&lt;DATE(2018,9,24),2,10),
"عشش",IF(D409&lt;DATE(2019,11,30),2,10),
"كشك (تجاري/صناعي)",IF(D409&lt;DATE(2019,11,30),10,50),
"ردم",20,
0)))</f>
        <v>13440</v>
      </c>
      <c r="AC409" s="1" cm="1">
        <f t="array" aca="1" ref="AC409" ca="1">IF(Y409&lt;DATE(2023,5,1),0,
IF(J409="زراعة",
K409*
(
INT((Y409-MAX(DATE(2023,5,1),D409))/365)
+
CEILING(MOD((Y409-MAX(DATE(2023,5,1),D409))/365,1),0.25)
)
*3,
IF(J409="ردم",
K409*20,
K409*
(
DATEDIF(MAX(DATE(2023,5,1),D409),Y409,"m")+1
)
*
_xlfn.SWITCH(J409,
"موقف/تندة",6,
"تشوينات",4,
"مشاتل",2,
"رسو مراكب",6,
"مباني",3,
"عشش",1,
"كشك (تجاري/صناعي)",20,
"مواسير صرف صحي (&lt;1م)",16,
"مواسير صرف صحي (&gt;1م)",18,
0))))</f>
        <v>13320</v>
      </c>
      <c r="AD409" s="1">
        <f t="shared" ca="1" si="39"/>
        <v>55</v>
      </c>
    </row>
    <row r="410" spans="1:30" ht="18.75" x14ac:dyDescent="0.25">
      <c r="A410" s="52">
        <v>366</v>
      </c>
      <c r="B410" s="6">
        <v>110</v>
      </c>
      <c r="C410" s="6">
        <v>2017</v>
      </c>
      <c r="D410" s="7">
        <v>42950</v>
      </c>
      <c r="E410" s="12"/>
      <c r="F410" s="6"/>
      <c r="G410" s="6" t="s">
        <v>473</v>
      </c>
      <c r="H410" s="6"/>
      <c r="I410" s="6" t="s">
        <v>577</v>
      </c>
      <c r="J410" s="3" t="s">
        <v>145</v>
      </c>
      <c r="K410" s="6"/>
      <c r="L410" s="3" t="s">
        <v>191</v>
      </c>
      <c r="M410" s="7"/>
      <c r="N410" s="6"/>
      <c r="O410" s="9">
        <f>0.47*Table2[[#This Row],[قيمة المحضر]]</f>
        <v>0</v>
      </c>
      <c r="P410" s="9">
        <f>0.17*Table2[[#This Row],[قيمة المحضر]]</f>
        <v>0</v>
      </c>
      <c r="Q410" s="9">
        <f t="shared" ca="1" si="35"/>
        <v>0</v>
      </c>
      <c r="R410" s="3"/>
      <c r="S410" s="3"/>
      <c r="T410" s="9" t="str">
        <f t="shared" si="36"/>
        <v>-</v>
      </c>
      <c r="U410" s="3" t="s">
        <v>25</v>
      </c>
      <c r="V410" s="9" t="str">
        <f t="shared" si="37"/>
        <v>-</v>
      </c>
      <c r="W410" s="4"/>
      <c r="X410" s="38"/>
      <c r="Y410" s="1">
        <f t="shared" ca="1" si="38"/>
        <v>46162</v>
      </c>
      <c r="Z410" s="1" cm="1">
        <f t="array" ref="Z410">IF(D410&gt;DATE(2015,5,16),0,
K410*
(
INT((MIN(Y410,DATE(2015,5,16))-D410)/365)
+
CEILING(MOD((MIN(Y410,DATE(2015,5,16))-D410)/365,1),0.25)
)
*
_xlfn.SWITCH(J410,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10" s="1" cm="1">
        <f t="array" aca="1" ref="AA410" ca="1">IF(Y410&lt;DATE(2015,5,17),0,
K410*
(
INT((MIN(Y410,DATE(2018,9,23))-MAX(D410,DATE(2015,5,17)))/365)
+
CEILING(MOD((MIN(Y410,DATE(2018,9,23))-MAX(D410,DATE(2015,5,17)))/365,1),0.25)
)
*
_xlfn.SWITCH(J410,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410" s="1" cm="1">
        <f t="array" aca="1" ref="AB410" ca="1">IF(Y410&lt;DATE(2018,9,24),0,
IF(J410="زراعة",
K410*
(
INT((MIN(Y410,DATE(2023,4,30))-MAX(D410,DATE(2018,9,24)))/365)
+
CEILING(MOD((MIN(Y410,DATE(2023,4,30))-MAX(D410,DATE(2018,9,24)))/365,1),0.25)
)
*1,
K410*
(
DATEDIF(MAX(D410,DATE(2018,9,24)),MIN(Y410,DATE(2023,4,30)),"m")+1
)
*
_xlfn.SWITCH(J410,
"موقف/تندة",IF(D410&lt;DATE(2019,11,30),6,30),
"تشوينات",IF(D410&lt;DATE(2019,11,30),4,20),
"مشاتل",IF(D410&lt;DATE(2019,11,30),2,10),
"كافيتيريا",IF(D410&lt;DATE(2019,11,30),30,150),
"نوادي",IF(D410&lt;DATE(2019,11,30),6,30),
"رسو مراكب",IF(D410&lt;DATE(2019,11,30),2,10),
"مباني",IF(D410&lt;DATE(2018,9,24),2,10),
"عشش",IF(D410&lt;DATE(2019,11,30),2,10),
"كشك (تجاري/صناعي)",IF(D410&lt;DATE(2019,11,30),10,50),
"ردم",20,
0)))</f>
        <v>0</v>
      </c>
      <c r="AC410" s="1" cm="1">
        <f t="array" aca="1" ref="AC410" ca="1">IF(Y410&lt;DATE(2023,5,1),0,
IF(J410="زراعة",
K410*
(
INT((Y410-MAX(DATE(2023,5,1),D410))/365)
+
CEILING(MOD((Y410-MAX(DATE(2023,5,1),D410))/365,1),0.25)
)
*3,
IF(J410="ردم",
K410*20,
K410*
(
DATEDIF(MAX(DATE(2023,5,1),D410),Y410,"m")+1
)
*
_xlfn.SWITCH(J410,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410" s="1">
        <f t="shared" ca="1" si="39"/>
        <v>55</v>
      </c>
    </row>
    <row r="411" spans="1:30" ht="18.75" x14ac:dyDescent="0.25">
      <c r="A411" s="52">
        <v>367</v>
      </c>
      <c r="B411" s="6">
        <v>111</v>
      </c>
      <c r="C411" s="6">
        <v>2017</v>
      </c>
      <c r="D411" s="7">
        <v>42950</v>
      </c>
      <c r="E411" s="12"/>
      <c r="F411" s="6"/>
      <c r="G411" s="6" t="s">
        <v>474</v>
      </c>
      <c r="H411" s="6"/>
      <c r="I411" s="6" t="s">
        <v>372</v>
      </c>
      <c r="J411" s="3" t="s">
        <v>146</v>
      </c>
      <c r="K411" s="6">
        <v>160</v>
      </c>
      <c r="L411" s="3" t="s">
        <v>191</v>
      </c>
      <c r="M411" s="7"/>
      <c r="N411" s="6"/>
      <c r="O411" s="9">
        <f>0.47*Table2[[#This Row],[قيمة المحضر]]</f>
        <v>0</v>
      </c>
      <c r="P411" s="9">
        <f>0.17*Table2[[#This Row],[قيمة المحضر]]</f>
        <v>0</v>
      </c>
      <c r="Q411" s="9">
        <f t="shared" ref="Q411:Q474" ca="1" si="40">Z411+AA411+AB411+AC411</f>
        <v>2380</v>
      </c>
      <c r="R411" s="3"/>
      <c r="S411" s="3"/>
      <c r="T411" s="9" t="str">
        <f t="shared" ref="T411:T451" si="41">IF(R411="تم الحجز",Q411+O411+N411,"-")</f>
        <v>-</v>
      </c>
      <c r="U411" s="3" t="s">
        <v>25</v>
      </c>
      <c r="V411" s="9" t="str">
        <f t="shared" ref="V411:V451" si="42">IF(OR(U411="قائم",U411="قائم و سدد مقابل انتفاع"),"-",
IF(U411="تم رد الشئ لأصله",P411+Q411,
IF(U411="ازالة جبرية",N411+O411+Q411,"")))</f>
        <v>-</v>
      </c>
      <c r="W411" s="4"/>
      <c r="X411" s="38"/>
      <c r="Y411" s="1">
        <f t="shared" ca="1" si="38"/>
        <v>46162</v>
      </c>
      <c r="Z411" s="1" cm="1">
        <f t="array" ref="Z411">IF(D411&gt;DATE(2015,5,16),0,
K411*
(
INT((MIN(Y411,DATE(2015,5,16))-D411)/365)
+
CEILING(MOD((MIN(Y411,DATE(2015,5,16))-D411)/365,1),0.25)
)
*
_xlfn.SWITCH(J411,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11" s="1" cm="1">
        <f t="array" aca="1" ref="AA411" ca="1">IF(Y411&lt;DATE(2015,5,17),0,
K411*
(
INT((MIN(Y411,DATE(2018,9,23))-MAX(D411,DATE(2015,5,17)))/365)
+
CEILING(MOD((MIN(Y411,DATE(2018,9,23))-MAX(D411,DATE(2015,5,17)))/365,1),0.25)
)
*
_xlfn.SWITCH(J411,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</v>
      </c>
      <c r="AB411" s="1" cm="1">
        <f t="array" aca="1" ref="AB411" ca="1">IF(Y411&lt;DATE(2018,9,24),0,
IF(J411="زراعة",
K411*
(
INT((MIN(Y411,DATE(2023,4,30))-MAX(D411,DATE(2018,9,24)))/365)
+
CEILING(MOD((MIN(Y411,DATE(2023,4,30))-MAX(D411,DATE(2018,9,24)))/365,1),0.25)
)
*1,
K411*
(
DATEDIF(MAX(D411,DATE(2018,9,24)),MIN(Y411,DATE(2023,4,30)),"m")+1
)
*
_xlfn.SWITCH(J411,
"موقف/تندة",IF(D411&lt;DATE(2019,11,30),6,30),
"تشوينات",IF(D411&lt;DATE(2019,11,30),4,20),
"مشاتل",IF(D411&lt;DATE(2019,11,30),2,10),
"كافيتيريا",IF(D411&lt;DATE(2019,11,30),30,150),
"نوادي",IF(D411&lt;DATE(2019,11,30),6,30),
"رسو مراكب",IF(D411&lt;DATE(2019,11,30),2,10),
"مباني",IF(D411&lt;DATE(2018,9,24),2,10),
"عشش",IF(D411&lt;DATE(2019,11,30),2,10),
"كشك (تجاري/صناعي)",IF(D411&lt;DATE(2019,11,30),10,50),
"ردم",20,
0)))</f>
        <v>760</v>
      </c>
      <c r="AC411" s="1" cm="1">
        <f t="array" aca="1" ref="AC411" ca="1">IF(Y411&lt;DATE(2023,5,1),0,
IF(J411="زراعة",
K411*
(
INT((Y411-MAX(DATE(2023,5,1),D411))/365)
+
CEILING(MOD((Y411-MAX(DATE(2023,5,1),D411))/365,1),0.25)
)
*3,
IF(J411="ردم",
K411*20,
K411*
(
DATEDIF(MAX(DATE(2023,5,1),D411),Y411,"m")+1
)
*
_xlfn.SWITCH(J411,
"موقف/تندة",6,
"تشوينات",4,
"مشاتل",2,
"رسو مراكب",6,
"مباني",3,
"عشش",1,
"كشك (تجاري/صناعي)",20,
"مواسير صرف صحي (&lt;1م)",16,
"مواسير صرف صحي (&gt;1م)",18,
0))))</f>
        <v>1560</v>
      </c>
      <c r="AD411" s="1">
        <f t="shared" ca="1" si="39"/>
        <v>55</v>
      </c>
    </row>
    <row r="412" spans="1:30" ht="18.75" x14ac:dyDescent="0.25">
      <c r="A412" s="52">
        <v>368</v>
      </c>
      <c r="B412" s="6">
        <v>112</v>
      </c>
      <c r="C412" s="6">
        <v>2017</v>
      </c>
      <c r="D412" s="7">
        <v>42950</v>
      </c>
      <c r="E412" s="12" t="s">
        <v>549</v>
      </c>
      <c r="F412" s="6"/>
      <c r="G412" s="6" t="s">
        <v>475</v>
      </c>
      <c r="H412" s="6"/>
      <c r="I412" s="6" t="s">
        <v>577</v>
      </c>
      <c r="J412" s="3" t="s">
        <v>146</v>
      </c>
      <c r="K412" s="6">
        <v>160</v>
      </c>
      <c r="L412" s="3" t="s">
        <v>191</v>
      </c>
      <c r="M412" s="7"/>
      <c r="N412" s="6"/>
      <c r="O412" s="9">
        <f>0.47*Table2[[#This Row],[قيمة المحضر]]</f>
        <v>0</v>
      </c>
      <c r="P412" s="9">
        <f>0.17*Table2[[#This Row],[قيمة المحضر]]</f>
        <v>0</v>
      </c>
      <c r="Q412" s="9">
        <f t="shared" ca="1" si="40"/>
        <v>2380</v>
      </c>
      <c r="R412" s="3"/>
      <c r="S412" s="3"/>
      <c r="T412" s="9" t="str">
        <f t="shared" si="41"/>
        <v>-</v>
      </c>
      <c r="U412" s="3" t="s">
        <v>25</v>
      </c>
      <c r="V412" s="9" t="str">
        <f t="shared" si="42"/>
        <v>-</v>
      </c>
      <c r="W412" s="4"/>
      <c r="X412" s="38"/>
      <c r="Y412" s="1">
        <f t="shared" ca="1" si="38"/>
        <v>46162</v>
      </c>
      <c r="Z412" s="1" cm="1">
        <f t="array" ref="Z412">IF(D412&gt;DATE(2015,5,16),0,
K412*
(
INT((MIN(Y412,DATE(2015,5,16))-D412)/365)
+
CEILING(MOD((MIN(Y412,DATE(2015,5,16))-D412)/365,1),0.25)
)
*
_xlfn.SWITCH(J412,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12" s="1" cm="1">
        <f t="array" aca="1" ref="AA412" ca="1">IF(Y412&lt;DATE(2015,5,17),0,
K412*
(
INT((MIN(Y412,DATE(2018,9,23))-MAX(D412,DATE(2015,5,17)))/365)
+
CEILING(MOD((MIN(Y412,DATE(2018,9,23))-MAX(D412,DATE(2015,5,17)))/365,1),0.25)
)
*
_xlfn.SWITCH(J412,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</v>
      </c>
      <c r="AB412" s="1" cm="1">
        <f t="array" aca="1" ref="AB412" ca="1">IF(Y412&lt;DATE(2018,9,24),0,
IF(J412="زراعة",
K412*
(
INT((MIN(Y412,DATE(2023,4,30))-MAX(D412,DATE(2018,9,24)))/365)
+
CEILING(MOD((MIN(Y412,DATE(2023,4,30))-MAX(D412,DATE(2018,9,24)))/365,1),0.25)
)
*1,
K412*
(
DATEDIF(MAX(D412,DATE(2018,9,24)),MIN(Y412,DATE(2023,4,30)),"m")+1
)
*
_xlfn.SWITCH(J412,
"موقف/تندة",IF(D412&lt;DATE(2019,11,30),6,30),
"تشوينات",IF(D412&lt;DATE(2019,11,30),4,20),
"مشاتل",IF(D412&lt;DATE(2019,11,30),2,10),
"كافيتيريا",IF(D412&lt;DATE(2019,11,30),30,150),
"نوادي",IF(D412&lt;DATE(2019,11,30),6,30),
"رسو مراكب",IF(D412&lt;DATE(2019,11,30),2,10),
"مباني",IF(D412&lt;DATE(2018,9,24),2,10),
"عشش",IF(D412&lt;DATE(2019,11,30),2,10),
"كشك (تجاري/صناعي)",IF(D412&lt;DATE(2019,11,30),10,50),
"ردم",20,
0)))</f>
        <v>760</v>
      </c>
      <c r="AC412" s="1" cm="1">
        <f t="array" aca="1" ref="AC412" ca="1">IF(Y412&lt;DATE(2023,5,1),0,
IF(J412="زراعة",
K412*
(
INT((Y412-MAX(DATE(2023,5,1),D412))/365)
+
CEILING(MOD((Y412-MAX(DATE(2023,5,1),D412))/365,1),0.25)
)
*3,
IF(J412="ردم",
K412*20,
K412*
(
DATEDIF(MAX(DATE(2023,5,1),D412),Y412,"m")+1
)
*
_xlfn.SWITCH(J412,
"موقف/تندة",6,
"تشوينات",4,
"مشاتل",2,
"رسو مراكب",6,
"مباني",3,
"عشش",1,
"كشك (تجاري/صناعي)",20,
"مواسير صرف صحي (&lt;1م)",16,
"مواسير صرف صحي (&gt;1م)",18,
0))))</f>
        <v>1560</v>
      </c>
      <c r="AD412" s="1">
        <f t="shared" ca="1" si="39"/>
        <v>55</v>
      </c>
    </row>
    <row r="413" spans="1:30" ht="18.75" x14ac:dyDescent="0.25">
      <c r="A413" s="52">
        <v>369</v>
      </c>
      <c r="B413" s="6">
        <v>113</v>
      </c>
      <c r="C413" s="6">
        <v>2017</v>
      </c>
      <c r="D413" s="7">
        <v>42962</v>
      </c>
      <c r="E413" s="12" t="s">
        <v>550</v>
      </c>
      <c r="F413" s="6"/>
      <c r="G413" s="6" t="s">
        <v>476</v>
      </c>
      <c r="H413" s="6"/>
      <c r="I413" s="6" t="s">
        <v>144</v>
      </c>
      <c r="J413" s="3" t="s">
        <v>77</v>
      </c>
      <c r="K413" s="6">
        <v>14</v>
      </c>
      <c r="L413" s="3" t="s">
        <v>90</v>
      </c>
      <c r="M413" s="7"/>
      <c r="N413" s="6"/>
      <c r="O413" s="9">
        <f>0.47*Table2[[#This Row],[قيمة المحضر]]</f>
        <v>0</v>
      </c>
      <c r="P413" s="9">
        <f>0.17*Table2[[#This Row],[قيمة المحضر]]</f>
        <v>0</v>
      </c>
      <c r="Q413" s="9">
        <f t="shared" ca="1" si="40"/>
        <v>16310</v>
      </c>
      <c r="R413" s="3"/>
      <c r="S413" s="3"/>
      <c r="T413" s="9" t="str">
        <f t="shared" si="41"/>
        <v>-</v>
      </c>
      <c r="U413" s="3" t="s">
        <v>25</v>
      </c>
      <c r="V413" s="9" t="str">
        <f t="shared" si="42"/>
        <v>-</v>
      </c>
      <c r="W413" s="4"/>
      <c r="X413" s="38"/>
      <c r="Y413" s="1">
        <f t="shared" ca="1" si="38"/>
        <v>46162</v>
      </c>
      <c r="Z413" s="1" cm="1">
        <f t="array" ref="Z413">IF(D413&gt;DATE(2015,5,16),0,
K413*
(
INT((MIN(Y413,DATE(2015,5,16))-D413)/365)
+
CEILING(MOD((MIN(Y413,DATE(2015,5,16))-D413)/365,1),0.25)
)
*
_xlfn.SWITCH(J413,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13" s="1" cm="1">
        <f t="array" aca="1" ref="AA413" ca="1">IF(Y413&lt;DATE(2015,5,17),0,
K413*
(
INT((MIN(Y413,DATE(2018,9,23))-MAX(D413,DATE(2015,5,17)))/365)
+
CEILING(MOD((MIN(Y413,DATE(2018,9,23))-MAX(D413,DATE(2015,5,17)))/365,1),0.25)
)
*
_xlfn.SWITCH(J413,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13" s="1" cm="1">
        <f t="array" aca="1" ref="AB413" ca="1">IF(Y413&lt;DATE(2018,9,24),0,
IF(J413="زراعة",
K413*
(
INT((MIN(Y413,DATE(2023,4,30))-MAX(D413,DATE(2018,9,24)))/365)
+
CEILING(MOD((MIN(Y413,DATE(2023,4,30))-MAX(D413,DATE(2018,9,24)))/365,1),0.25)
)
*1,
K413*
(
DATEDIF(MAX(D413,DATE(2018,9,24)),MIN(Y413,DATE(2023,4,30)),"m")+1
)
*
_xlfn.SWITCH(J413,
"موقف/تندة",IF(D413&lt;DATE(2019,11,30),6,30),
"تشوينات",IF(D413&lt;DATE(2019,11,30),4,20),
"مشاتل",IF(D413&lt;DATE(2019,11,30),2,10),
"كافيتيريا",IF(D413&lt;DATE(2019,11,30),30,150),
"نوادي",IF(D413&lt;DATE(2019,11,30),6,30),
"رسو مراكب",IF(D413&lt;DATE(2019,11,30),2,10),
"مباني",IF(D413&lt;DATE(2018,9,24),2,10),
"عشش",IF(D413&lt;DATE(2019,11,30),2,10),
"كشك (تجاري/صناعي)",IF(D413&lt;DATE(2019,11,30),10,50),
"ردم",20,
0)))</f>
        <v>15680</v>
      </c>
      <c r="AC413" s="1" cm="1">
        <f t="array" aca="1" ref="AC413" ca="1">IF(Y413&lt;DATE(2023,5,1),0,
IF(J413="زراعة",
K413*
(
INT((Y413-MAX(DATE(2023,5,1),D413))/365)
+
CEILING(MOD((Y413-MAX(DATE(2023,5,1),D413))/365,1),0.25)
)
*3,
IF(J413="ردم",
K413*20,
K413*
(
DATEDIF(MAX(DATE(2023,5,1),D413),Y413,"m")+1
)
*
_xlfn.SWITCH(J413,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13" s="1">
        <f t="shared" ca="1" si="39"/>
        <v>55</v>
      </c>
    </row>
    <row r="414" spans="1:30" ht="18.75" x14ac:dyDescent="0.25">
      <c r="A414" s="52">
        <v>370</v>
      </c>
      <c r="B414" s="6">
        <v>114</v>
      </c>
      <c r="C414" s="6">
        <v>2017</v>
      </c>
      <c r="D414" s="7">
        <v>42962</v>
      </c>
      <c r="E414" s="12" t="s">
        <v>551</v>
      </c>
      <c r="F414" s="6"/>
      <c r="G414" s="6" t="s">
        <v>477</v>
      </c>
      <c r="H414" s="6"/>
      <c r="I414" s="6" t="s">
        <v>144</v>
      </c>
      <c r="J414" s="3" t="s">
        <v>77</v>
      </c>
      <c r="K414" s="6">
        <v>14</v>
      </c>
      <c r="L414" s="3" t="s">
        <v>90</v>
      </c>
      <c r="M414" s="7"/>
      <c r="N414" s="6"/>
      <c r="O414" s="9">
        <f>0.47*Table2[[#This Row],[قيمة المحضر]]</f>
        <v>0</v>
      </c>
      <c r="P414" s="9">
        <f>0.17*Table2[[#This Row],[قيمة المحضر]]</f>
        <v>0</v>
      </c>
      <c r="Q414" s="9">
        <f t="shared" ca="1" si="40"/>
        <v>16310</v>
      </c>
      <c r="R414" s="3"/>
      <c r="S414" s="3"/>
      <c r="T414" s="9" t="str">
        <f t="shared" si="41"/>
        <v>-</v>
      </c>
      <c r="U414" s="3" t="s">
        <v>25</v>
      </c>
      <c r="V414" s="9" t="str">
        <f t="shared" si="42"/>
        <v>-</v>
      </c>
      <c r="W414" s="4"/>
      <c r="X414" s="38"/>
      <c r="Y414" s="1">
        <f t="shared" ca="1" si="38"/>
        <v>46162</v>
      </c>
      <c r="Z414" s="1" cm="1">
        <f t="array" ref="Z414">IF(D414&gt;DATE(2015,5,16),0,
K414*
(
INT((MIN(Y414,DATE(2015,5,16))-D414)/365)
+
CEILING(MOD((MIN(Y414,DATE(2015,5,16))-D414)/365,1),0.25)
)
*
_xlfn.SWITCH(J414,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14" s="1" cm="1">
        <f t="array" aca="1" ref="AA414" ca="1">IF(Y414&lt;DATE(2015,5,17),0,
K414*
(
INT((MIN(Y414,DATE(2018,9,23))-MAX(D414,DATE(2015,5,17)))/365)
+
CEILING(MOD((MIN(Y414,DATE(2018,9,23))-MAX(D414,DATE(2015,5,17)))/365,1),0.25)
)
*
_xlfn.SWITCH(J414,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14" s="1" cm="1">
        <f t="array" aca="1" ref="AB414" ca="1">IF(Y414&lt;DATE(2018,9,24),0,
IF(J414="زراعة",
K414*
(
INT((MIN(Y414,DATE(2023,4,30))-MAX(D414,DATE(2018,9,24)))/365)
+
CEILING(MOD((MIN(Y414,DATE(2023,4,30))-MAX(D414,DATE(2018,9,24)))/365,1),0.25)
)
*1,
K414*
(
DATEDIF(MAX(D414,DATE(2018,9,24)),MIN(Y414,DATE(2023,4,30)),"m")+1
)
*
_xlfn.SWITCH(J414,
"موقف/تندة",IF(D414&lt;DATE(2019,11,30),6,30),
"تشوينات",IF(D414&lt;DATE(2019,11,30),4,20),
"مشاتل",IF(D414&lt;DATE(2019,11,30),2,10),
"كافيتيريا",IF(D414&lt;DATE(2019,11,30),30,150),
"نوادي",IF(D414&lt;DATE(2019,11,30),6,30),
"رسو مراكب",IF(D414&lt;DATE(2019,11,30),2,10),
"مباني",IF(D414&lt;DATE(2018,9,24),2,10),
"عشش",IF(D414&lt;DATE(2019,11,30),2,10),
"كشك (تجاري/صناعي)",IF(D414&lt;DATE(2019,11,30),10,50),
"ردم",20,
0)))</f>
        <v>15680</v>
      </c>
      <c r="AC414" s="1" cm="1">
        <f t="array" aca="1" ref="AC414" ca="1">IF(Y414&lt;DATE(2023,5,1),0,
IF(J414="زراعة",
K414*
(
INT((Y414-MAX(DATE(2023,5,1),D414))/365)
+
CEILING(MOD((Y414-MAX(DATE(2023,5,1),D414))/365,1),0.25)
)
*3,
IF(J414="ردم",
K414*20,
K414*
(
DATEDIF(MAX(DATE(2023,5,1),D414),Y414,"m")+1
)
*
_xlfn.SWITCH(J414,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14" s="1">
        <f t="shared" ca="1" si="39"/>
        <v>55</v>
      </c>
    </row>
    <row r="415" spans="1:30" ht="18.75" x14ac:dyDescent="0.25">
      <c r="A415" s="52">
        <v>371</v>
      </c>
      <c r="B415" s="6">
        <v>115</v>
      </c>
      <c r="C415" s="6">
        <v>2017</v>
      </c>
      <c r="D415" s="7">
        <v>42962</v>
      </c>
      <c r="E415" s="12" t="s">
        <v>552</v>
      </c>
      <c r="F415" s="6"/>
      <c r="G415" s="6" t="s">
        <v>478</v>
      </c>
      <c r="H415" s="6"/>
      <c r="I415" s="6" t="s">
        <v>144</v>
      </c>
      <c r="J415" s="3" t="s">
        <v>77</v>
      </c>
      <c r="K415" s="6">
        <v>14</v>
      </c>
      <c r="L415" s="3" t="s">
        <v>90</v>
      </c>
      <c r="M415" s="7"/>
      <c r="N415" s="6"/>
      <c r="O415" s="9">
        <f>0.47*Table2[[#This Row],[قيمة المحضر]]</f>
        <v>0</v>
      </c>
      <c r="P415" s="9">
        <f>0.17*Table2[[#This Row],[قيمة المحضر]]</f>
        <v>0</v>
      </c>
      <c r="Q415" s="9">
        <f t="shared" ca="1" si="40"/>
        <v>16310</v>
      </c>
      <c r="R415" s="3"/>
      <c r="S415" s="3"/>
      <c r="T415" s="9" t="str">
        <f t="shared" si="41"/>
        <v>-</v>
      </c>
      <c r="U415" s="3" t="s">
        <v>25</v>
      </c>
      <c r="V415" s="9" t="str">
        <f t="shared" si="42"/>
        <v>-</v>
      </c>
      <c r="W415" s="4"/>
      <c r="X415" s="38"/>
      <c r="Y415" s="1">
        <f t="shared" ca="1" si="38"/>
        <v>46162</v>
      </c>
      <c r="Z415" s="1" cm="1">
        <f t="array" ref="Z415">IF(D415&gt;DATE(2015,5,16),0,
K415*
(
INT((MIN(Y415,DATE(2015,5,16))-D415)/365)
+
CEILING(MOD((MIN(Y415,DATE(2015,5,16))-D415)/365,1),0.25)
)
*
_xlfn.SWITCH(J415,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15" s="1" cm="1">
        <f t="array" aca="1" ref="AA415" ca="1">IF(Y415&lt;DATE(2015,5,17),0,
K415*
(
INT((MIN(Y415,DATE(2018,9,23))-MAX(D415,DATE(2015,5,17)))/365)
+
CEILING(MOD((MIN(Y415,DATE(2018,9,23))-MAX(D415,DATE(2015,5,17)))/365,1),0.25)
)
*
_xlfn.SWITCH(J415,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15" s="1" cm="1">
        <f t="array" aca="1" ref="AB415" ca="1">IF(Y415&lt;DATE(2018,9,24),0,
IF(J415="زراعة",
K415*
(
INT((MIN(Y415,DATE(2023,4,30))-MAX(D415,DATE(2018,9,24)))/365)
+
CEILING(MOD((MIN(Y415,DATE(2023,4,30))-MAX(D415,DATE(2018,9,24)))/365,1),0.25)
)
*1,
K415*
(
DATEDIF(MAX(D415,DATE(2018,9,24)),MIN(Y415,DATE(2023,4,30)),"m")+1
)
*
_xlfn.SWITCH(J415,
"موقف/تندة",IF(D415&lt;DATE(2019,11,30),6,30),
"تشوينات",IF(D415&lt;DATE(2019,11,30),4,20),
"مشاتل",IF(D415&lt;DATE(2019,11,30),2,10),
"كافيتيريا",IF(D415&lt;DATE(2019,11,30),30,150),
"نوادي",IF(D415&lt;DATE(2019,11,30),6,30),
"رسو مراكب",IF(D415&lt;DATE(2019,11,30),2,10),
"مباني",IF(D415&lt;DATE(2018,9,24),2,10),
"عشش",IF(D415&lt;DATE(2019,11,30),2,10),
"كشك (تجاري/صناعي)",IF(D415&lt;DATE(2019,11,30),10,50),
"ردم",20,
0)))</f>
        <v>15680</v>
      </c>
      <c r="AC415" s="1" cm="1">
        <f t="array" aca="1" ref="AC415" ca="1">IF(Y415&lt;DATE(2023,5,1),0,
IF(J415="زراعة",
K415*
(
INT((Y415-MAX(DATE(2023,5,1),D415))/365)
+
CEILING(MOD((Y415-MAX(DATE(2023,5,1),D415))/365,1),0.25)
)
*3,
IF(J415="ردم",
K415*20,
K415*
(
DATEDIF(MAX(DATE(2023,5,1),D415),Y415,"m")+1
)
*
_xlfn.SWITCH(J415,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15" s="1">
        <f t="shared" ca="1" si="39"/>
        <v>55</v>
      </c>
    </row>
    <row r="416" spans="1:30" ht="18.75" x14ac:dyDescent="0.25">
      <c r="A416" s="52">
        <v>372</v>
      </c>
      <c r="B416" s="6">
        <v>116</v>
      </c>
      <c r="C416" s="6">
        <v>2017</v>
      </c>
      <c r="D416" s="7">
        <v>42962</v>
      </c>
      <c r="E416" s="12" t="s">
        <v>553</v>
      </c>
      <c r="F416" s="6"/>
      <c r="G416" s="6" t="s">
        <v>479</v>
      </c>
      <c r="H416" s="6"/>
      <c r="I416" s="6" t="s">
        <v>144</v>
      </c>
      <c r="J416" s="3" t="s">
        <v>77</v>
      </c>
      <c r="K416" s="6">
        <v>14</v>
      </c>
      <c r="L416" s="3" t="s">
        <v>90</v>
      </c>
      <c r="M416" s="7"/>
      <c r="N416" s="6"/>
      <c r="O416" s="9">
        <f>0.47*Table2[[#This Row],[قيمة المحضر]]</f>
        <v>0</v>
      </c>
      <c r="P416" s="9">
        <f>0.17*Table2[[#This Row],[قيمة المحضر]]</f>
        <v>0</v>
      </c>
      <c r="Q416" s="9">
        <f t="shared" ca="1" si="40"/>
        <v>16310</v>
      </c>
      <c r="R416" s="3"/>
      <c r="S416" s="3"/>
      <c r="T416" s="9" t="str">
        <f t="shared" si="41"/>
        <v>-</v>
      </c>
      <c r="U416" s="3" t="s">
        <v>25</v>
      </c>
      <c r="V416" s="9" t="str">
        <f t="shared" si="42"/>
        <v>-</v>
      </c>
      <c r="W416" s="4"/>
      <c r="X416" s="38"/>
      <c r="Y416" s="1">
        <f t="shared" ca="1" si="38"/>
        <v>46162</v>
      </c>
      <c r="Z416" s="1" cm="1">
        <f t="array" ref="Z416">IF(D416&gt;DATE(2015,5,16),0,
K416*
(
INT((MIN(Y416,DATE(2015,5,16))-D416)/365)
+
CEILING(MOD((MIN(Y416,DATE(2015,5,16))-D416)/365,1),0.25)
)
*
_xlfn.SWITCH(J416,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16" s="1" cm="1">
        <f t="array" aca="1" ref="AA416" ca="1">IF(Y416&lt;DATE(2015,5,17),0,
K416*
(
INT((MIN(Y416,DATE(2018,9,23))-MAX(D416,DATE(2015,5,17)))/365)
+
CEILING(MOD((MIN(Y416,DATE(2018,9,23))-MAX(D416,DATE(2015,5,17)))/365,1),0.25)
)
*
_xlfn.SWITCH(J416,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16" s="1" cm="1">
        <f t="array" aca="1" ref="AB416" ca="1">IF(Y416&lt;DATE(2018,9,24),0,
IF(J416="زراعة",
K416*
(
INT((MIN(Y416,DATE(2023,4,30))-MAX(D416,DATE(2018,9,24)))/365)
+
CEILING(MOD((MIN(Y416,DATE(2023,4,30))-MAX(D416,DATE(2018,9,24)))/365,1),0.25)
)
*1,
K416*
(
DATEDIF(MAX(D416,DATE(2018,9,24)),MIN(Y416,DATE(2023,4,30)),"m")+1
)
*
_xlfn.SWITCH(J416,
"موقف/تندة",IF(D416&lt;DATE(2019,11,30),6,30),
"تشوينات",IF(D416&lt;DATE(2019,11,30),4,20),
"مشاتل",IF(D416&lt;DATE(2019,11,30),2,10),
"كافيتيريا",IF(D416&lt;DATE(2019,11,30),30,150),
"نوادي",IF(D416&lt;DATE(2019,11,30),6,30),
"رسو مراكب",IF(D416&lt;DATE(2019,11,30),2,10),
"مباني",IF(D416&lt;DATE(2018,9,24),2,10),
"عشش",IF(D416&lt;DATE(2019,11,30),2,10),
"كشك (تجاري/صناعي)",IF(D416&lt;DATE(2019,11,30),10,50),
"ردم",20,
0)))</f>
        <v>15680</v>
      </c>
      <c r="AC416" s="1" cm="1">
        <f t="array" aca="1" ref="AC416" ca="1">IF(Y416&lt;DATE(2023,5,1),0,
IF(J416="زراعة",
K416*
(
INT((Y416-MAX(DATE(2023,5,1),D416))/365)
+
CEILING(MOD((Y416-MAX(DATE(2023,5,1),D416))/365,1),0.25)
)
*3,
IF(J416="ردم",
K416*20,
K416*
(
DATEDIF(MAX(DATE(2023,5,1),D416),Y416,"m")+1
)
*
_xlfn.SWITCH(J416,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16" s="1">
        <f t="shared" ca="1" si="39"/>
        <v>55</v>
      </c>
    </row>
    <row r="417" spans="1:30" ht="18.75" x14ac:dyDescent="0.25">
      <c r="A417" s="52">
        <v>373</v>
      </c>
      <c r="B417" s="6">
        <v>117</v>
      </c>
      <c r="C417" s="6">
        <v>2017</v>
      </c>
      <c r="D417" s="7">
        <v>42962</v>
      </c>
      <c r="E417" s="12" t="s">
        <v>554</v>
      </c>
      <c r="F417" s="6"/>
      <c r="G417" s="6" t="s">
        <v>480</v>
      </c>
      <c r="H417" s="6"/>
      <c r="I417" s="6" t="s">
        <v>144</v>
      </c>
      <c r="J417" s="3" t="s">
        <v>77</v>
      </c>
      <c r="K417" s="6">
        <v>14</v>
      </c>
      <c r="L417" s="3" t="s">
        <v>90</v>
      </c>
      <c r="M417" s="7"/>
      <c r="N417" s="6"/>
      <c r="O417" s="9">
        <f>0.47*Table2[[#This Row],[قيمة المحضر]]</f>
        <v>0</v>
      </c>
      <c r="P417" s="9">
        <f>0.17*Table2[[#This Row],[قيمة المحضر]]</f>
        <v>0</v>
      </c>
      <c r="Q417" s="9">
        <f t="shared" ca="1" si="40"/>
        <v>16310</v>
      </c>
      <c r="R417" s="3"/>
      <c r="S417" s="3"/>
      <c r="T417" s="9" t="str">
        <f t="shared" si="41"/>
        <v>-</v>
      </c>
      <c r="U417" s="3" t="s">
        <v>25</v>
      </c>
      <c r="V417" s="9" t="str">
        <f t="shared" si="42"/>
        <v>-</v>
      </c>
      <c r="W417" s="4"/>
      <c r="X417" s="38"/>
      <c r="Y417" s="1">
        <f t="shared" ca="1" si="38"/>
        <v>46162</v>
      </c>
      <c r="Z417" s="1" cm="1">
        <f t="array" ref="Z417">IF(D417&gt;DATE(2015,5,16),0,
K417*
(
INT((MIN(Y417,DATE(2015,5,16))-D417)/365)
+
CEILING(MOD((MIN(Y417,DATE(2015,5,16))-D417)/365,1),0.25)
)
*
_xlfn.SWITCH(J417,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17" s="1" cm="1">
        <f t="array" aca="1" ref="AA417" ca="1">IF(Y417&lt;DATE(2015,5,17),0,
K417*
(
INT((MIN(Y417,DATE(2018,9,23))-MAX(D417,DATE(2015,5,17)))/365)
+
CEILING(MOD((MIN(Y417,DATE(2018,9,23))-MAX(D417,DATE(2015,5,17)))/365,1),0.25)
)
*
_xlfn.SWITCH(J417,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17" s="1" cm="1">
        <f t="array" aca="1" ref="AB417" ca="1">IF(Y417&lt;DATE(2018,9,24),0,
IF(J417="زراعة",
K417*
(
INT((MIN(Y417,DATE(2023,4,30))-MAX(D417,DATE(2018,9,24)))/365)
+
CEILING(MOD((MIN(Y417,DATE(2023,4,30))-MAX(D417,DATE(2018,9,24)))/365,1),0.25)
)
*1,
K417*
(
DATEDIF(MAX(D417,DATE(2018,9,24)),MIN(Y417,DATE(2023,4,30)),"m")+1
)
*
_xlfn.SWITCH(J417,
"موقف/تندة",IF(D417&lt;DATE(2019,11,30),6,30),
"تشوينات",IF(D417&lt;DATE(2019,11,30),4,20),
"مشاتل",IF(D417&lt;DATE(2019,11,30),2,10),
"كافيتيريا",IF(D417&lt;DATE(2019,11,30),30,150),
"نوادي",IF(D417&lt;DATE(2019,11,30),6,30),
"رسو مراكب",IF(D417&lt;DATE(2019,11,30),2,10),
"مباني",IF(D417&lt;DATE(2018,9,24),2,10),
"عشش",IF(D417&lt;DATE(2019,11,30),2,10),
"كشك (تجاري/صناعي)",IF(D417&lt;DATE(2019,11,30),10,50),
"ردم",20,
0)))</f>
        <v>15680</v>
      </c>
      <c r="AC417" s="1" cm="1">
        <f t="array" aca="1" ref="AC417" ca="1">IF(Y417&lt;DATE(2023,5,1),0,
IF(J417="زراعة",
K417*
(
INT((Y417-MAX(DATE(2023,5,1),D417))/365)
+
CEILING(MOD((Y417-MAX(DATE(2023,5,1),D417))/365,1),0.25)
)
*3,
IF(J417="ردم",
K417*20,
K417*
(
DATEDIF(MAX(DATE(2023,5,1),D417),Y417,"m")+1
)
*
_xlfn.SWITCH(J417,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17" s="1">
        <f t="shared" ca="1" si="39"/>
        <v>55</v>
      </c>
    </row>
    <row r="418" spans="1:30" ht="18.75" x14ac:dyDescent="0.25">
      <c r="A418" s="52">
        <v>374</v>
      </c>
      <c r="B418" s="6">
        <v>118</v>
      </c>
      <c r="C418" s="6">
        <v>2017</v>
      </c>
      <c r="D418" s="7">
        <v>42962</v>
      </c>
      <c r="E418" s="12" t="s">
        <v>555</v>
      </c>
      <c r="F418" s="6"/>
      <c r="G418" s="6" t="s">
        <v>481</v>
      </c>
      <c r="H418" s="6"/>
      <c r="I418" s="6" t="s">
        <v>144</v>
      </c>
      <c r="J418" s="3" t="s">
        <v>77</v>
      </c>
      <c r="K418" s="6">
        <v>14</v>
      </c>
      <c r="L418" s="3" t="s">
        <v>90</v>
      </c>
      <c r="M418" s="7"/>
      <c r="N418" s="6"/>
      <c r="O418" s="9">
        <f>0.47*Table2[[#This Row],[قيمة المحضر]]</f>
        <v>0</v>
      </c>
      <c r="P418" s="9">
        <f>0.17*Table2[[#This Row],[قيمة المحضر]]</f>
        <v>0</v>
      </c>
      <c r="Q418" s="9">
        <f t="shared" ca="1" si="40"/>
        <v>16310</v>
      </c>
      <c r="R418" s="3"/>
      <c r="S418" s="3"/>
      <c r="T418" s="9" t="str">
        <f t="shared" si="41"/>
        <v>-</v>
      </c>
      <c r="U418" s="3" t="s">
        <v>25</v>
      </c>
      <c r="V418" s="9" t="str">
        <f t="shared" si="42"/>
        <v>-</v>
      </c>
      <c r="W418" s="4"/>
      <c r="X418" s="38"/>
      <c r="Y418" s="1">
        <f t="shared" ca="1" si="38"/>
        <v>46162</v>
      </c>
      <c r="Z418" s="1" cm="1">
        <f t="array" ref="Z418">IF(D418&gt;DATE(2015,5,16),0,
K418*
(
INT((MIN(Y418,DATE(2015,5,16))-D418)/365)
+
CEILING(MOD((MIN(Y418,DATE(2015,5,16))-D418)/365,1),0.25)
)
*
_xlfn.SWITCH(J418,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18" s="1" cm="1">
        <f t="array" aca="1" ref="AA418" ca="1">IF(Y418&lt;DATE(2015,5,17),0,
K418*
(
INT((MIN(Y418,DATE(2018,9,23))-MAX(D418,DATE(2015,5,17)))/365)
+
CEILING(MOD((MIN(Y418,DATE(2018,9,23))-MAX(D418,DATE(2015,5,17)))/365,1),0.25)
)
*
_xlfn.SWITCH(J418,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18" s="1" cm="1">
        <f t="array" aca="1" ref="AB418" ca="1">IF(Y418&lt;DATE(2018,9,24),0,
IF(J418="زراعة",
K418*
(
INT((MIN(Y418,DATE(2023,4,30))-MAX(D418,DATE(2018,9,24)))/365)
+
CEILING(MOD((MIN(Y418,DATE(2023,4,30))-MAX(D418,DATE(2018,9,24)))/365,1),0.25)
)
*1,
K418*
(
DATEDIF(MAX(D418,DATE(2018,9,24)),MIN(Y418,DATE(2023,4,30)),"m")+1
)
*
_xlfn.SWITCH(J418,
"موقف/تندة",IF(D418&lt;DATE(2019,11,30),6,30),
"تشوينات",IF(D418&lt;DATE(2019,11,30),4,20),
"مشاتل",IF(D418&lt;DATE(2019,11,30),2,10),
"كافيتيريا",IF(D418&lt;DATE(2019,11,30),30,150),
"نوادي",IF(D418&lt;DATE(2019,11,30),6,30),
"رسو مراكب",IF(D418&lt;DATE(2019,11,30),2,10),
"مباني",IF(D418&lt;DATE(2018,9,24),2,10),
"عشش",IF(D418&lt;DATE(2019,11,30),2,10),
"كشك (تجاري/صناعي)",IF(D418&lt;DATE(2019,11,30),10,50),
"ردم",20,
0)))</f>
        <v>15680</v>
      </c>
      <c r="AC418" s="1" cm="1">
        <f t="array" aca="1" ref="AC418" ca="1">IF(Y418&lt;DATE(2023,5,1),0,
IF(J418="زراعة",
K418*
(
INT((Y418-MAX(DATE(2023,5,1),D418))/365)
+
CEILING(MOD((Y418-MAX(DATE(2023,5,1),D418))/365,1),0.25)
)
*3,
IF(J418="ردم",
K418*20,
K418*
(
DATEDIF(MAX(DATE(2023,5,1),D418),Y418,"m")+1
)
*
_xlfn.SWITCH(J418,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18" s="1">
        <f t="shared" ca="1" si="39"/>
        <v>55</v>
      </c>
    </row>
    <row r="419" spans="1:30" ht="18.75" x14ac:dyDescent="0.25">
      <c r="A419" s="52">
        <v>375</v>
      </c>
      <c r="B419" s="6">
        <v>119</v>
      </c>
      <c r="C419" s="6">
        <v>2017</v>
      </c>
      <c r="D419" s="7">
        <v>42962</v>
      </c>
      <c r="E419" s="12" t="s">
        <v>556</v>
      </c>
      <c r="F419" s="6"/>
      <c r="G419" s="6" t="s">
        <v>482</v>
      </c>
      <c r="H419" s="6"/>
      <c r="I419" s="6" t="s">
        <v>144</v>
      </c>
      <c r="J419" s="3" t="s">
        <v>77</v>
      </c>
      <c r="K419" s="6">
        <v>14</v>
      </c>
      <c r="L419" s="3" t="s">
        <v>90</v>
      </c>
      <c r="M419" s="7"/>
      <c r="N419" s="6"/>
      <c r="O419" s="9">
        <f>0.47*Table2[[#This Row],[قيمة المحضر]]</f>
        <v>0</v>
      </c>
      <c r="P419" s="9">
        <f>0.17*Table2[[#This Row],[قيمة المحضر]]</f>
        <v>0</v>
      </c>
      <c r="Q419" s="9">
        <f t="shared" ca="1" si="40"/>
        <v>16310</v>
      </c>
      <c r="R419" s="3"/>
      <c r="S419" s="3"/>
      <c r="T419" s="9" t="str">
        <f t="shared" si="41"/>
        <v>-</v>
      </c>
      <c r="U419" s="3" t="s">
        <v>25</v>
      </c>
      <c r="V419" s="9" t="str">
        <f t="shared" si="42"/>
        <v>-</v>
      </c>
      <c r="W419" s="4"/>
      <c r="X419" s="38"/>
      <c r="Y419" s="1">
        <f t="shared" ca="1" si="38"/>
        <v>46162</v>
      </c>
      <c r="Z419" s="1" cm="1">
        <f t="array" ref="Z419">IF(D419&gt;DATE(2015,5,16),0,
K419*
(
INT((MIN(Y419,DATE(2015,5,16))-D419)/365)
+
CEILING(MOD((MIN(Y419,DATE(2015,5,16))-D419)/365,1),0.25)
)
*
_xlfn.SWITCH(J419,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19" s="1" cm="1">
        <f t="array" aca="1" ref="AA419" ca="1">IF(Y419&lt;DATE(2015,5,17),0,
K419*
(
INT((MIN(Y419,DATE(2018,9,23))-MAX(D419,DATE(2015,5,17)))/365)
+
CEILING(MOD((MIN(Y419,DATE(2018,9,23))-MAX(D419,DATE(2015,5,17)))/365,1),0.25)
)
*
_xlfn.SWITCH(J419,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19" s="1" cm="1">
        <f t="array" aca="1" ref="AB419" ca="1">IF(Y419&lt;DATE(2018,9,24),0,
IF(J419="زراعة",
K419*
(
INT((MIN(Y419,DATE(2023,4,30))-MAX(D419,DATE(2018,9,24)))/365)
+
CEILING(MOD((MIN(Y419,DATE(2023,4,30))-MAX(D419,DATE(2018,9,24)))/365,1),0.25)
)
*1,
K419*
(
DATEDIF(MAX(D419,DATE(2018,9,24)),MIN(Y419,DATE(2023,4,30)),"m")+1
)
*
_xlfn.SWITCH(J419,
"موقف/تندة",IF(D419&lt;DATE(2019,11,30),6,30),
"تشوينات",IF(D419&lt;DATE(2019,11,30),4,20),
"مشاتل",IF(D419&lt;DATE(2019,11,30),2,10),
"كافيتيريا",IF(D419&lt;DATE(2019,11,30),30,150),
"نوادي",IF(D419&lt;DATE(2019,11,30),6,30),
"رسو مراكب",IF(D419&lt;DATE(2019,11,30),2,10),
"مباني",IF(D419&lt;DATE(2018,9,24),2,10),
"عشش",IF(D419&lt;DATE(2019,11,30),2,10),
"كشك (تجاري/صناعي)",IF(D419&lt;DATE(2019,11,30),10,50),
"ردم",20,
0)))</f>
        <v>15680</v>
      </c>
      <c r="AC419" s="1" cm="1">
        <f t="array" aca="1" ref="AC419" ca="1">IF(Y419&lt;DATE(2023,5,1),0,
IF(J419="زراعة",
K419*
(
INT((Y419-MAX(DATE(2023,5,1),D419))/365)
+
CEILING(MOD((Y419-MAX(DATE(2023,5,1),D419))/365,1),0.25)
)
*3,
IF(J419="ردم",
K419*20,
K419*
(
DATEDIF(MAX(DATE(2023,5,1),D419),Y419,"m")+1
)
*
_xlfn.SWITCH(J419,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19" s="1">
        <f t="shared" ca="1" si="39"/>
        <v>55</v>
      </c>
    </row>
    <row r="420" spans="1:30" ht="18.75" x14ac:dyDescent="0.25">
      <c r="A420" s="52">
        <v>376</v>
      </c>
      <c r="B420" s="6">
        <v>120</v>
      </c>
      <c r="C420" s="6">
        <v>2017</v>
      </c>
      <c r="D420" s="7">
        <v>42962</v>
      </c>
      <c r="E420" s="12" t="s">
        <v>557</v>
      </c>
      <c r="F420" s="6"/>
      <c r="G420" s="6" t="s">
        <v>483</v>
      </c>
      <c r="H420" s="6"/>
      <c r="I420" s="6" t="s">
        <v>144</v>
      </c>
      <c r="J420" s="3" t="s">
        <v>77</v>
      </c>
      <c r="K420" s="6">
        <v>14</v>
      </c>
      <c r="L420" s="3" t="s">
        <v>90</v>
      </c>
      <c r="M420" s="7"/>
      <c r="N420" s="6"/>
      <c r="O420" s="9">
        <f>0.47*Table2[[#This Row],[قيمة المحضر]]</f>
        <v>0</v>
      </c>
      <c r="P420" s="9">
        <f>0.17*Table2[[#This Row],[قيمة المحضر]]</f>
        <v>0</v>
      </c>
      <c r="Q420" s="9">
        <f t="shared" ca="1" si="40"/>
        <v>16310</v>
      </c>
      <c r="R420" s="3"/>
      <c r="S420" s="3"/>
      <c r="T420" s="9" t="str">
        <f t="shared" si="41"/>
        <v>-</v>
      </c>
      <c r="U420" s="3" t="s">
        <v>25</v>
      </c>
      <c r="V420" s="9" t="str">
        <f t="shared" si="42"/>
        <v>-</v>
      </c>
      <c r="W420" s="4"/>
      <c r="X420" s="38"/>
      <c r="Y420" s="1">
        <f t="shared" ca="1" si="38"/>
        <v>46162</v>
      </c>
      <c r="Z420" s="1" cm="1">
        <f t="array" ref="Z420">IF(D420&gt;DATE(2015,5,16),0,
K420*
(
INT((MIN(Y420,DATE(2015,5,16))-D420)/365)
+
CEILING(MOD((MIN(Y420,DATE(2015,5,16))-D420)/365,1),0.25)
)
*
_xlfn.SWITCH(J420,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20" s="1" cm="1">
        <f t="array" aca="1" ref="AA420" ca="1">IF(Y420&lt;DATE(2015,5,17),0,
K420*
(
INT((MIN(Y420,DATE(2018,9,23))-MAX(D420,DATE(2015,5,17)))/365)
+
CEILING(MOD((MIN(Y420,DATE(2018,9,23))-MAX(D420,DATE(2015,5,17)))/365,1),0.25)
)
*
_xlfn.SWITCH(J420,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20" s="1" cm="1">
        <f t="array" aca="1" ref="AB420" ca="1">IF(Y420&lt;DATE(2018,9,24),0,
IF(J420="زراعة",
K420*
(
INT((MIN(Y420,DATE(2023,4,30))-MAX(D420,DATE(2018,9,24)))/365)
+
CEILING(MOD((MIN(Y420,DATE(2023,4,30))-MAX(D420,DATE(2018,9,24)))/365,1),0.25)
)
*1,
K420*
(
DATEDIF(MAX(D420,DATE(2018,9,24)),MIN(Y420,DATE(2023,4,30)),"m")+1
)
*
_xlfn.SWITCH(J420,
"موقف/تندة",IF(D420&lt;DATE(2019,11,30),6,30),
"تشوينات",IF(D420&lt;DATE(2019,11,30),4,20),
"مشاتل",IF(D420&lt;DATE(2019,11,30),2,10),
"كافيتيريا",IF(D420&lt;DATE(2019,11,30),30,150),
"نوادي",IF(D420&lt;DATE(2019,11,30),6,30),
"رسو مراكب",IF(D420&lt;DATE(2019,11,30),2,10),
"مباني",IF(D420&lt;DATE(2018,9,24),2,10),
"عشش",IF(D420&lt;DATE(2019,11,30),2,10),
"كشك (تجاري/صناعي)",IF(D420&lt;DATE(2019,11,30),10,50),
"ردم",20,
0)))</f>
        <v>15680</v>
      </c>
      <c r="AC420" s="1" cm="1">
        <f t="array" aca="1" ref="AC420" ca="1">IF(Y420&lt;DATE(2023,5,1),0,
IF(J420="زراعة",
K420*
(
INT((Y420-MAX(DATE(2023,5,1),D420))/365)
+
CEILING(MOD((Y420-MAX(DATE(2023,5,1),D420))/365,1),0.25)
)
*3,
IF(J420="ردم",
K420*20,
K420*
(
DATEDIF(MAX(DATE(2023,5,1),D420),Y420,"m")+1
)
*
_xlfn.SWITCH(J420,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20" s="1">
        <f t="shared" ca="1" si="39"/>
        <v>55</v>
      </c>
    </row>
    <row r="421" spans="1:30" ht="18.75" x14ac:dyDescent="0.25">
      <c r="A421" s="52">
        <v>377</v>
      </c>
      <c r="B421" s="6">
        <v>121</v>
      </c>
      <c r="C421" s="6">
        <v>2017</v>
      </c>
      <c r="D421" s="7">
        <v>42962</v>
      </c>
      <c r="E421" s="12" t="s">
        <v>558</v>
      </c>
      <c r="F421" s="6"/>
      <c r="G421" s="6" t="s">
        <v>484</v>
      </c>
      <c r="H421" s="6"/>
      <c r="I421" s="6" t="s">
        <v>144</v>
      </c>
      <c r="J421" s="3" t="s">
        <v>77</v>
      </c>
      <c r="K421" s="6">
        <v>14</v>
      </c>
      <c r="L421" s="3" t="s">
        <v>90</v>
      </c>
      <c r="M421" s="7"/>
      <c r="N421" s="6"/>
      <c r="O421" s="9">
        <f>0.47*Table2[[#This Row],[قيمة المحضر]]</f>
        <v>0</v>
      </c>
      <c r="P421" s="9">
        <f>0.17*Table2[[#This Row],[قيمة المحضر]]</f>
        <v>0</v>
      </c>
      <c r="Q421" s="9">
        <f t="shared" ca="1" si="40"/>
        <v>16310</v>
      </c>
      <c r="R421" s="3"/>
      <c r="S421" s="3"/>
      <c r="T421" s="9" t="str">
        <f t="shared" si="41"/>
        <v>-</v>
      </c>
      <c r="U421" s="3" t="s">
        <v>25</v>
      </c>
      <c r="V421" s="9" t="str">
        <f t="shared" si="42"/>
        <v>-</v>
      </c>
      <c r="W421" s="4"/>
      <c r="X421" s="38"/>
      <c r="Y421" s="1">
        <f t="shared" ca="1" si="38"/>
        <v>46162</v>
      </c>
      <c r="Z421" s="1" cm="1">
        <f t="array" ref="Z421">IF(D421&gt;DATE(2015,5,16),0,
K421*
(
INT((MIN(Y421,DATE(2015,5,16))-D421)/365)
+
CEILING(MOD((MIN(Y421,DATE(2015,5,16))-D421)/365,1),0.25)
)
*
_xlfn.SWITCH(J421,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21" s="1" cm="1">
        <f t="array" aca="1" ref="AA421" ca="1">IF(Y421&lt;DATE(2015,5,17),0,
K421*
(
INT((MIN(Y421,DATE(2018,9,23))-MAX(D421,DATE(2015,5,17)))/365)
+
CEILING(MOD((MIN(Y421,DATE(2018,9,23))-MAX(D421,DATE(2015,5,17)))/365,1),0.25)
)
*
_xlfn.SWITCH(J421,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21" s="1" cm="1">
        <f t="array" aca="1" ref="AB421" ca="1">IF(Y421&lt;DATE(2018,9,24),0,
IF(J421="زراعة",
K421*
(
INT((MIN(Y421,DATE(2023,4,30))-MAX(D421,DATE(2018,9,24)))/365)
+
CEILING(MOD((MIN(Y421,DATE(2023,4,30))-MAX(D421,DATE(2018,9,24)))/365,1),0.25)
)
*1,
K421*
(
DATEDIF(MAX(D421,DATE(2018,9,24)),MIN(Y421,DATE(2023,4,30)),"m")+1
)
*
_xlfn.SWITCH(J421,
"موقف/تندة",IF(D421&lt;DATE(2019,11,30),6,30),
"تشوينات",IF(D421&lt;DATE(2019,11,30),4,20),
"مشاتل",IF(D421&lt;DATE(2019,11,30),2,10),
"كافيتيريا",IF(D421&lt;DATE(2019,11,30),30,150),
"نوادي",IF(D421&lt;DATE(2019,11,30),6,30),
"رسو مراكب",IF(D421&lt;DATE(2019,11,30),2,10),
"مباني",IF(D421&lt;DATE(2018,9,24),2,10),
"عشش",IF(D421&lt;DATE(2019,11,30),2,10),
"كشك (تجاري/صناعي)",IF(D421&lt;DATE(2019,11,30),10,50),
"ردم",20,
0)))</f>
        <v>15680</v>
      </c>
      <c r="AC421" s="1" cm="1">
        <f t="array" aca="1" ref="AC421" ca="1">IF(Y421&lt;DATE(2023,5,1),0,
IF(J421="زراعة",
K421*
(
INT((Y421-MAX(DATE(2023,5,1),D421))/365)
+
CEILING(MOD((Y421-MAX(DATE(2023,5,1),D421))/365,1),0.25)
)
*3,
IF(J421="ردم",
K421*20,
K421*
(
DATEDIF(MAX(DATE(2023,5,1),D421),Y421,"m")+1
)
*
_xlfn.SWITCH(J421,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21" s="1">
        <f t="shared" ca="1" si="39"/>
        <v>55</v>
      </c>
    </row>
    <row r="422" spans="1:30" ht="18.75" x14ac:dyDescent="0.25">
      <c r="A422" s="52">
        <v>378</v>
      </c>
      <c r="B422" s="6">
        <v>122</v>
      </c>
      <c r="C422" s="6">
        <v>2017</v>
      </c>
      <c r="D422" s="7">
        <v>42962</v>
      </c>
      <c r="E422" s="12" t="s">
        <v>559</v>
      </c>
      <c r="F422" s="6"/>
      <c r="G422" s="6" t="s">
        <v>485</v>
      </c>
      <c r="H422" s="6"/>
      <c r="I422" s="6" t="s">
        <v>144</v>
      </c>
      <c r="J422" s="3" t="s">
        <v>77</v>
      </c>
      <c r="K422" s="6">
        <v>14</v>
      </c>
      <c r="L422" s="3" t="s">
        <v>90</v>
      </c>
      <c r="M422" s="7"/>
      <c r="N422" s="6"/>
      <c r="O422" s="9">
        <f>0.47*Table2[[#This Row],[قيمة المحضر]]</f>
        <v>0</v>
      </c>
      <c r="P422" s="9">
        <f>0.17*Table2[[#This Row],[قيمة المحضر]]</f>
        <v>0</v>
      </c>
      <c r="Q422" s="9">
        <f t="shared" ca="1" si="40"/>
        <v>16310</v>
      </c>
      <c r="R422" s="3"/>
      <c r="S422" s="3"/>
      <c r="T422" s="9" t="str">
        <f t="shared" si="41"/>
        <v>-</v>
      </c>
      <c r="U422" s="3" t="s">
        <v>25</v>
      </c>
      <c r="V422" s="9" t="str">
        <f t="shared" si="42"/>
        <v>-</v>
      </c>
      <c r="W422" s="4"/>
      <c r="X422" s="38"/>
      <c r="Y422" s="1">
        <f t="shared" ca="1" si="38"/>
        <v>46162</v>
      </c>
      <c r="Z422" s="1" cm="1">
        <f t="array" ref="Z422">IF(D422&gt;DATE(2015,5,16),0,
K422*
(
INT((MIN(Y422,DATE(2015,5,16))-D422)/365)
+
CEILING(MOD((MIN(Y422,DATE(2015,5,16))-D422)/365,1),0.25)
)
*
_xlfn.SWITCH(J422,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22" s="1" cm="1">
        <f t="array" aca="1" ref="AA422" ca="1">IF(Y422&lt;DATE(2015,5,17),0,
K422*
(
INT((MIN(Y422,DATE(2018,9,23))-MAX(D422,DATE(2015,5,17)))/365)
+
CEILING(MOD((MIN(Y422,DATE(2018,9,23))-MAX(D422,DATE(2015,5,17)))/365,1),0.25)
)
*
_xlfn.SWITCH(J422,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22" s="1" cm="1">
        <f t="array" aca="1" ref="AB422" ca="1">IF(Y422&lt;DATE(2018,9,24),0,
IF(J422="زراعة",
K422*
(
INT((MIN(Y422,DATE(2023,4,30))-MAX(D422,DATE(2018,9,24)))/365)
+
CEILING(MOD((MIN(Y422,DATE(2023,4,30))-MAX(D422,DATE(2018,9,24)))/365,1),0.25)
)
*1,
K422*
(
DATEDIF(MAX(D422,DATE(2018,9,24)),MIN(Y422,DATE(2023,4,30)),"m")+1
)
*
_xlfn.SWITCH(J422,
"موقف/تندة",IF(D422&lt;DATE(2019,11,30),6,30),
"تشوينات",IF(D422&lt;DATE(2019,11,30),4,20),
"مشاتل",IF(D422&lt;DATE(2019,11,30),2,10),
"كافيتيريا",IF(D422&lt;DATE(2019,11,30),30,150),
"نوادي",IF(D422&lt;DATE(2019,11,30),6,30),
"رسو مراكب",IF(D422&lt;DATE(2019,11,30),2,10),
"مباني",IF(D422&lt;DATE(2018,9,24),2,10),
"عشش",IF(D422&lt;DATE(2019,11,30),2,10),
"كشك (تجاري/صناعي)",IF(D422&lt;DATE(2019,11,30),10,50),
"ردم",20,
0)))</f>
        <v>15680</v>
      </c>
      <c r="AC422" s="1" cm="1">
        <f t="array" aca="1" ref="AC422" ca="1">IF(Y422&lt;DATE(2023,5,1),0,
IF(J422="زراعة",
K422*
(
INT((Y422-MAX(DATE(2023,5,1),D422))/365)
+
CEILING(MOD((Y422-MAX(DATE(2023,5,1),D422))/365,1),0.25)
)
*3,
IF(J422="ردم",
K422*20,
K422*
(
DATEDIF(MAX(DATE(2023,5,1),D422),Y422,"m")+1
)
*
_xlfn.SWITCH(J422,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22" s="1">
        <f t="shared" ca="1" si="39"/>
        <v>55</v>
      </c>
    </row>
    <row r="423" spans="1:30" ht="18.75" x14ac:dyDescent="0.25">
      <c r="A423" s="52">
        <v>379</v>
      </c>
      <c r="B423" s="6">
        <v>123</v>
      </c>
      <c r="C423" s="6">
        <v>2017</v>
      </c>
      <c r="D423" s="7">
        <v>42962</v>
      </c>
      <c r="E423" s="12" t="s">
        <v>560</v>
      </c>
      <c r="F423" s="6"/>
      <c r="G423" s="6" t="s">
        <v>486</v>
      </c>
      <c r="H423" s="6"/>
      <c r="I423" s="6" t="s">
        <v>144</v>
      </c>
      <c r="J423" s="3" t="s">
        <v>77</v>
      </c>
      <c r="K423" s="6">
        <v>14</v>
      </c>
      <c r="L423" s="3" t="s">
        <v>90</v>
      </c>
      <c r="M423" s="7"/>
      <c r="N423" s="6"/>
      <c r="O423" s="9">
        <f>0.47*Table2[[#This Row],[قيمة المحضر]]</f>
        <v>0</v>
      </c>
      <c r="P423" s="9">
        <f>0.17*Table2[[#This Row],[قيمة المحضر]]</f>
        <v>0</v>
      </c>
      <c r="Q423" s="9">
        <f t="shared" ca="1" si="40"/>
        <v>16310</v>
      </c>
      <c r="R423" s="3"/>
      <c r="S423" s="3"/>
      <c r="T423" s="9" t="str">
        <f t="shared" si="41"/>
        <v>-</v>
      </c>
      <c r="U423" s="3" t="s">
        <v>25</v>
      </c>
      <c r="V423" s="9" t="str">
        <f t="shared" si="42"/>
        <v>-</v>
      </c>
      <c r="W423" s="4"/>
      <c r="X423" s="38"/>
      <c r="Y423" s="1">
        <f t="shared" ca="1" si="38"/>
        <v>46162</v>
      </c>
      <c r="Z423" s="1" cm="1">
        <f t="array" ref="Z423">IF(D423&gt;DATE(2015,5,16),0,
K423*
(
INT((MIN(Y423,DATE(2015,5,16))-D423)/365)
+
CEILING(MOD((MIN(Y423,DATE(2015,5,16))-D423)/365,1),0.25)
)
*
_xlfn.SWITCH(J423,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23" s="1" cm="1">
        <f t="array" aca="1" ref="AA423" ca="1">IF(Y423&lt;DATE(2015,5,17),0,
K423*
(
INT((MIN(Y423,DATE(2018,9,23))-MAX(D423,DATE(2015,5,17)))/365)
+
CEILING(MOD((MIN(Y423,DATE(2018,9,23))-MAX(D423,DATE(2015,5,17)))/365,1),0.25)
)
*
_xlfn.SWITCH(J423,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23" s="1" cm="1">
        <f t="array" aca="1" ref="AB423" ca="1">IF(Y423&lt;DATE(2018,9,24),0,
IF(J423="زراعة",
K423*
(
INT((MIN(Y423,DATE(2023,4,30))-MAX(D423,DATE(2018,9,24)))/365)
+
CEILING(MOD((MIN(Y423,DATE(2023,4,30))-MAX(D423,DATE(2018,9,24)))/365,1),0.25)
)
*1,
K423*
(
DATEDIF(MAX(D423,DATE(2018,9,24)),MIN(Y423,DATE(2023,4,30)),"m")+1
)
*
_xlfn.SWITCH(J423,
"موقف/تندة",IF(D423&lt;DATE(2019,11,30),6,30),
"تشوينات",IF(D423&lt;DATE(2019,11,30),4,20),
"مشاتل",IF(D423&lt;DATE(2019,11,30),2,10),
"كافيتيريا",IF(D423&lt;DATE(2019,11,30),30,150),
"نوادي",IF(D423&lt;DATE(2019,11,30),6,30),
"رسو مراكب",IF(D423&lt;DATE(2019,11,30),2,10),
"مباني",IF(D423&lt;DATE(2018,9,24),2,10),
"عشش",IF(D423&lt;DATE(2019,11,30),2,10),
"كشك (تجاري/صناعي)",IF(D423&lt;DATE(2019,11,30),10,50),
"ردم",20,
0)))</f>
        <v>15680</v>
      </c>
      <c r="AC423" s="1" cm="1">
        <f t="array" aca="1" ref="AC423" ca="1">IF(Y423&lt;DATE(2023,5,1),0,
IF(J423="زراعة",
K423*
(
INT((Y423-MAX(DATE(2023,5,1),D423))/365)
+
CEILING(MOD((Y423-MAX(DATE(2023,5,1),D423))/365,1),0.25)
)
*3,
IF(J423="ردم",
K423*20,
K423*
(
DATEDIF(MAX(DATE(2023,5,1),D423),Y423,"m")+1
)
*
_xlfn.SWITCH(J423,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23" s="1">
        <f t="shared" ca="1" si="39"/>
        <v>55</v>
      </c>
    </row>
    <row r="424" spans="1:30" ht="18.75" x14ac:dyDescent="0.25">
      <c r="A424" s="52">
        <v>380</v>
      </c>
      <c r="B424" s="6">
        <v>124</v>
      </c>
      <c r="C424" s="6">
        <v>2017</v>
      </c>
      <c r="D424" s="7">
        <v>42962</v>
      </c>
      <c r="E424" s="12" t="s">
        <v>561</v>
      </c>
      <c r="F424" s="6"/>
      <c r="G424" s="6" t="s">
        <v>487</v>
      </c>
      <c r="H424" s="6"/>
      <c r="I424" s="6" t="s">
        <v>144</v>
      </c>
      <c r="J424" s="3" t="s">
        <v>77</v>
      </c>
      <c r="K424" s="6">
        <v>14</v>
      </c>
      <c r="L424" s="3" t="s">
        <v>90</v>
      </c>
      <c r="M424" s="7"/>
      <c r="N424" s="6"/>
      <c r="O424" s="9">
        <f>0.47*Table2[[#This Row],[قيمة المحضر]]</f>
        <v>0</v>
      </c>
      <c r="P424" s="9">
        <f>0.17*Table2[[#This Row],[قيمة المحضر]]</f>
        <v>0</v>
      </c>
      <c r="Q424" s="9">
        <f t="shared" ca="1" si="40"/>
        <v>16310</v>
      </c>
      <c r="R424" s="3"/>
      <c r="S424" s="3"/>
      <c r="T424" s="9" t="str">
        <f t="shared" si="41"/>
        <v>-</v>
      </c>
      <c r="U424" s="3" t="s">
        <v>25</v>
      </c>
      <c r="V424" s="9" t="str">
        <f t="shared" si="42"/>
        <v>-</v>
      </c>
      <c r="W424" s="4"/>
      <c r="X424" s="38"/>
      <c r="Y424" s="1">
        <f t="shared" ca="1" si="38"/>
        <v>46162</v>
      </c>
      <c r="Z424" s="1" cm="1">
        <f t="array" ref="Z424">IF(D424&gt;DATE(2015,5,16),0,
K424*
(
INT((MIN(Y424,DATE(2015,5,16))-D424)/365)
+
CEILING(MOD((MIN(Y424,DATE(2015,5,16))-D424)/365,1),0.25)
)
*
_xlfn.SWITCH(J424,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24" s="1" cm="1">
        <f t="array" aca="1" ref="AA424" ca="1">IF(Y424&lt;DATE(2015,5,17),0,
K424*
(
INT((MIN(Y424,DATE(2018,9,23))-MAX(D424,DATE(2015,5,17)))/365)
+
CEILING(MOD((MIN(Y424,DATE(2018,9,23))-MAX(D424,DATE(2015,5,17)))/365,1),0.25)
)
*
_xlfn.SWITCH(J424,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24" s="1" cm="1">
        <f t="array" aca="1" ref="AB424" ca="1">IF(Y424&lt;DATE(2018,9,24),0,
IF(J424="زراعة",
K424*
(
INT((MIN(Y424,DATE(2023,4,30))-MAX(D424,DATE(2018,9,24)))/365)
+
CEILING(MOD((MIN(Y424,DATE(2023,4,30))-MAX(D424,DATE(2018,9,24)))/365,1),0.25)
)
*1,
K424*
(
DATEDIF(MAX(D424,DATE(2018,9,24)),MIN(Y424,DATE(2023,4,30)),"m")+1
)
*
_xlfn.SWITCH(J424,
"موقف/تندة",IF(D424&lt;DATE(2019,11,30),6,30),
"تشوينات",IF(D424&lt;DATE(2019,11,30),4,20),
"مشاتل",IF(D424&lt;DATE(2019,11,30),2,10),
"كافيتيريا",IF(D424&lt;DATE(2019,11,30),30,150),
"نوادي",IF(D424&lt;DATE(2019,11,30),6,30),
"رسو مراكب",IF(D424&lt;DATE(2019,11,30),2,10),
"مباني",IF(D424&lt;DATE(2018,9,24),2,10),
"عشش",IF(D424&lt;DATE(2019,11,30),2,10),
"كشك (تجاري/صناعي)",IF(D424&lt;DATE(2019,11,30),10,50),
"ردم",20,
0)))</f>
        <v>15680</v>
      </c>
      <c r="AC424" s="1" cm="1">
        <f t="array" aca="1" ref="AC424" ca="1">IF(Y424&lt;DATE(2023,5,1),0,
IF(J424="زراعة",
K424*
(
INT((Y424-MAX(DATE(2023,5,1),D424))/365)
+
CEILING(MOD((Y424-MAX(DATE(2023,5,1),D424))/365,1),0.25)
)
*3,
IF(J424="ردم",
K424*20,
K424*
(
DATEDIF(MAX(DATE(2023,5,1),D424),Y424,"m")+1
)
*
_xlfn.SWITCH(J424,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24" s="1">
        <f t="shared" ca="1" si="39"/>
        <v>55</v>
      </c>
    </row>
    <row r="425" spans="1:30" ht="18.75" x14ac:dyDescent="0.25">
      <c r="A425" s="52">
        <v>381</v>
      </c>
      <c r="B425" s="6">
        <v>125</v>
      </c>
      <c r="C425" s="6">
        <v>2017</v>
      </c>
      <c r="D425" s="7">
        <v>42962</v>
      </c>
      <c r="E425" s="12" t="s">
        <v>562</v>
      </c>
      <c r="F425" s="6"/>
      <c r="G425" s="6" t="s">
        <v>488</v>
      </c>
      <c r="H425" s="6"/>
      <c r="I425" s="6" t="s">
        <v>144</v>
      </c>
      <c r="J425" s="3" t="s">
        <v>77</v>
      </c>
      <c r="K425" s="6">
        <v>14</v>
      </c>
      <c r="L425" s="3" t="s">
        <v>90</v>
      </c>
      <c r="M425" s="7"/>
      <c r="N425" s="6"/>
      <c r="O425" s="9">
        <f>0.47*Table2[[#This Row],[قيمة المحضر]]</f>
        <v>0</v>
      </c>
      <c r="P425" s="9">
        <f>0.17*Table2[[#This Row],[قيمة المحضر]]</f>
        <v>0</v>
      </c>
      <c r="Q425" s="9">
        <f t="shared" ca="1" si="40"/>
        <v>16310</v>
      </c>
      <c r="R425" s="3"/>
      <c r="S425" s="3"/>
      <c r="T425" s="9" t="str">
        <f t="shared" si="41"/>
        <v>-</v>
      </c>
      <c r="U425" s="3" t="s">
        <v>25</v>
      </c>
      <c r="V425" s="9" t="str">
        <f t="shared" si="42"/>
        <v>-</v>
      </c>
      <c r="W425" s="4"/>
      <c r="X425" s="38"/>
      <c r="Y425" s="1">
        <f t="shared" ca="1" si="38"/>
        <v>46162</v>
      </c>
      <c r="Z425" s="1" cm="1">
        <f t="array" ref="Z425">IF(D425&gt;DATE(2015,5,16),0,
K425*
(
INT((MIN(Y425,DATE(2015,5,16))-D425)/365)
+
CEILING(MOD((MIN(Y425,DATE(2015,5,16))-D425)/365,1),0.25)
)
*
_xlfn.SWITCH(J425,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25" s="1" cm="1">
        <f t="array" aca="1" ref="AA425" ca="1">IF(Y425&lt;DATE(2015,5,17),0,
K425*
(
INT((MIN(Y425,DATE(2018,9,23))-MAX(D425,DATE(2015,5,17)))/365)
+
CEILING(MOD((MIN(Y425,DATE(2018,9,23))-MAX(D425,DATE(2015,5,17)))/365,1),0.25)
)
*
_xlfn.SWITCH(J425,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25" s="1" cm="1">
        <f t="array" aca="1" ref="AB425" ca="1">IF(Y425&lt;DATE(2018,9,24),0,
IF(J425="زراعة",
K425*
(
INT((MIN(Y425,DATE(2023,4,30))-MAX(D425,DATE(2018,9,24)))/365)
+
CEILING(MOD((MIN(Y425,DATE(2023,4,30))-MAX(D425,DATE(2018,9,24)))/365,1),0.25)
)
*1,
K425*
(
DATEDIF(MAX(D425,DATE(2018,9,24)),MIN(Y425,DATE(2023,4,30)),"m")+1
)
*
_xlfn.SWITCH(J425,
"موقف/تندة",IF(D425&lt;DATE(2019,11,30),6,30),
"تشوينات",IF(D425&lt;DATE(2019,11,30),4,20),
"مشاتل",IF(D425&lt;DATE(2019,11,30),2,10),
"كافيتيريا",IF(D425&lt;DATE(2019,11,30),30,150),
"نوادي",IF(D425&lt;DATE(2019,11,30),6,30),
"رسو مراكب",IF(D425&lt;DATE(2019,11,30),2,10),
"مباني",IF(D425&lt;DATE(2018,9,24),2,10),
"عشش",IF(D425&lt;DATE(2019,11,30),2,10),
"كشك (تجاري/صناعي)",IF(D425&lt;DATE(2019,11,30),10,50),
"ردم",20,
0)))</f>
        <v>15680</v>
      </c>
      <c r="AC425" s="1" cm="1">
        <f t="array" aca="1" ref="AC425" ca="1">IF(Y425&lt;DATE(2023,5,1),0,
IF(J425="زراعة",
K425*
(
INT((Y425-MAX(DATE(2023,5,1),D425))/365)
+
CEILING(MOD((Y425-MAX(DATE(2023,5,1),D425))/365,1),0.25)
)
*3,
IF(J425="ردم",
K425*20,
K425*
(
DATEDIF(MAX(DATE(2023,5,1),D425),Y425,"m")+1
)
*
_xlfn.SWITCH(J425,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25" s="1">
        <f t="shared" ca="1" si="39"/>
        <v>55</v>
      </c>
    </row>
    <row r="426" spans="1:30" ht="18.75" x14ac:dyDescent="0.25">
      <c r="A426" s="52">
        <v>382</v>
      </c>
      <c r="B426" s="6">
        <v>126</v>
      </c>
      <c r="C426" s="6">
        <v>2017</v>
      </c>
      <c r="D426" s="7">
        <v>42962</v>
      </c>
      <c r="E426" s="12" t="s">
        <v>563</v>
      </c>
      <c r="F426" s="6"/>
      <c r="G426" s="6" t="s">
        <v>489</v>
      </c>
      <c r="H426" s="6"/>
      <c r="I426" s="6" t="s">
        <v>144</v>
      </c>
      <c r="J426" s="3" t="s">
        <v>579</v>
      </c>
      <c r="K426" s="6">
        <v>3</v>
      </c>
      <c r="L426" s="3" t="s">
        <v>90</v>
      </c>
      <c r="M426" s="7"/>
      <c r="N426" s="6"/>
      <c r="O426" s="9">
        <f>0.47*Table2[[#This Row],[قيمة المحضر]]</f>
        <v>0</v>
      </c>
      <c r="P426" s="9">
        <f>0.17*Table2[[#This Row],[قيمة المحضر]]</f>
        <v>0</v>
      </c>
      <c r="Q426" s="9">
        <f t="shared" ca="1" si="40"/>
        <v>2088</v>
      </c>
      <c r="R426" s="3"/>
      <c r="S426" s="3"/>
      <c r="T426" s="9" t="str">
        <f t="shared" si="41"/>
        <v>-</v>
      </c>
      <c r="U426" s="3" t="s">
        <v>25</v>
      </c>
      <c r="V426" s="9" t="str">
        <f t="shared" si="42"/>
        <v>-</v>
      </c>
      <c r="W426" s="4"/>
      <c r="X426" s="38"/>
      <c r="Y426" s="1">
        <f t="shared" ca="1" si="38"/>
        <v>46162</v>
      </c>
      <c r="Z426" s="1" cm="1">
        <f t="array" ref="Z426">IF(D426&gt;DATE(2015,5,16),0,
K426*
(
INT((MIN(Y426,DATE(2015,5,16))-D426)/365)
+
CEILING(MOD((MIN(Y426,DATE(2015,5,16))-D426)/365,1),0.25)
)
*
_xlfn.SWITCH(J426,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26" s="1" cm="1">
        <f t="array" aca="1" ref="AA426" ca="1">IF(Y426&lt;DATE(2015,5,17),0,
K426*
(
INT((MIN(Y426,DATE(2018,9,23))-MAX(D426,DATE(2015,5,17)))/365)
+
CEILING(MOD((MIN(Y426,DATE(2018,9,23))-MAX(D426,DATE(2015,5,17)))/365,1),0.25)
)
*
_xlfn.SWITCH(J426,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</v>
      </c>
      <c r="AB426" s="1" cm="1">
        <f t="array" aca="1" ref="AB426" ca="1">IF(Y426&lt;DATE(2018,9,24),0,
IF(J426="زراعة",
K426*
(
INT((MIN(Y426,DATE(2023,4,30))-MAX(D426,DATE(2018,9,24)))/365)
+
CEILING(MOD((MIN(Y426,DATE(2023,4,30))-MAX(D426,DATE(2018,9,24)))/365,1),0.25)
)
*1,
K426*
(
DATEDIF(MAX(D426,DATE(2018,9,24)),MIN(Y426,DATE(2023,4,30)),"m")+1
)
*
_xlfn.SWITCH(J426,
"موقف/تندة",IF(D426&lt;DATE(2019,11,30),6,30),
"تشوينات",IF(D426&lt;DATE(2019,11,30),4,20),
"مشاتل",IF(D426&lt;DATE(2019,11,30),2,10),
"كافيتيريا",IF(D426&lt;DATE(2019,11,30),30,150),
"نوادي",IF(D426&lt;DATE(2019,11,30),6,30),
"رسو مراكب",IF(D426&lt;DATE(2019,11,30),2,10),
"مباني",IF(D426&lt;DATE(2018,9,24),2,10),
"عشش",IF(D426&lt;DATE(2019,11,30),2,10),
"كشك (تجاري/صناعي)",IF(D426&lt;DATE(2019,11,30),10,50),
"ردم",20,
0)))</f>
        <v>0</v>
      </c>
      <c r="AC426" s="1" cm="1">
        <f t="array" aca="1" ref="AC426" ca="1">IF(Y426&lt;DATE(2023,5,1),0,
IF(J426="زراعة",
K426*
(
INT((Y426-MAX(DATE(2023,5,1),D426))/365)
+
CEILING(MOD((Y426-MAX(DATE(2023,5,1),D426))/365,1),0.25)
)
*3,
IF(J426="ردم",
K426*20,
K426*
(
DATEDIF(MAX(DATE(2023,5,1),D426),Y426,"m")+1
)
*
_xlfn.SWITCH(J426,
"موقف/تندة",6,
"تشوينات",4,
"مشاتل",2,
"رسو مراكب",6,
"مباني",3,
"عشش",1,
"كشك (تجاري/صناعي)",20,
"مواسير صرف صحي (&lt;1م)",16,
"مواسير صرف صحي (&gt;1م)",18,
0))))</f>
        <v>1998</v>
      </c>
      <c r="AD426" s="1">
        <f t="shared" ca="1" si="39"/>
        <v>55</v>
      </c>
    </row>
    <row r="427" spans="1:30" ht="18.75" x14ac:dyDescent="0.25">
      <c r="A427" s="52">
        <v>383</v>
      </c>
      <c r="B427" s="6">
        <v>127</v>
      </c>
      <c r="C427" s="6">
        <v>2017</v>
      </c>
      <c r="D427" s="7">
        <v>42962</v>
      </c>
      <c r="E427" s="12" t="s">
        <v>564</v>
      </c>
      <c r="F427" s="6"/>
      <c r="G427" s="6" t="s">
        <v>490</v>
      </c>
      <c r="H427" s="6"/>
      <c r="I427" s="6" t="s">
        <v>144</v>
      </c>
      <c r="J427" s="3" t="s">
        <v>77</v>
      </c>
      <c r="K427" s="6">
        <v>14</v>
      </c>
      <c r="L427" s="3" t="s">
        <v>90</v>
      </c>
      <c r="M427" s="7"/>
      <c r="N427" s="6"/>
      <c r="O427" s="9">
        <f>0.47*Table2[[#This Row],[قيمة المحضر]]</f>
        <v>0</v>
      </c>
      <c r="P427" s="9">
        <f>0.17*Table2[[#This Row],[قيمة المحضر]]</f>
        <v>0</v>
      </c>
      <c r="Q427" s="9">
        <f t="shared" ca="1" si="40"/>
        <v>16310</v>
      </c>
      <c r="R427" s="3"/>
      <c r="S427" s="3"/>
      <c r="T427" s="9" t="str">
        <f t="shared" si="41"/>
        <v>-</v>
      </c>
      <c r="U427" s="3" t="s">
        <v>25</v>
      </c>
      <c r="V427" s="9" t="str">
        <f t="shared" si="42"/>
        <v>-</v>
      </c>
      <c r="W427" s="4"/>
      <c r="X427" s="38"/>
      <c r="Y427" s="1">
        <f t="shared" ca="1" si="38"/>
        <v>46162</v>
      </c>
      <c r="Z427" s="1" cm="1">
        <f t="array" ref="Z427">IF(D427&gt;DATE(2015,5,16),0,
K427*
(
INT((MIN(Y427,DATE(2015,5,16))-D427)/365)
+
CEILING(MOD((MIN(Y427,DATE(2015,5,16))-D427)/365,1),0.25)
)
*
_xlfn.SWITCH(J427,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27" s="1" cm="1">
        <f t="array" aca="1" ref="AA427" ca="1">IF(Y427&lt;DATE(2015,5,17),0,
K427*
(
INT((MIN(Y427,DATE(2018,9,23))-MAX(D427,DATE(2015,5,17)))/365)
+
CEILING(MOD((MIN(Y427,DATE(2018,9,23))-MAX(D427,DATE(2015,5,17)))/365,1),0.25)
)
*
_xlfn.SWITCH(J427,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350</v>
      </c>
      <c r="AB427" s="1" cm="1">
        <f t="array" aca="1" ref="AB427" ca="1">IF(Y427&lt;DATE(2018,9,24),0,
IF(J427="زراعة",
K427*
(
INT((MIN(Y427,DATE(2023,4,30))-MAX(D427,DATE(2018,9,24)))/365)
+
CEILING(MOD((MIN(Y427,DATE(2023,4,30))-MAX(D427,DATE(2018,9,24)))/365,1),0.25)
)
*1,
K427*
(
DATEDIF(MAX(D427,DATE(2018,9,24)),MIN(Y427,DATE(2023,4,30)),"m")+1
)
*
_xlfn.SWITCH(J427,
"موقف/تندة",IF(D427&lt;DATE(2019,11,30),6,30),
"تشوينات",IF(D427&lt;DATE(2019,11,30),4,20),
"مشاتل",IF(D427&lt;DATE(2019,11,30),2,10),
"كافيتيريا",IF(D427&lt;DATE(2019,11,30),30,150),
"نوادي",IF(D427&lt;DATE(2019,11,30),6,30),
"رسو مراكب",IF(D427&lt;DATE(2019,11,30),2,10),
"مباني",IF(D427&lt;DATE(2018,9,24),2,10),
"عشش",IF(D427&lt;DATE(2019,11,30),2,10),
"كشك (تجاري/صناعي)",IF(D427&lt;DATE(2019,11,30),10,50),
"ردم",20,
0)))</f>
        <v>15680</v>
      </c>
      <c r="AC427" s="1" cm="1">
        <f t="array" aca="1" ref="AC427" ca="1">IF(Y427&lt;DATE(2023,5,1),0,
IF(J427="زراعة",
K427*
(
INT((Y427-MAX(DATE(2023,5,1),D427))/365)
+
CEILING(MOD((Y427-MAX(DATE(2023,5,1),D427))/365,1),0.25)
)
*3,
IF(J427="ردم",
K427*20,
K427*
(
DATEDIF(MAX(DATE(2023,5,1),D427),Y427,"m")+1
)
*
_xlfn.SWITCH(J427,
"موقف/تندة",6,
"تشوينات",4,
"مشاتل",2,
"رسو مراكب",6,
"مباني",3,
"عشش",1,
"كشك (تجاري/صناعي)",20,
"مواسير صرف صحي (&lt;1م)",16,
"مواسير صرف صحي (&gt;1م)",18,
0))))</f>
        <v>280</v>
      </c>
      <c r="AD427" s="1">
        <f t="shared" ca="1" si="39"/>
        <v>55</v>
      </c>
    </row>
    <row r="428" spans="1:30" ht="18.75" x14ac:dyDescent="0.25">
      <c r="A428" s="52">
        <v>384</v>
      </c>
      <c r="B428" s="6">
        <v>128</v>
      </c>
      <c r="C428" s="6">
        <v>2017</v>
      </c>
      <c r="D428" s="7">
        <v>42962</v>
      </c>
      <c r="E428" s="12" t="s">
        <v>565</v>
      </c>
      <c r="F428" s="6"/>
      <c r="G428" s="6" t="s">
        <v>491</v>
      </c>
      <c r="H428" s="6"/>
      <c r="I428" s="6" t="s">
        <v>372</v>
      </c>
      <c r="J428" s="3" t="s">
        <v>28</v>
      </c>
      <c r="K428" s="6">
        <v>24</v>
      </c>
      <c r="L428" s="3" t="s">
        <v>191</v>
      </c>
      <c r="M428" s="7"/>
      <c r="N428" s="6"/>
      <c r="O428" s="9">
        <f>0.47*Table2[[#This Row],[قيمة المحضر]]</f>
        <v>0</v>
      </c>
      <c r="P428" s="9">
        <f>0.17*Table2[[#This Row],[قيمة المحضر]]</f>
        <v>0</v>
      </c>
      <c r="Q428" s="9">
        <f t="shared" ca="1" si="40"/>
        <v>3696</v>
      </c>
      <c r="R428" s="3"/>
      <c r="S428" s="3"/>
      <c r="T428" s="9" t="str">
        <f t="shared" si="41"/>
        <v>-</v>
      </c>
      <c r="U428" s="3" t="s">
        <v>25</v>
      </c>
      <c r="V428" s="9" t="str">
        <f t="shared" si="42"/>
        <v>-</v>
      </c>
      <c r="W428" s="4"/>
      <c r="X428" s="38"/>
      <c r="Y428" s="1">
        <f t="shared" ca="1" si="38"/>
        <v>46162</v>
      </c>
      <c r="Z428" s="1" cm="1">
        <f t="array" ref="Z428">IF(D428&gt;DATE(2015,5,16),0,
K428*
(
INT((MIN(Y428,DATE(2015,5,16))-D428)/365)
+
CEILING(MOD((MIN(Y428,DATE(2015,5,16))-D428)/365,1),0.25)
)
*
_xlfn.SWITCH(J428,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28" s="1" cm="1">
        <f t="array" aca="1" ref="AA428" ca="1">IF(Y428&lt;DATE(2015,5,17),0,
K428*
(
INT((MIN(Y428,DATE(2018,9,23))-MAX(D428,DATE(2015,5,17)))/365)
+
CEILING(MOD((MIN(Y428,DATE(2018,9,23))-MAX(D428,DATE(2015,5,17)))/365,1),0.25)
)
*
_xlfn.SWITCH(J428,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120</v>
      </c>
      <c r="AB428" s="1" cm="1">
        <f t="array" aca="1" ref="AB428" ca="1">IF(Y428&lt;DATE(2018,9,24),0,
IF(J428="زراعة",
K428*
(
INT((MIN(Y428,DATE(2023,4,30))-MAX(D428,DATE(2018,9,24)))/365)
+
CEILING(MOD((MIN(Y428,DATE(2023,4,30))-MAX(D428,DATE(2018,9,24)))/365,1),0.25)
)
*1,
K428*
(
DATEDIF(MAX(D428,DATE(2018,9,24)),MIN(Y428,DATE(2023,4,30)),"m")+1
)
*
_xlfn.SWITCH(J428,
"موقف/تندة",IF(D428&lt;DATE(2019,11,30),6,30),
"تشوينات",IF(D428&lt;DATE(2019,11,30),4,20),
"مشاتل",IF(D428&lt;DATE(2019,11,30),2,10),
"كافيتيريا",IF(D428&lt;DATE(2019,11,30),30,150),
"نوادي",IF(D428&lt;DATE(2019,11,30),6,30),
"رسو مراكب",IF(D428&lt;DATE(2019,11,30),2,10),
"مباني",IF(D428&lt;DATE(2018,9,24),2,10),
"عشش",IF(D428&lt;DATE(2019,11,30),2,10),
"كشك (تجاري/صناعي)",IF(D428&lt;DATE(2019,11,30),10,50),
"ردم",20,
0)))</f>
        <v>2688</v>
      </c>
      <c r="AC428" s="1" cm="1">
        <f t="array" aca="1" ref="AC428" ca="1">IF(Y428&lt;DATE(2023,5,1),0,
IF(J428="زراعة",
K428*
(
INT((Y428-MAX(DATE(2023,5,1),D428))/365)
+
CEILING(MOD((Y428-MAX(DATE(2023,5,1),D428))/365,1),0.25)
)
*3,
IF(J428="ردم",
K428*20,
K428*
(
DATEDIF(MAX(DATE(2023,5,1),D428),Y428,"m")+1
)
*
_xlfn.SWITCH(J428,
"موقف/تندة",6,
"تشوينات",4,
"مشاتل",2,
"رسو مراكب",6,
"مباني",3,
"عشش",1,
"كشك (تجاري/صناعي)",20,
"مواسير صرف صحي (&lt;1م)",16,
"مواسير صرف صحي (&gt;1م)",18,
0))))</f>
        <v>888</v>
      </c>
      <c r="AD428" s="1">
        <f t="shared" ca="1" si="39"/>
        <v>55</v>
      </c>
    </row>
    <row r="429" spans="1:30" ht="18.75" x14ac:dyDescent="0.25">
      <c r="A429" s="52">
        <v>385</v>
      </c>
      <c r="B429" s="6">
        <v>129</v>
      </c>
      <c r="C429" s="6">
        <v>2017</v>
      </c>
      <c r="D429" s="7">
        <v>42962</v>
      </c>
      <c r="E429" s="12" t="s">
        <v>566</v>
      </c>
      <c r="F429" s="6"/>
      <c r="G429" s="6" t="s">
        <v>492</v>
      </c>
      <c r="H429" s="6"/>
      <c r="I429" s="6" t="s">
        <v>372</v>
      </c>
      <c r="J429" s="3" t="s">
        <v>28</v>
      </c>
      <c r="K429" s="6">
        <v>18</v>
      </c>
      <c r="L429" s="3" t="s">
        <v>191</v>
      </c>
      <c r="M429" s="7"/>
      <c r="N429" s="6"/>
      <c r="O429" s="9">
        <f>0.47*Table2[[#This Row],[قيمة المحضر]]</f>
        <v>0</v>
      </c>
      <c r="P429" s="9">
        <f>0.17*Table2[[#This Row],[قيمة المحضر]]</f>
        <v>0</v>
      </c>
      <c r="Q429" s="9">
        <f t="shared" ca="1" si="40"/>
        <v>2772</v>
      </c>
      <c r="R429" s="3"/>
      <c r="S429" s="3"/>
      <c r="T429" s="9" t="str">
        <f t="shared" si="41"/>
        <v>-</v>
      </c>
      <c r="U429" s="3" t="s">
        <v>25</v>
      </c>
      <c r="V429" s="9" t="str">
        <f t="shared" si="42"/>
        <v>-</v>
      </c>
      <c r="W429" s="4"/>
      <c r="X429" s="38"/>
      <c r="Y429" s="1">
        <f t="shared" ca="1" si="38"/>
        <v>46162</v>
      </c>
      <c r="Z429" s="1" cm="1">
        <f t="array" ref="Z429">IF(D429&gt;DATE(2015,5,16),0,
K429*
(
INT((MIN(Y429,DATE(2015,5,16))-D429)/365)
+
CEILING(MOD((MIN(Y429,DATE(2015,5,16))-D429)/365,1),0.25)
)
*
_xlfn.SWITCH(J429,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29" s="1" cm="1">
        <f t="array" aca="1" ref="AA429" ca="1">IF(Y429&lt;DATE(2015,5,17),0,
K429*
(
INT((MIN(Y429,DATE(2018,9,23))-MAX(D429,DATE(2015,5,17)))/365)
+
CEILING(MOD((MIN(Y429,DATE(2018,9,23))-MAX(D429,DATE(2015,5,17)))/365,1),0.25)
)
*
_xlfn.SWITCH(J429,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</v>
      </c>
      <c r="AB429" s="1" cm="1">
        <f t="array" aca="1" ref="AB429" ca="1">IF(Y429&lt;DATE(2018,9,24),0,
IF(J429="زراعة",
K429*
(
INT((MIN(Y429,DATE(2023,4,30))-MAX(D429,DATE(2018,9,24)))/365)
+
CEILING(MOD((MIN(Y429,DATE(2023,4,30))-MAX(D429,DATE(2018,9,24)))/365,1),0.25)
)
*1,
K429*
(
DATEDIF(MAX(D429,DATE(2018,9,24)),MIN(Y429,DATE(2023,4,30)),"m")+1
)
*
_xlfn.SWITCH(J429,
"موقف/تندة",IF(D429&lt;DATE(2019,11,30),6,30),
"تشوينات",IF(D429&lt;DATE(2019,11,30),4,20),
"مشاتل",IF(D429&lt;DATE(2019,11,30),2,10),
"كافيتيريا",IF(D429&lt;DATE(2019,11,30),30,150),
"نوادي",IF(D429&lt;DATE(2019,11,30),6,30),
"رسو مراكب",IF(D429&lt;DATE(2019,11,30),2,10),
"مباني",IF(D429&lt;DATE(2018,9,24),2,10),
"عشش",IF(D429&lt;DATE(2019,11,30),2,10),
"كشك (تجاري/صناعي)",IF(D429&lt;DATE(2019,11,30),10,50),
"ردم",20,
0)))</f>
        <v>2016</v>
      </c>
      <c r="AC429" s="1" cm="1">
        <f t="array" aca="1" ref="AC429" ca="1">IF(Y429&lt;DATE(2023,5,1),0,
IF(J429="زراعة",
K429*
(
INT((Y429-MAX(DATE(2023,5,1),D429))/365)
+
CEILING(MOD((Y429-MAX(DATE(2023,5,1),D429))/365,1),0.25)
)
*3,
IF(J429="ردم",
K429*20,
K429*
(
DATEDIF(MAX(DATE(2023,5,1),D429),Y429,"m")+1
)
*
_xlfn.SWITCH(J429,
"موقف/تندة",6,
"تشوينات",4,
"مشاتل",2,
"رسو مراكب",6,
"مباني",3,
"عشش",1,
"كشك (تجاري/صناعي)",20,
"مواسير صرف صحي (&lt;1م)",16,
"مواسير صرف صحي (&gt;1م)",18,
0))))</f>
        <v>666</v>
      </c>
      <c r="AD429" s="1">
        <f t="shared" ca="1" si="39"/>
        <v>55</v>
      </c>
    </row>
    <row r="430" spans="1:30" ht="18.75" x14ac:dyDescent="0.25">
      <c r="A430" s="52">
        <v>386</v>
      </c>
      <c r="B430" s="6">
        <v>130</v>
      </c>
      <c r="C430" s="6">
        <v>2017</v>
      </c>
      <c r="D430" s="7">
        <v>42962</v>
      </c>
      <c r="E430" s="12" t="s">
        <v>567</v>
      </c>
      <c r="F430" s="6"/>
      <c r="G430" s="6" t="s">
        <v>493</v>
      </c>
      <c r="H430" s="6"/>
      <c r="I430" s="6" t="s">
        <v>372</v>
      </c>
      <c r="J430" s="3" t="s">
        <v>28</v>
      </c>
      <c r="K430" s="6">
        <v>30</v>
      </c>
      <c r="L430" s="3" t="s">
        <v>191</v>
      </c>
      <c r="M430" s="7"/>
      <c r="N430" s="6"/>
      <c r="O430" s="9">
        <f>0.47*Table2[[#This Row],[قيمة المحضر]]</f>
        <v>0</v>
      </c>
      <c r="P430" s="9">
        <f>0.17*Table2[[#This Row],[قيمة المحضر]]</f>
        <v>0</v>
      </c>
      <c r="Q430" s="9">
        <f t="shared" ca="1" si="40"/>
        <v>4620</v>
      </c>
      <c r="R430" s="3"/>
      <c r="S430" s="3"/>
      <c r="T430" s="9" t="str">
        <f t="shared" si="41"/>
        <v>-</v>
      </c>
      <c r="U430" s="3" t="s">
        <v>25</v>
      </c>
      <c r="V430" s="9" t="str">
        <f t="shared" si="42"/>
        <v>-</v>
      </c>
      <c r="W430" s="4"/>
      <c r="X430" s="38"/>
      <c r="Y430" s="1">
        <f t="shared" ca="1" si="38"/>
        <v>46162</v>
      </c>
      <c r="Z430" s="1" cm="1">
        <f t="array" ref="Z430">IF(D430&gt;DATE(2015,5,16),0,
K430*
(
INT((MIN(Y430,DATE(2015,5,16))-D430)/365)
+
CEILING(MOD((MIN(Y430,DATE(2015,5,16))-D430)/365,1),0.25)
)
*
_xlfn.SWITCH(J430,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30" s="1" cm="1">
        <f t="array" aca="1" ref="AA430" ca="1">IF(Y430&lt;DATE(2015,5,17),0,
K430*
(
INT((MIN(Y430,DATE(2018,9,23))-MAX(D430,DATE(2015,5,17)))/365)
+
CEILING(MOD((MIN(Y430,DATE(2018,9,23))-MAX(D430,DATE(2015,5,17)))/365,1),0.25)
)
*
_xlfn.SWITCH(J430,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150</v>
      </c>
      <c r="AB430" s="1" cm="1">
        <f t="array" aca="1" ref="AB430" ca="1">IF(Y430&lt;DATE(2018,9,24),0,
IF(J430="زراعة",
K430*
(
INT((MIN(Y430,DATE(2023,4,30))-MAX(D430,DATE(2018,9,24)))/365)
+
CEILING(MOD((MIN(Y430,DATE(2023,4,30))-MAX(D430,DATE(2018,9,24)))/365,1),0.25)
)
*1,
K430*
(
DATEDIF(MAX(D430,DATE(2018,9,24)),MIN(Y430,DATE(2023,4,30)),"m")+1
)
*
_xlfn.SWITCH(J430,
"موقف/تندة",IF(D430&lt;DATE(2019,11,30),6,30),
"تشوينات",IF(D430&lt;DATE(2019,11,30),4,20),
"مشاتل",IF(D430&lt;DATE(2019,11,30),2,10),
"كافيتيريا",IF(D430&lt;DATE(2019,11,30),30,150),
"نوادي",IF(D430&lt;DATE(2019,11,30),6,30),
"رسو مراكب",IF(D430&lt;DATE(2019,11,30),2,10),
"مباني",IF(D430&lt;DATE(2018,9,24),2,10),
"عشش",IF(D430&lt;DATE(2019,11,30),2,10),
"كشك (تجاري/صناعي)",IF(D430&lt;DATE(2019,11,30),10,50),
"ردم",20,
0)))</f>
        <v>3360</v>
      </c>
      <c r="AC430" s="1" cm="1">
        <f t="array" aca="1" ref="AC430" ca="1">IF(Y430&lt;DATE(2023,5,1),0,
IF(J430="زراعة",
K430*
(
INT((Y430-MAX(DATE(2023,5,1),D430))/365)
+
CEILING(MOD((Y430-MAX(DATE(2023,5,1),D430))/365,1),0.25)
)
*3,
IF(J430="ردم",
K430*20,
K430*
(
DATEDIF(MAX(DATE(2023,5,1),D430),Y430,"m")+1
)
*
_xlfn.SWITCH(J430,
"موقف/تندة",6,
"تشوينات",4,
"مشاتل",2,
"رسو مراكب",6,
"مباني",3,
"عشش",1,
"كشك (تجاري/صناعي)",20,
"مواسير صرف صحي (&lt;1م)",16,
"مواسير صرف صحي (&gt;1م)",18,
0))))</f>
        <v>1110</v>
      </c>
      <c r="AD430" s="1">
        <f t="shared" ca="1" si="39"/>
        <v>55</v>
      </c>
    </row>
    <row r="431" spans="1:30" ht="18.75" x14ac:dyDescent="0.25">
      <c r="A431" s="52">
        <v>387</v>
      </c>
      <c r="B431" s="6">
        <v>131</v>
      </c>
      <c r="C431" s="6">
        <v>2017</v>
      </c>
      <c r="D431" s="7">
        <v>42962</v>
      </c>
      <c r="E431" s="12" t="s">
        <v>568</v>
      </c>
      <c r="F431" s="6"/>
      <c r="G431" s="6" t="s">
        <v>494</v>
      </c>
      <c r="H431" s="6"/>
      <c r="I431" s="6" t="s">
        <v>372</v>
      </c>
      <c r="J431" s="3" t="s">
        <v>28</v>
      </c>
      <c r="K431" s="6">
        <v>25</v>
      </c>
      <c r="L431" s="3" t="s">
        <v>191</v>
      </c>
      <c r="M431" s="7"/>
      <c r="N431" s="6"/>
      <c r="O431" s="9">
        <f>0.47*Table2[[#This Row],[قيمة المحضر]]</f>
        <v>0</v>
      </c>
      <c r="P431" s="9">
        <f>0.17*Table2[[#This Row],[قيمة المحضر]]</f>
        <v>0</v>
      </c>
      <c r="Q431" s="9">
        <f t="shared" ca="1" si="40"/>
        <v>3850</v>
      </c>
      <c r="R431" s="3"/>
      <c r="S431" s="3"/>
      <c r="T431" s="9" t="str">
        <f t="shared" si="41"/>
        <v>-</v>
      </c>
      <c r="U431" s="3" t="s">
        <v>25</v>
      </c>
      <c r="V431" s="9" t="str">
        <f t="shared" si="42"/>
        <v>-</v>
      </c>
      <c r="W431" s="4"/>
      <c r="X431" s="38"/>
      <c r="Y431" s="1">
        <f t="shared" ca="1" si="38"/>
        <v>46162</v>
      </c>
      <c r="Z431" s="1" cm="1">
        <f t="array" ref="Z431">IF(D431&gt;DATE(2015,5,16),0,
K431*
(
INT((MIN(Y431,DATE(2015,5,16))-D431)/365)
+
CEILING(MOD((MIN(Y431,DATE(2015,5,16))-D431)/365,1),0.25)
)
*
_xlfn.SWITCH(J431,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31" s="1" cm="1">
        <f t="array" aca="1" ref="AA431" ca="1">IF(Y431&lt;DATE(2015,5,17),0,
K431*
(
INT((MIN(Y431,DATE(2018,9,23))-MAX(D431,DATE(2015,5,17)))/365)
+
CEILING(MOD((MIN(Y431,DATE(2018,9,23))-MAX(D431,DATE(2015,5,17)))/365,1),0.25)
)
*
_xlfn.SWITCH(J431,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125</v>
      </c>
      <c r="AB431" s="1" cm="1">
        <f t="array" aca="1" ref="AB431" ca="1">IF(Y431&lt;DATE(2018,9,24),0,
IF(J431="زراعة",
K431*
(
INT((MIN(Y431,DATE(2023,4,30))-MAX(D431,DATE(2018,9,24)))/365)
+
CEILING(MOD((MIN(Y431,DATE(2023,4,30))-MAX(D431,DATE(2018,9,24)))/365,1),0.25)
)
*1,
K431*
(
DATEDIF(MAX(D431,DATE(2018,9,24)),MIN(Y431,DATE(2023,4,30)),"m")+1
)
*
_xlfn.SWITCH(J431,
"موقف/تندة",IF(D431&lt;DATE(2019,11,30),6,30),
"تشوينات",IF(D431&lt;DATE(2019,11,30),4,20),
"مشاتل",IF(D431&lt;DATE(2019,11,30),2,10),
"كافيتيريا",IF(D431&lt;DATE(2019,11,30),30,150),
"نوادي",IF(D431&lt;DATE(2019,11,30),6,30),
"رسو مراكب",IF(D431&lt;DATE(2019,11,30),2,10),
"مباني",IF(D431&lt;DATE(2018,9,24),2,10),
"عشش",IF(D431&lt;DATE(2019,11,30),2,10),
"كشك (تجاري/صناعي)",IF(D431&lt;DATE(2019,11,30),10,50),
"ردم",20,
0)))</f>
        <v>2800</v>
      </c>
      <c r="AC431" s="1" cm="1">
        <f t="array" aca="1" ref="AC431" ca="1">IF(Y431&lt;DATE(2023,5,1),0,
IF(J431="زراعة",
K431*
(
INT((Y431-MAX(DATE(2023,5,1),D431))/365)
+
CEILING(MOD((Y431-MAX(DATE(2023,5,1),D431))/365,1),0.25)
)
*3,
IF(J431="ردم",
K431*20,
K431*
(
DATEDIF(MAX(DATE(2023,5,1),D431),Y431,"m")+1
)
*
_xlfn.SWITCH(J431,
"موقف/تندة",6,
"تشوينات",4,
"مشاتل",2,
"رسو مراكب",6,
"مباني",3,
"عشش",1,
"كشك (تجاري/صناعي)",20,
"مواسير صرف صحي (&lt;1م)",16,
"مواسير صرف صحي (&gt;1م)",18,
0))))</f>
        <v>925</v>
      </c>
      <c r="AD431" s="1">
        <f t="shared" ca="1" si="39"/>
        <v>55</v>
      </c>
    </row>
    <row r="432" spans="1:30" ht="18.75" x14ac:dyDescent="0.25">
      <c r="A432" s="52">
        <v>388</v>
      </c>
      <c r="B432" s="6">
        <v>132</v>
      </c>
      <c r="C432" s="6">
        <v>2017</v>
      </c>
      <c r="D432" s="7">
        <v>42962</v>
      </c>
      <c r="E432" s="12" t="s">
        <v>569</v>
      </c>
      <c r="F432" s="6"/>
      <c r="G432" s="6" t="s">
        <v>495</v>
      </c>
      <c r="H432" s="6"/>
      <c r="I432" s="6" t="s">
        <v>372</v>
      </c>
      <c r="J432" s="3" t="s">
        <v>28</v>
      </c>
      <c r="K432" s="6">
        <v>15</v>
      </c>
      <c r="L432" s="3" t="s">
        <v>191</v>
      </c>
      <c r="M432" s="7"/>
      <c r="N432" s="6"/>
      <c r="O432" s="9">
        <f>0.47*Table2[[#This Row],[قيمة المحضر]]</f>
        <v>0</v>
      </c>
      <c r="P432" s="9">
        <f>0.17*Table2[[#This Row],[قيمة المحضر]]</f>
        <v>0</v>
      </c>
      <c r="Q432" s="9">
        <f t="shared" ca="1" si="40"/>
        <v>2310</v>
      </c>
      <c r="R432" s="3"/>
      <c r="S432" s="3"/>
      <c r="T432" s="9" t="str">
        <f t="shared" si="41"/>
        <v>-</v>
      </c>
      <c r="U432" s="3" t="s">
        <v>25</v>
      </c>
      <c r="V432" s="9" t="str">
        <f t="shared" si="42"/>
        <v>-</v>
      </c>
      <c r="W432" s="4"/>
      <c r="X432" s="38"/>
      <c r="Y432" s="1">
        <f t="shared" ca="1" si="38"/>
        <v>46162</v>
      </c>
      <c r="Z432" s="1" cm="1">
        <f t="array" ref="Z432">IF(D432&gt;DATE(2015,5,16),0,
K432*
(
INT((MIN(Y432,DATE(2015,5,16))-D432)/365)
+
CEILING(MOD((MIN(Y432,DATE(2015,5,16))-D432)/365,1),0.25)
)
*
_xlfn.SWITCH(J432,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32" s="1" cm="1">
        <f t="array" aca="1" ref="AA432" ca="1">IF(Y432&lt;DATE(2015,5,17),0,
K432*
(
INT((MIN(Y432,DATE(2018,9,23))-MAX(D432,DATE(2015,5,17)))/365)
+
CEILING(MOD((MIN(Y432,DATE(2018,9,23))-MAX(D432,DATE(2015,5,17)))/365,1),0.25)
)
*
_xlfn.SWITCH(J432,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75</v>
      </c>
      <c r="AB432" s="1" cm="1">
        <f t="array" aca="1" ref="AB432" ca="1">IF(Y432&lt;DATE(2018,9,24),0,
IF(J432="زراعة",
K432*
(
INT((MIN(Y432,DATE(2023,4,30))-MAX(D432,DATE(2018,9,24)))/365)
+
CEILING(MOD((MIN(Y432,DATE(2023,4,30))-MAX(D432,DATE(2018,9,24)))/365,1),0.25)
)
*1,
K432*
(
DATEDIF(MAX(D432,DATE(2018,9,24)),MIN(Y432,DATE(2023,4,30)),"m")+1
)
*
_xlfn.SWITCH(J432,
"موقف/تندة",IF(D432&lt;DATE(2019,11,30),6,30),
"تشوينات",IF(D432&lt;DATE(2019,11,30),4,20),
"مشاتل",IF(D432&lt;DATE(2019,11,30),2,10),
"كافيتيريا",IF(D432&lt;DATE(2019,11,30),30,150),
"نوادي",IF(D432&lt;DATE(2019,11,30),6,30),
"رسو مراكب",IF(D432&lt;DATE(2019,11,30),2,10),
"مباني",IF(D432&lt;DATE(2018,9,24),2,10),
"عشش",IF(D432&lt;DATE(2019,11,30),2,10),
"كشك (تجاري/صناعي)",IF(D432&lt;DATE(2019,11,30),10,50),
"ردم",20,
0)))</f>
        <v>1680</v>
      </c>
      <c r="AC432" s="1" cm="1">
        <f t="array" aca="1" ref="AC432" ca="1">IF(Y432&lt;DATE(2023,5,1),0,
IF(J432="زراعة",
K432*
(
INT((Y432-MAX(DATE(2023,5,1),D432))/365)
+
CEILING(MOD((Y432-MAX(DATE(2023,5,1),D432))/365,1),0.25)
)
*3,
IF(J432="ردم",
K432*20,
K432*
(
DATEDIF(MAX(DATE(2023,5,1),D432),Y432,"m")+1
)
*
_xlfn.SWITCH(J432,
"موقف/تندة",6,
"تشوينات",4,
"مشاتل",2,
"رسو مراكب",6,
"مباني",3,
"عشش",1,
"كشك (تجاري/صناعي)",20,
"مواسير صرف صحي (&lt;1م)",16,
"مواسير صرف صحي (&gt;1م)",18,
0))))</f>
        <v>555</v>
      </c>
      <c r="AD432" s="1">
        <f t="shared" ca="1" si="39"/>
        <v>55</v>
      </c>
    </row>
    <row r="433" spans="1:30" ht="18.75" x14ac:dyDescent="0.25">
      <c r="A433" s="52">
        <v>389</v>
      </c>
      <c r="B433" s="6">
        <v>133</v>
      </c>
      <c r="C433" s="6">
        <v>2017</v>
      </c>
      <c r="D433" s="7">
        <v>42962</v>
      </c>
      <c r="E433" s="12" t="s">
        <v>570</v>
      </c>
      <c r="F433" s="6"/>
      <c r="G433" s="6" t="s">
        <v>496</v>
      </c>
      <c r="H433" s="6"/>
      <c r="I433" s="6" t="s">
        <v>372</v>
      </c>
      <c r="J433" s="3" t="s">
        <v>28</v>
      </c>
      <c r="K433" s="6">
        <v>18</v>
      </c>
      <c r="L433" s="3" t="s">
        <v>191</v>
      </c>
      <c r="M433" s="7"/>
      <c r="N433" s="6"/>
      <c r="O433" s="9">
        <f>0.47*Table2[[#This Row],[قيمة المحضر]]</f>
        <v>0</v>
      </c>
      <c r="P433" s="9">
        <f>0.17*Table2[[#This Row],[قيمة المحضر]]</f>
        <v>0</v>
      </c>
      <c r="Q433" s="9">
        <f t="shared" ca="1" si="40"/>
        <v>2772</v>
      </c>
      <c r="R433" s="3"/>
      <c r="S433" s="3"/>
      <c r="T433" s="9" t="str">
        <f t="shared" si="41"/>
        <v>-</v>
      </c>
      <c r="U433" s="3" t="s">
        <v>25</v>
      </c>
      <c r="V433" s="9" t="str">
        <f t="shared" si="42"/>
        <v>-</v>
      </c>
      <c r="W433" s="4"/>
      <c r="X433" s="38"/>
      <c r="Y433" s="1">
        <f t="shared" ca="1" si="38"/>
        <v>46162</v>
      </c>
      <c r="Z433" s="1" cm="1">
        <f t="array" ref="Z433">IF(D433&gt;DATE(2015,5,16),0,
K433*
(
INT((MIN(Y433,DATE(2015,5,16))-D433)/365)
+
CEILING(MOD((MIN(Y433,DATE(2015,5,16))-D433)/365,1),0.25)
)
*
_xlfn.SWITCH(J433,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33" s="1" cm="1">
        <f t="array" aca="1" ref="AA433" ca="1">IF(Y433&lt;DATE(2015,5,17),0,
K433*
(
INT((MIN(Y433,DATE(2018,9,23))-MAX(D433,DATE(2015,5,17)))/365)
+
CEILING(MOD((MIN(Y433,DATE(2018,9,23))-MAX(D433,DATE(2015,5,17)))/365,1),0.25)
)
*
_xlfn.SWITCH(J433,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</v>
      </c>
      <c r="AB433" s="1" cm="1">
        <f t="array" aca="1" ref="AB433" ca="1">IF(Y433&lt;DATE(2018,9,24),0,
IF(J433="زراعة",
K433*
(
INT((MIN(Y433,DATE(2023,4,30))-MAX(D433,DATE(2018,9,24)))/365)
+
CEILING(MOD((MIN(Y433,DATE(2023,4,30))-MAX(D433,DATE(2018,9,24)))/365,1),0.25)
)
*1,
K433*
(
DATEDIF(MAX(D433,DATE(2018,9,24)),MIN(Y433,DATE(2023,4,30)),"m")+1
)
*
_xlfn.SWITCH(J433,
"موقف/تندة",IF(D433&lt;DATE(2019,11,30),6,30),
"تشوينات",IF(D433&lt;DATE(2019,11,30),4,20),
"مشاتل",IF(D433&lt;DATE(2019,11,30),2,10),
"كافيتيريا",IF(D433&lt;DATE(2019,11,30),30,150),
"نوادي",IF(D433&lt;DATE(2019,11,30),6,30),
"رسو مراكب",IF(D433&lt;DATE(2019,11,30),2,10),
"مباني",IF(D433&lt;DATE(2018,9,24),2,10),
"عشش",IF(D433&lt;DATE(2019,11,30),2,10),
"كشك (تجاري/صناعي)",IF(D433&lt;DATE(2019,11,30),10,50),
"ردم",20,
0)))</f>
        <v>2016</v>
      </c>
      <c r="AC433" s="1" cm="1">
        <f t="array" aca="1" ref="AC433" ca="1">IF(Y433&lt;DATE(2023,5,1),0,
IF(J433="زراعة",
K433*
(
INT((Y433-MAX(DATE(2023,5,1),D433))/365)
+
CEILING(MOD((Y433-MAX(DATE(2023,5,1),D433))/365,1),0.25)
)
*3,
IF(J433="ردم",
K433*20,
K433*
(
DATEDIF(MAX(DATE(2023,5,1),D433),Y433,"m")+1
)
*
_xlfn.SWITCH(J433,
"موقف/تندة",6,
"تشوينات",4,
"مشاتل",2,
"رسو مراكب",6,
"مباني",3,
"عشش",1,
"كشك (تجاري/صناعي)",20,
"مواسير صرف صحي (&lt;1م)",16,
"مواسير صرف صحي (&gt;1م)",18,
0))))</f>
        <v>666</v>
      </c>
      <c r="AD433" s="1">
        <f t="shared" ca="1" si="39"/>
        <v>55</v>
      </c>
    </row>
    <row r="434" spans="1:30" ht="18.75" x14ac:dyDescent="0.25">
      <c r="A434" s="52">
        <v>390</v>
      </c>
      <c r="B434" s="6">
        <v>134</v>
      </c>
      <c r="C434" s="6">
        <v>2017</v>
      </c>
      <c r="D434" s="7">
        <v>42962</v>
      </c>
      <c r="E434" s="12" t="s">
        <v>571</v>
      </c>
      <c r="F434" s="6"/>
      <c r="G434" s="6" t="s">
        <v>497</v>
      </c>
      <c r="H434" s="6"/>
      <c r="I434" s="6" t="s">
        <v>372</v>
      </c>
      <c r="J434" s="3" t="s">
        <v>28</v>
      </c>
      <c r="K434" s="6">
        <v>18</v>
      </c>
      <c r="L434" s="3" t="s">
        <v>191</v>
      </c>
      <c r="M434" s="7"/>
      <c r="N434" s="6"/>
      <c r="O434" s="9">
        <f>0.47*Table2[[#This Row],[قيمة المحضر]]</f>
        <v>0</v>
      </c>
      <c r="P434" s="9">
        <f>0.17*Table2[[#This Row],[قيمة المحضر]]</f>
        <v>0</v>
      </c>
      <c r="Q434" s="9">
        <f t="shared" ca="1" si="40"/>
        <v>2772</v>
      </c>
      <c r="R434" s="3"/>
      <c r="S434" s="3"/>
      <c r="T434" s="9" t="str">
        <f t="shared" si="41"/>
        <v>-</v>
      </c>
      <c r="U434" s="3" t="s">
        <v>25</v>
      </c>
      <c r="V434" s="9" t="str">
        <f t="shared" si="42"/>
        <v>-</v>
      </c>
      <c r="W434" s="4"/>
      <c r="X434" s="38"/>
      <c r="Y434" s="1">
        <f t="shared" ca="1" si="38"/>
        <v>46162</v>
      </c>
      <c r="Z434" s="1" cm="1">
        <f t="array" ref="Z434">IF(D434&gt;DATE(2015,5,16),0,
K434*
(
INT((MIN(Y434,DATE(2015,5,16))-D434)/365)
+
CEILING(MOD((MIN(Y434,DATE(2015,5,16))-D434)/365,1),0.25)
)
*
_xlfn.SWITCH(J434,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34" s="1" cm="1">
        <f t="array" aca="1" ref="AA434" ca="1">IF(Y434&lt;DATE(2015,5,17),0,
K434*
(
INT((MIN(Y434,DATE(2018,9,23))-MAX(D434,DATE(2015,5,17)))/365)
+
CEILING(MOD((MIN(Y434,DATE(2018,9,23))-MAX(D434,DATE(2015,5,17)))/365,1),0.25)
)
*
_xlfn.SWITCH(J434,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</v>
      </c>
      <c r="AB434" s="1" cm="1">
        <f t="array" aca="1" ref="AB434" ca="1">IF(Y434&lt;DATE(2018,9,24),0,
IF(J434="زراعة",
K434*
(
INT((MIN(Y434,DATE(2023,4,30))-MAX(D434,DATE(2018,9,24)))/365)
+
CEILING(MOD((MIN(Y434,DATE(2023,4,30))-MAX(D434,DATE(2018,9,24)))/365,1),0.25)
)
*1,
K434*
(
DATEDIF(MAX(D434,DATE(2018,9,24)),MIN(Y434,DATE(2023,4,30)),"m")+1
)
*
_xlfn.SWITCH(J434,
"موقف/تندة",IF(D434&lt;DATE(2019,11,30),6,30),
"تشوينات",IF(D434&lt;DATE(2019,11,30),4,20),
"مشاتل",IF(D434&lt;DATE(2019,11,30),2,10),
"كافيتيريا",IF(D434&lt;DATE(2019,11,30),30,150),
"نوادي",IF(D434&lt;DATE(2019,11,30),6,30),
"رسو مراكب",IF(D434&lt;DATE(2019,11,30),2,10),
"مباني",IF(D434&lt;DATE(2018,9,24),2,10),
"عشش",IF(D434&lt;DATE(2019,11,30),2,10),
"كشك (تجاري/صناعي)",IF(D434&lt;DATE(2019,11,30),10,50),
"ردم",20,
0)))</f>
        <v>2016</v>
      </c>
      <c r="AC434" s="1" cm="1">
        <f t="array" aca="1" ref="AC434" ca="1">IF(Y434&lt;DATE(2023,5,1),0,
IF(J434="زراعة",
K434*
(
INT((Y434-MAX(DATE(2023,5,1),D434))/365)
+
CEILING(MOD((Y434-MAX(DATE(2023,5,1),D434))/365,1),0.25)
)
*3,
IF(J434="ردم",
K434*20,
K434*
(
DATEDIF(MAX(DATE(2023,5,1),D434),Y434,"m")+1
)
*
_xlfn.SWITCH(J434,
"موقف/تندة",6,
"تشوينات",4,
"مشاتل",2,
"رسو مراكب",6,
"مباني",3,
"عشش",1,
"كشك (تجاري/صناعي)",20,
"مواسير صرف صحي (&lt;1م)",16,
"مواسير صرف صحي (&gt;1م)",18,
0))))</f>
        <v>666</v>
      </c>
      <c r="AD434" s="1">
        <f t="shared" ca="1" si="39"/>
        <v>55</v>
      </c>
    </row>
    <row r="435" spans="1:30" ht="18.75" x14ac:dyDescent="0.25">
      <c r="A435" s="52">
        <v>391</v>
      </c>
      <c r="B435" s="6">
        <v>135</v>
      </c>
      <c r="C435" s="6">
        <v>2017</v>
      </c>
      <c r="D435" s="7">
        <v>42962</v>
      </c>
      <c r="E435" s="12"/>
      <c r="F435" s="6"/>
      <c r="G435" s="6" t="s">
        <v>498</v>
      </c>
      <c r="H435" s="6"/>
      <c r="I435" s="6" t="s">
        <v>372</v>
      </c>
      <c r="J435" s="3" t="s">
        <v>28</v>
      </c>
      <c r="K435" s="6">
        <v>15</v>
      </c>
      <c r="L435" s="3" t="s">
        <v>191</v>
      </c>
      <c r="M435" s="7"/>
      <c r="N435" s="6"/>
      <c r="O435" s="9">
        <f>0.47*Table2[[#This Row],[قيمة المحضر]]</f>
        <v>0</v>
      </c>
      <c r="P435" s="9">
        <f>0.17*Table2[[#This Row],[قيمة المحضر]]</f>
        <v>0</v>
      </c>
      <c r="Q435" s="9">
        <f t="shared" ca="1" si="40"/>
        <v>2310</v>
      </c>
      <c r="R435" s="3"/>
      <c r="S435" s="3"/>
      <c r="T435" s="9" t="str">
        <f t="shared" si="41"/>
        <v>-</v>
      </c>
      <c r="U435" s="3" t="s">
        <v>25</v>
      </c>
      <c r="V435" s="9" t="str">
        <f t="shared" si="42"/>
        <v>-</v>
      </c>
      <c r="W435" s="4"/>
      <c r="X435" s="38"/>
      <c r="Y435" s="1">
        <f t="shared" ca="1" si="38"/>
        <v>46162</v>
      </c>
      <c r="Z435" s="1" cm="1">
        <f t="array" ref="Z435">IF(D435&gt;DATE(2015,5,16),0,
K435*
(
INT((MIN(Y435,DATE(2015,5,16))-D435)/365)
+
CEILING(MOD((MIN(Y435,DATE(2015,5,16))-D435)/365,1),0.25)
)
*
_xlfn.SWITCH(J435,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35" s="1" cm="1">
        <f t="array" aca="1" ref="AA435" ca="1">IF(Y435&lt;DATE(2015,5,17),0,
K435*
(
INT((MIN(Y435,DATE(2018,9,23))-MAX(D435,DATE(2015,5,17)))/365)
+
CEILING(MOD((MIN(Y435,DATE(2018,9,23))-MAX(D435,DATE(2015,5,17)))/365,1),0.25)
)
*
_xlfn.SWITCH(J435,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75</v>
      </c>
      <c r="AB435" s="1" cm="1">
        <f t="array" aca="1" ref="AB435" ca="1">IF(Y435&lt;DATE(2018,9,24),0,
IF(J435="زراعة",
K435*
(
INT((MIN(Y435,DATE(2023,4,30))-MAX(D435,DATE(2018,9,24)))/365)
+
CEILING(MOD((MIN(Y435,DATE(2023,4,30))-MAX(D435,DATE(2018,9,24)))/365,1),0.25)
)
*1,
K435*
(
DATEDIF(MAX(D435,DATE(2018,9,24)),MIN(Y435,DATE(2023,4,30)),"m")+1
)
*
_xlfn.SWITCH(J435,
"موقف/تندة",IF(D435&lt;DATE(2019,11,30),6,30),
"تشوينات",IF(D435&lt;DATE(2019,11,30),4,20),
"مشاتل",IF(D435&lt;DATE(2019,11,30),2,10),
"كافيتيريا",IF(D435&lt;DATE(2019,11,30),30,150),
"نوادي",IF(D435&lt;DATE(2019,11,30),6,30),
"رسو مراكب",IF(D435&lt;DATE(2019,11,30),2,10),
"مباني",IF(D435&lt;DATE(2018,9,24),2,10),
"عشش",IF(D435&lt;DATE(2019,11,30),2,10),
"كشك (تجاري/صناعي)",IF(D435&lt;DATE(2019,11,30),10,50),
"ردم",20,
0)))</f>
        <v>1680</v>
      </c>
      <c r="AC435" s="1" cm="1">
        <f t="array" aca="1" ref="AC435" ca="1">IF(Y435&lt;DATE(2023,5,1),0,
IF(J435="زراعة",
K435*
(
INT((Y435-MAX(DATE(2023,5,1),D435))/365)
+
CEILING(MOD((Y435-MAX(DATE(2023,5,1),D435))/365,1),0.25)
)
*3,
IF(J435="ردم",
K435*20,
K435*
(
DATEDIF(MAX(DATE(2023,5,1),D435),Y435,"m")+1
)
*
_xlfn.SWITCH(J435,
"موقف/تندة",6,
"تشوينات",4,
"مشاتل",2,
"رسو مراكب",6,
"مباني",3,
"عشش",1,
"كشك (تجاري/صناعي)",20,
"مواسير صرف صحي (&lt;1م)",16,
"مواسير صرف صحي (&gt;1م)",18,
0))))</f>
        <v>555</v>
      </c>
      <c r="AD435" s="1">
        <f t="shared" ca="1" si="39"/>
        <v>55</v>
      </c>
    </row>
    <row r="436" spans="1:30" ht="18.75" x14ac:dyDescent="0.25">
      <c r="A436" s="52">
        <v>392</v>
      </c>
      <c r="B436" s="6">
        <v>136</v>
      </c>
      <c r="C436" s="6">
        <v>2017</v>
      </c>
      <c r="D436" s="7">
        <v>42962</v>
      </c>
      <c r="E436" s="12"/>
      <c r="F436" s="6"/>
      <c r="G436" s="6" t="s">
        <v>499</v>
      </c>
      <c r="H436" s="6"/>
      <c r="I436" s="6" t="s">
        <v>372</v>
      </c>
      <c r="J436" s="3" t="s">
        <v>27</v>
      </c>
      <c r="K436" s="6">
        <v>50</v>
      </c>
      <c r="L436" s="3" t="s">
        <v>191</v>
      </c>
      <c r="M436" s="7"/>
      <c r="N436" s="6"/>
      <c r="O436" s="9">
        <f>0.47*Table2[[#This Row],[قيمة المحضر]]</f>
        <v>0</v>
      </c>
      <c r="P436" s="9">
        <f>0.17*Table2[[#This Row],[قيمة المحضر]]</f>
        <v>0</v>
      </c>
      <c r="Q436" s="9">
        <f t="shared" ca="1" si="40"/>
        <v>11650</v>
      </c>
      <c r="R436" s="3"/>
      <c r="S436" s="3"/>
      <c r="T436" s="9" t="str">
        <f t="shared" si="41"/>
        <v>-</v>
      </c>
      <c r="U436" s="3" t="s">
        <v>25</v>
      </c>
      <c r="V436" s="9" t="str">
        <f t="shared" si="42"/>
        <v>-</v>
      </c>
      <c r="W436" s="4"/>
      <c r="X436" s="38"/>
      <c r="Y436" s="1">
        <f t="shared" ca="1" si="38"/>
        <v>46162</v>
      </c>
      <c r="Z436" s="1" cm="1">
        <f t="array" ref="Z436">IF(D436&gt;DATE(2015,5,16),0,
K436*
(
INT((MIN(Y436,DATE(2015,5,16))-D436)/365)
+
CEILING(MOD((MIN(Y436,DATE(2015,5,16))-D436)/365,1),0.25)
)
*
_xlfn.SWITCH(J436,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36" s="1" cm="1">
        <f t="array" aca="1" ref="AA436" ca="1">IF(Y436&lt;DATE(2015,5,17),0,
K436*
(
INT((MIN(Y436,DATE(2018,9,23))-MAX(D436,DATE(2015,5,17)))/365)
+
CEILING(MOD((MIN(Y436,DATE(2018,9,23))-MAX(D436,DATE(2015,5,17)))/365,1),0.25)
)
*
_xlfn.SWITCH(J436,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500</v>
      </c>
      <c r="AB436" s="1" cm="1">
        <f t="array" aca="1" ref="AB436" ca="1">IF(Y436&lt;DATE(2018,9,24),0,
IF(J436="زراعة",
K436*
(
INT((MIN(Y436,DATE(2023,4,30))-MAX(D436,DATE(2018,9,24)))/365)
+
CEILING(MOD((MIN(Y436,DATE(2023,4,30))-MAX(D436,DATE(2018,9,24)))/365,1),0.25)
)
*1,
K436*
(
DATEDIF(MAX(D436,DATE(2018,9,24)),MIN(Y436,DATE(2023,4,30)),"m")+1
)
*
_xlfn.SWITCH(J436,
"موقف/تندة",IF(D436&lt;DATE(2019,11,30),6,30),
"تشوينات",IF(D436&lt;DATE(2019,11,30),4,20),
"مشاتل",IF(D436&lt;DATE(2019,11,30),2,10),
"كافيتيريا",IF(D436&lt;DATE(2019,11,30),30,150),
"نوادي",IF(D436&lt;DATE(2019,11,30),6,30),
"رسو مراكب",IF(D436&lt;DATE(2019,11,30),2,10),
"مباني",IF(D436&lt;DATE(2018,9,24),2,10),
"عشش",IF(D436&lt;DATE(2019,11,30),2,10),
"كشك (تجاري/صناعي)",IF(D436&lt;DATE(2019,11,30),10,50),
"ردم",20,
0)))</f>
        <v>5600</v>
      </c>
      <c r="AC436" s="1" cm="1">
        <f t="array" aca="1" ref="AC436" ca="1">IF(Y436&lt;DATE(2023,5,1),0,
IF(J436="زراعة",
K436*
(
INT((Y436-MAX(DATE(2023,5,1),D436))/365)
+
CEILING(MOD((Y436-MAX(DATE(2023,5,1),D436))/365,1),0.25)
)
*3,
IF(J436="ردم",
K436*20,
K436*
(
DATEDIF(MAX(DATE(2023,5,1),D436),Y436,"m")+1
)
*
_xlfn.SWITCH(J436,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436" s="1">
        <f t="shared" ca="1" si="39"/>
        <v>55</v>
      </c>
    </row>
    <row r="437" spans="1:30" ht="18.75" x14ac:dyDescent="0.25">
      <c r="A437" s="52">
        <v>393</v>
      </c>
      <c r="B437" s="6">
        <v>137</v>
      </c>
      <c r="C437" s="6">
        <v>2017</v>
      </c>
      <c r="D437" s="7">
        <v>42962</v>
      </c>
      <c r="E437" s="12" t="s">
        <v>572</v>
      </c>
      <c r="F437" s="6"/>
      <c r="G437" s="6" t="s">
        <v>500</v>
      </c>
      <c r="H437" s="6"/>
      <c r="I437" s="6" t="s">
        <v>372</v>
      </c>
      <c r="J437" s="3" t="s">
        <v>28</v>
      </c>
      <c r="K437" s="6">
        <v>30</v>
      </c>
      <c r="L437" s="3" t="s">
        <v>191</v>
      </c>
      <c r="M437" s="7"/>
      <c r="N437" s="6"/>
      <c r="O437" s="9">
        <f>0.47*Table2[[#This Row],[قيمة المحضر]]</f>
        <v>0</v>
      </c>
      <c r="P437" s="9">
        <f>0.17*Table2[[#This Row],[قيمة المحضر]]</f>
        <v>0</v>
      </c>
      <c r="Q437" s="9">
        <f t="shared" ca="1" si="40"/>
        <v>4620</v>
      </c>
      <c r="R437" s="3"/>
      <c r="S437" s="3"/>
      <c r="T437" s="9" t="str">
        <f t="shared" si="41"/>
        <v>-</v>
      </c>
      <c r="U437" s="3" t="s">
        <v>25</v>
      </c>
      <c r="V437" s="9" t="str">
        <f t="shared" si="42"/>
        <v>-</v>
      </c>
      <c r="W437" s="4"/>
      <c r="X437" s="38"/>
      <c r="Y437" s="1">
        <f t="shared" ca="1" si="38"/>
        <v>46162</v>
      </c>
      <c r="Z437" s="1" cm="1">
        <f t="array" ref="Z437">IF(D437&gt;DATE(2015,5,16),0,
K437*
(
INT((MIN(Y437,DATE(2015,5,16))-D437)/365)
+
CEILING(MOD((MIN(Y437,DATE(2015,5,16))-D437)/365,1),0.25)
)
*
_xlfn.SWITCH(J437,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37" s="1" cm="1">
        <f t="array" aca="1" ref="AA437" ca="1">IF(Y437&lt;DATE(2015,5,17),0,
K437*
(
INT((MIN(Y437,DATE(2018,9,23))-MAX(D437,DATE(2015,5,17)))/365)
+
CEILING(MOD((MIN(Y437,DATE(2018,9,23))-MAX(D437,DATE(2015,5,17)))/365,1),0.25)
)
*
_xlfn.SWITCH(J437,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150</v>
      </c>
      <c r="AB437" s="1" cm="1">
        <f t="array" aca="1" ref="AB437" ca="1">IF(Y437&lt;DATE(2018,9,24),0,
IF(J437="زراعة",
K437*
(
INT((MIN(Y437,DATE(2023,4,30))-MAX(D437,DATE(2018,9,24)))/365)
+
CEILING(MOD((MIN(Y437,DATE(2023,4,30))-MAX(D437,DATE(2018,9,24)))/365,1),0.25)
)
*1,
K437*
(
DATEDIF(MAX(D437,DATE(2018,9,24)),MIN(Y437,DATE(2023,4,30)),"m")+1
)
*
_xlfn.SWITCH(J437,
"موقف/تندة",IF(D437&lt;DATE(2019,11,30),6,30),
"تشوينات",IF(D437&lt;DATE(2019,11,30),4,20),
"مشاتل",IF(D437&lt;DATE(2019,11,30),2,10),
"كافيتيريا",IF(D437&lt;DATE(2019,11,30),30,150),
"نوادي",IF(D437&lt;DATE(2019,11,30),6,30),
"رسو مراكب",IF(D437&lt;DATE(2019,11,30),2,10),
"مباني",IF(D437&lt;DATE(2018,9,24),2,10),
"عشش",IF(D437&lt;DATE(2019,11,30),2,10),
"كشك (تجاري/صناعي)",IF(D437&lt;DATE(2019,11,30),10,50),
"ردم",20,
0)))</f>
        <v>3360</v>
      </c>
      <c r="AC437" s="1" cm="1">
        <f t="array" aca="1" ref="AC437" ca="1">IF(Y437&lt;DATE(2023,5,1),0,
IF(J437="زراعة",
K437*
(
INT((Y437-MAX(DATE(2023,5,1),D437))/365)
+
CEILING(MOD((Y437-MAX(DATE(2023,5,1),D437))/365,1),0.25)
)
*3,
IF(J437="ردم",
K437*20,
K437*
(
DATEDIF(MAX(DATE(2023,5,1),D437),Y437,"m")+1
)
*
_xlfn.SWITCH(J437,
"موقف/تندة",6,
"تشوينات",4,
"مشاتل",2,
"رسو مراكب",6,
"مباني",3,
"عشش",1,
"كشك (تجاري/صناعي)",20,
"مواسير صرف صحي (&lt;1م)",16,
"مواسير صرف صحي (&gt;1م)",18,
0))))</f>
        <v>1110</v>
      </c>
      <c r="AD437" s="1">
        <f t="shared" ca="1" si="39"/>
        <v>55</v>
      </c>
    </row>
    <row r="438" spans="1:30" ht="18.75" x14ac:dyDescent="0.25">
      <c r="A438" s="52">
        <v>394</v>
      </c>
      <c r="B438" s="6">
        <v>138</v>
      </c>
      <c r="C438" s="6">
        <v>2017</v>
      </c>
      <c r="D438" s="7">
        <v>42962</v>
      </c>
      <c r="E438" s="12" t="s">
        <v>573</v>
      </c>
      <c r="F438" s="6"/>
      <c r="G438" s="6" t="s">
        <v>501</v>
      </c>
      <c r="H438" s="6"/>
      <c r="I438" s="6" t="s">
        <v>372</v>
      </c>
      <c r="J438" s="3" t="s">
        <v>27</v>
      </c>
      <c r="K438" s="6">
        <v>40</v>
      </c>
      <c r="L438" s="3" t="s">
        <v>191</v>
      </c>
      <c r="M438" s="7"/>
      <c r="N438" s="6"/>
      <c r="O438" s="9">
        <f>0.47*Table2[[#This Row],[قيمة المحضر]]</f>
        <v>0</v>
      </c>
      <c r="P438" s="9">
        <f>0.17*Table2[[#This Row],[قيمة المحضر]]</f>
        <v>0</v>
      </c>
      <c r="Q438" s="9">
        <f t="shared" ca="1" si="40"/>
        <v>9320</v>
      </c>
      <c r="R438" s="3"/>
      <c r="S438" s="3"/>
      <c r="T438" s="9" t="str">
        <f t="shared" si="41"/>
        <v>-</v>
      </c>
      <c r="U438" s="3" t="s">
        <v>25</v>
      </c>
      <c r="V438" s="9" t="str">
        <f t="shared" si="42"/>
        <v>-</v>
      </c>
      <c r="W438" s="4"/>
      <c r="X438" s="38"/>
      <c r="Y438" s="1">
        <f t="shared" ca="1" si="38"/>
        <v>46162</v>
      </c>
      <c r="Z438" s="1" cm="1">
        <f t="array" ref="Z438">IF(D438&gt;DATE(2015,5,16),0,
K438*
(
INT((MIN(Y438,DATE(2015,5,16))-D438)/365)
+
CEILING(MOD((MIN(Y438,DATE(2015,5,16))-D438)/365,1),0.25)
)
*
_xlfn.SWITCH(J438,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38" s="1" cm="1">
        <f t="array" aca="1" ref="AA438" ca="1">IF(Y438&lt;DATE(2015,5,17),0,
K438*
(
INT((MIN(Y438,DATE(2018,9,23))-MAX(D438,DATE(2015,5,17)))/365)
+
CEILING(MOD((MIN(Y438,DATE(2018,9,23))-MAX(D438,DATE(2015,5,17)))/365,1),0.25)
)
*
_xlfn.SWITCH(J438,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400</v>
      </c>
      <c r="AB438" s="1" cm="1">
        <f t="array" aca="1" ref="AB438" ca="1">IF(Y438&lt;DATE(2018,9,24),0,
IF(J438="زراعة",
K438*
(
INT((MIN(Y438,DATE(2023,4,30))-MAX(D438,DATE(2018,9,24)))/365)
+
CEILING(MOD((MIN(Y438,DATE(2023,4,30))-MAX(D438,DATE(2018,9,24)))/365,1),0.25)
)
*1,
K438*
(
DATEDIF(MAX(D438,DATE(2018,9,24)),MIN(Y438,DATE(2023,4,30)),"m")+1
)
*
_xlfn.SWITCH(J438,
"موقف/تندة",IF(D438&lt;DATE(2019,11,30),6,30),
"تشوينات",IF(D438&lt;DATE(2019,11,30),4,20),
"مشاتل",IF(D438&lt;DATE(2019,11,30),2,10),
"كافيتيريا",IF(D438&lt;DATE(2019,11,30),30,150),
"نوادي",IF(D438&lt;DATE(2019,11,30),6,30),
"رسو مراكب",IF(D438&lt;DATE(2019,11,30),2,10),
"مباني",IF(D438&lt;DATE(2018,9,24),2,10),
"عشش",IF(D438&lt;DATE(2019,11,30),2,10),
"كشك (تجاري/صناعي)",IF(D438&lt;DATE(2019,11,30),10,50),
"ردم",20,
0)))</f>
        <v>4480</v>
      </c>
      <c r="AC438" s="1" cm="1">
        <f t="array" aca="1" ref="AC438" ca="1">IF(Y438&lt;DATE(2023,5,1),0,
IF(J438="زراعة",
K438*
(
INT((Y438-MAX(DATE(2023,5,1),D438))/365)
+
CEILING(MOD((Y438-MAX(DATE(2023,5,1),D438))/365,1),0.25)
)
*3,
IF(J438="ردم",
K438*20,
K438*
(
DATEDIF(MAX(DATE(2023,5,1),D438),Y438,"m")+1
)
*
_xlfn.SWITCH(J438,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438" s="1">
        <f t="shared" ca="1" si="39"/>
        <v>55</v>
      </c>
    </row>
    <row r="439" spans="1:30" ht="18.75" x14ac:dyDescent="0.25">
      <c r="A439" s="52">
        <v>395</v>
      </c>
      <c r="B439" s="6">
        <v>139</v>
      </c>
      <c r="C439" s="6">
        <v>2017</v>
      </c>
      <c r="D439" s="7">
        <v>42962</v>
      </c>
      <c r="E439" s="12" t="s">
        <v>574</v>
      </c>
      <c r="F439" s="6"/>
      <c r="G439" s="6" t="s">
        <v>502</v>
      </c>
      <c r="H439" s="6"/>
      <c r="I439" s="6" t="s">
        <v>372</v>
      </c>
      <c r="J439" s="3" t="s">
        <v>27</v>
      </c>
      <c r="K439" s="6">
        <v>16</v>
      </c>
      <c r="L439" s="3" t="s">
        <v>191</v>
      </c>
      <c r="M439" s="7"/>
      <c r="N439" s="6"/>
      <c r="O439" s="9">
        <f>0.47*Table2[[#This Row],[قيمة المحضر]]</f>
        <v>0</v>
      </c>
      <c r="P439" s="9">
        <f>0.17*Table2[[#This Row],[قيمة المحضر]]</f>
        <v>0</v>
      </c>
      <c r="Q439" s="9">
        <f t="shared" ca="1" si="40"/>
        <v>3728</v>
      </c>
      <c r="R439" s="3"/>
      <c r="S439" s="3"/>
      <c r="T439" s="9" t="str">
        <f t="shared" si="41"/>
        <v>-</v>
      </c>
      <c r="U439" s="3" t="s">
        <v>25</v>
      </c>
      <c r="V439" s="9" t="str">
        <f t="shared" si="42"/>
        <v>-</v>
      </c>
      <c r="W439" s="4"/>
      <c r="X439" s="38"/>
      <c r="Y439" s="1">
        <f t="shared" ca="1" si="38"/>
        <v>46162</v>
      </c>
      <c r="Z439" s="1" cm="1">
        <f t="array" ref="Z439">IF(D439&gt;DATE(2015,5,16),0,
K439*
(
INT((MIN(Y439,DATE(2015,5,16))-D439)/365)
+
CEILING(MOD((MIN(Y439,DATE(2015,5,16))-D439)/365,1),0.25)
)
*
_xlfn.SWITCH(J439,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39" s="1" cm="1">
        <f t="array" aca="1" ref="AA439" ca="1">IF(Y439&lt;DATE(2015,5,17),0,
K439*
(
INT((MIN(Y439,DATE(2018,9,23))-MAX(D439,DATE(2015,5,17)))/365)
+
CEILING(MOD((MIN(Y439,DATE(2018,9,23))-MAX(D439,DATE(2015,5,17)))/365,1),0.25)
)
*
_xlfn.SWITCH(J439,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160</v>
      </c>
      <c r="AB439" s="1" cm="1">
        <f t="array" aca="1" ref="AB439" ca="1">IF(Y439&lt;DATE(2018,9,24),0,
IF(J439="زراعة",
K439*
(
INT((MIN(Y439,DATE(2023,4,30))-MAX(D439,DATE(2018,9,24)))/365)
+
CEILING(MOD((MIN(Y439,DATE(2023,4,30))-MAX(D439,DATE(2018,9,24)))/365,1),0.25)
)
*1,
K439*
(
DATEDIF(MAX(D439,DATE(2018,9,24)),MIN(Y439,DATE(2023,4,30)),"m")+1
)
*
_xlfn.SWITCH(J439,
"موقف/تندة",IF(D439&lt;DATE(2019,11,30),6,30),
"تشوينات",IF(D439&lt;DATE(2019,11,30),4,20),
"مشاتل",IF(D439&lt;DATE(2019,11,30),2,10),
"كافيتيريا",IF(D439&lt;DATE(2019,11,30),30,150),
"نوادي",IF(D439&lt;DATE(2019,11,30),6,30),
"رسو مراكب",IF(D439&lt;DATE(2019,11,30),2,10),
"مباني",IF(D439&lt;DATE(2018,9,24),2,10),
"عشش",IF(D439&lt;DATE(2019,11,30),2,10),
"كشك (تجاري/صناعي)",IF(D439&lt;DATE(2019,11,30),10,50),
"ردم",20,
0)))</f>
        <v>1792</v>
      </c>
      <c r="AC439" s="1" cm="1">
        <f t="array" aca="1" ref="AC439" ca="1">IF(Y439&lt;DATE(2023,5,1),0,
IF(J439="زراعة",
K439*
(
INT((Y439-MAX(DATE(2023,5,1),D439))/365)
+
CEILING(MOD((Y439-MAX(DATE(2023,5,1),D439))/365,1),0.25)
)
*3,
IF(J439="ردم",
K439*20,
K439*
(
DATEDIF(MAX(DATE(2023,5,1),D439),Y439,"m")+1
)
*
_xlfn.SWITCH(J439,
"موقف/تندة",6,
"تشوينات",4,
"مشاتل",2,
"رسو مراكب",6,
"مباني",3,
"عشش",1,
"كشك (تجاري/صناعي)",20,
"مواسير صرف صحي (&lt;1م)",16,
"مواسير صرف صحي (&gt;1م)",18,
0))))</f>
        <v>1776</v>
      </c>
      <c r="AD439" s="1">
        <f t="shared" ca="1" si="39"/>
        <v>55</v>
      </c>
    </row>
    <row r="440" spans="1:30" ht="18.75" x14ac:dyDescent="0.25">
      <c r="A440" s="52">
        <v>396</v>
      </c>
      <c r="B440" s="6">
        <v>140</v>
      </c>
      <c r="C440" s="6">
        <v>2017</v>
      </c>
      <c r="D440" s="7">
        <v>42962</v>
      </c>
      <c r="E440" s="12" t="s">
        <v>575</v>
      </c>
      <c r="F440" s="6"/>
      <c r="G440" s="6" t="s">
        <v>497</v>
      </c>
      <c r="H440" s="6"/>
      <c r="I440" s="6" t="s">
        <v>372</v>
      </c>
      <c r="J440" s="3" t="s">
        <v>28</v>
      </c>
      <c r="K440" s="6">
        <v>28</v>
      </c>
      <c r="L440" s="3" t="s">
        <v>191</v>
      </c>
      <c r="M440" s="7"/>
      <c r="N440" s="6"/>
      <c r="O440" s="9">
        <f>0.47*Table2[[#This Row],[قيمة المحضر]]</f>
        <v>0</v>
      </c>
      <c r="P440" s="9">
        <f>0.17*Table2[[#This Row],[قيمة المحضر]]</f>
        <v>0</v>
      </c>
      <c r="Q440" s="9">
        <f t="shared" ca="1" si="40"/>
        <v>4312</v>
      </c>
      <c r="R440" s="3"/>
      <c r="S440" s="3"/>
      <c r="T440" s="9" t="str">
        <f t="shared" si="41"/>
        <v>-</v>
      </c>
      <c r="U440" s="3" t="s">
        <v>25</v>
      </c>
      <c r="V440" s="9" t="str">
        <f t="shared" si="42"/>
        <v>-</v>
      </c>
      <c r="W440" s="4"/>
      <c r="X440" s="38"/>
      <c r="Y440" s="1">
        <f t="shared" ca="1" si="38"/>
        <v>46162</v>
      </c>
      <c r="Z440" s="1" cm="1">
        <f t="array" ref="Z440">IF(D440&gt;DATE(2015,5,16),0,
K440*
(
INT((MIN(Y440,DATE(2015,5,16))-D440)/365)
+
CEILING(MOD((MIN(Y440,DATE(2015,5,16))-D440)/365,1),0.25)
)
*
_xlfn.SWITCH(J440,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40" s="1" cm="1">
        <f t="array" aca="1" ref="AA440" ca="1">IF(Y440&lt;DATE(2015,5,17),0,
K440*
(
INT((MIN(Y440,DATE(2018,9,23))-MAX(D440,DATE(2015,5,17)))/365)
+
CEILING(MOD((MIN(Y440,DATE(2018,9,23))-MAX(D440,DATE(2015,5,17)))/365,1),0.25)
)
*
_xlfn.SWITCH(J440,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</v>
      </c>
      <c r="AB440" s="1" cm="1">
        <f t="array" aca="1" ref="AB440" ca="1">IF(Y440&lt;DATE(2018,9,24),0,
IF(J440="زراعة",
K440*
(
INT((MIN(Y440,DATE(2023,4,30))-MAX(D440,DATE(2018,9,24)))/365)
+
CEILING(MOD((MIN(Y440,DATE(2023,4,30))-MAX(D440,DATE(2018,9,24)))/365,1),0.25)
)
*1,
K440*
(
DATEDIF(MAX(D440,DATE(2018,9,24)),MIN(Y440,DATE(2023,4,30)),"m")+1
)
*
_xlfn.SWITCH(J440,
"موقف/تندة",IF(D440&lt;DATE(2019,11,30),6,30),
"تشوينات",IF(D440&lt;DATE(2019,11,30),4,20),
"مشاتل",IF(D440&lt;DATE(2019,11,30),2,10),
"كافيتيريا",IF(D440&lt;DATE(2019,11,30),30,150),
"نوادي",IF(D440&lt;DATE(2019,11,30),6,30),
"رسو مراكب",IF(D440&lt;DATE(2019,11,30),2,10),
"مباني",IF(D440&lt;DATE(2018,9,24),2,10),
"عشش",IF(D440&lt;DATE(2019,11,30),2,10),
"كشك (تجاري/صناعي)",IF(D440&lt;DATE(2019,11,30),10,50),
"ردم",20,
0)))</f>
        <v>3136</v>
      </c>
      <c r="AC440" s="1" cm="1">
        <f t="array" aca="1" ref="AC440" ca="1">IF(Y440&lt;DATE(2023,5,1),0,
IF(J440="زراعة",
K440*
(
INT((Y440-MAX(DATE(2023,5,1),D440))/365)
+
CEILING(MOD((Y440-MAX(DATE(2023,5,1),D440))/365,1),0.25)
)
*3,
IF(J440="ردم",
K440*20,
K440*
(
DATEDIF(MAX(DATE(2023,5,1),D440),Y440,"m")+1
)
*
_xlfn.SWITCH(J440,
"موقف/تندة",6,
"تشوينات",4,
"مشاتل",2,
"رسو مراكب",6,
"مباني",3,
"عشش",1,
"كشك (تجاري/صناعي)",20,
"مواسير صرف صحي (&lt;1م)",16,
"مواسير صرف صحي (&gt;1م)",18,
0))))</f>
        <v>1036</v>
      </c>
      <c r="AD440" s="1">
        <f t="shared" ca="1" si="39"/>
        <v>55</v>
      </c>
    </row>
    <row r="441" spans="1:30" ht="18.75" x14ac:dyDescent="0.25">
      <c r="A441" s="52">
        <v>397</v>
      </c>
      <c r="B441" s="6">
        <v>141</v>
      </c>
      <c r="C441" s="6">
        <v>2017</v>
      </c>
      <c r="D441" s="7">
        <v>42962</v>
      </c>
      <c r="E441" s="12" t="s">
        <v>576</v>
      </c>
      <c r="F441" s="6"/>
      <c r="G441" s="6" t="s">
        <v>503</v>
      </c>
      <c r="H441" s="6"/>
      <c r="I441" s="6" t="s">
        <v>577</v>
      </c>
      <c r="J441" s="3" t="s">
        <v>28</v>
      </c>
      <c r="K441" s="6">
        <v>28</v>
      </c>
      <c r="L441" s="3" t="s">
        <v>191</v>
      </c>
      <c r="M441" s="7"/>
      <c r="N441" s="6"/>
      <c r="O441" s="9">
        <f>0.47*Table2[[#This Row],[قيمة المحضر]]</f>
        <v>0</v>
      </c>
      <c r="P441" s="9">
        <f>0.17*Table2[[#This Row],[قيمة المحضر]]</f>
        <v>0</v>
      </c>
      <c r="Q441" s="9">
        <f t="shared" ca="1" si="40"/>
        <v>4312</v>
      </c>
      <c r="R441" s="3"/>
      <c r="S441" s="3"/>
      <c r="T441" s="9" t="str">
        <f t="shared" si="41"/>
        <v>-</v>
      </c>
      <c r="U441" s="3" t="s">
        <v>25</v>
      </c>
      <c r="V441" s="9" t="str">
        <f t="shared" si="42"/>
        <v>-</v>
      </c>
      <c r="W441" s="4"/>
      <c r="X441" s="38"/>
      <c r="Y441" s="1">
        <f t="shared" ca="1" si="38"/>
        <v>46162</v>
      </c>
      <c r="Z441" s="1" cm="1">
        <f t="array" ref="Z441">IF(D441&gt;DATE(2015,5,16),0,
K441*
(
INT((MIN(Y441,DATE(2015,5,16))-D441)/365)
+
CEILING(MOD((MIN(Y441,DATE(2015,5,16))-D441)/365,1),0.25)
)
*
_xlfn.SWITCH(J441,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41" s="1" cm="1">
        <f t="array" aca="1" ref="AA441" ca="1">IF(Y441&lt;DATE(2015,5,17),0,
K441*
(
INT((MIN(Y441,DATE(2018,9,23))-MAX(D441,DATE(2015,5,17)))/365)
+
CEILING(MOD((MIN(Y441,DATE(2018,9,23))-MAX(D441,DATE(2015,5,17)))/365,1),0.25)
)
*
_xlfn.SWITCH(J441,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</v>
      </c>
      <c r="AB441" s="1" cm="1">
        <f t="array" aca="1" ref="AB441" ca="1">IF(Y441&lt;DATE(2018,9,24),0,
IF(J441="زراعة",
K441*
(
INT((MIN(Y441,DATE(2023,4,30))-MAX(D441,DATE(2018,9,24)))/365)
+
CEILING(MOD((MIN(Y441,DATE(2023,4,30))-MAX(D441,DATE(2018,9,24)))/365,1),0.25)
)
*1,
K441*
(
DATEDIF(MAX(D441,DATE(2018,9,24)),MIN(Y441,DATE(2023,4,30)),"m")+1
)
*
_xlfn.SWITCH(J441,
"موقف/تندة",IF(D441&lt;DATE(2019,11,30),6,30),
"تشوينات",IF(D441&lt;DATE(2019,11,30),4,20),
"مشاتل",IF(D441&lt;DATE(2019,11,30),2,10),
"كافيتيريا",IF(D441&lt;DATE(2019,11,30),30,150),
"نوادي",IF(D441&lt;DATE(2019,11,30),6,30),
"رسو مراكب",IF(D441&lt;DATE(2019,11,30),2,10),
"مباني",IF(D441&lt;DATE(2018,9,24),2,10),
"عشش",IF(D441&lt;DATE(2019,11,30),2,10),
"كشك (تجاري/صناعي)",IF(D441&lt;DATE(2019,11,30),10,50),
"ردم",20,
0)))</f>
        <v>3136</v>
      </c>
      <c r="AC441" s="1" cm="1">
        <f t="array" aca="1" ref="AC441" ca="1">IF(Y441&lt;DATE(2023,5,1),0,
IF(J441="زراعة",
K441*
(
INT((Y441-MAX(DATE(2023,5,1),D441))/365)
+
CEILING(MOD((Y441-MAX(DATE(2023,5,1),D441))/365,1),0.25)
)
*3,
IF(J441="ردم",
K441*20,
K441*
(
DATEDIF(MAX(DATE(2023,5,1),D441),Y441,"m")+1
)
*
_xlfn.SWITCH(J441,
"موقف/تندة",6,
"تشوينات",4,
"مشاتل",2,
"رسو مراكب",6,
"مباني",3,
"عشش",1,
"كشك (تجاري/صناعي)",20,
"مواسير صرف صحي (&lt;1م)",16,
"مواسير صرف صحي (&gt;1م)",18,
0))))</f>
        <v>1036</v>
      </c>
      <c r="AD441" s="1">
        <f t="shared" ca="1" si="39"/>
        <v>55</v>
      </c>
    </row>
    <row r="442" spans="1:30" ht="18.75" x14ac:dyDescent="0.25">
      <c r="A442" s="52">
        <v>398</v>
      </c>
      <c r="B442" s="6">
        <v>142</v>
      </c>
      <c r="C442" s="6">
        <v>2017</v>
      </c>
      <c r="D442" s="7">
        <v>43012</v>
      </c>
      <c r="E442" s="12"/>
      <c r="F442" s="6"/>
      <c r="G442" s="6" t="s">
        <v>504</v>
      </c>
      <c r="H442" s="6"/>
      <c r="I442" s="6" t="s">
        <v>193</v>
      </c>
      <c r="J442" s="3" t="s">
        <v>27</v>
      </c>
      <c r="K442" s="6">
        <v>50</v>
      </c>
      <c r="L442" s="3" t="s">
        <v>196</v>
      </c>
      <c r="M442" s="7"/>
      <c r="N442" s="6"/>
      <c r="O442" s="9">
        <f>0.47*Table2[[#This Row],[قيمة المحضر]]</f>
        <v>0</v>
      </c>
      <c r="P442" s="9">
        <f>0.17*Table2[[#This Row],[قيمة المحضر]]</f>
        <v>0</v>
      </c>
      <c r="Q442" s="9">
        <f t="shared" ca="1" si="40"/>
        <v>11550</v>
      </c>
      <c r="R442" s="3"/>
      <c r="S442" s="3"/>
      <c r="T442" s="9" t="str">
        <f t="shared" si="41"/>
        <v>-</v>
      </c>
      <c r="U442" s="3" t="s">
        <v>25</v>
      </c>
      <c r="V442" s="9" t="str">
        <f t="shared" si="42"/>
        <v>-</v>
      </c>
      <c r="W442" s="4"/>
      <c r="X442" s="38"/>
      <c r="Y442" s="1">
        <f t="shared" ca="1" si="38"/>
        <v>46162</v>
      </c>
      <c r="Z442" s="1" cm="1">
        <f t="array" ref="Z442">IF(D442&gt;DATE(2015,5,16),0,
K442*
(
INT((MIN(Y442,DATE(2015,5,16))-D442)/365)
+
CEILING(MOD((MIN(Y442,DATE(2015,5,16))-D442)/365,1),0.25)
)
*
_xlfn.SWITCH(J442,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42" s="1" cm="1">
        <f t="array" aca="1" ref="AA442" ca="1">IF(Y442&lt;DATE(2015,5,17),0,
K442*
(
INT((MIN(Y442,DATE(2018,9,23))-MAX(D442,DATE(2015,5,17)))/365)
+
CEILING(MOD((MIN(Y442,DATE(2018,9,23))-MAX(D442,DATE(2015,5,17)))/365,1),0.25)
)
*
_xlfn.SWITCH(J442,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400</v>
      </c>
      <c r="AB442" s="1" cm="1">
        <f t="array" aca="1" ref="AB442" ca="1">IF(Y442&lt;DATE(2018,9,24),0,
IF(J442="زراعة",
K442*
(
INT((MIN(Y442,DATE(2023,4,30))-MAX(D442,DATE(2018,9,24)))/365)
+
CEILING(MOD((MIN(Y442,DATE(2023,4,30))-MAX(D442,DATE(2018,9,24)))/365,1),0.25)
)
*1,
K442*
(
DATEDIF(MAX(D442,DATE(2018,9,24)),MIN(Y442,DATE(2023,4,30)),"m")+1
)
*
_xlfn.SWITCH(J442,
"موقف/تندة",IF(D442&lt;DATE(2019,11,30),6,30),
"تشوينات",IF(D442&lt;DATE(2019,11,30),4,20),
"مشاتل",IF(D442&lt;DATE(2019,11,30),2,10),
"كافيتيريا",IF(D442&lt;DATE(2019,11,30),30,150),
"نوادي",IF(D442&lt;DATE(2019,11,30),6,30),
"رسو مراكب",IF(D442&lt;DATE(2019,11,30),2,10),
"مباني",IF(D442&lt;DATE(2018,9,24),2,10),
"عشش",IF(D442&lt;DATE(2019,11,30),2,10),
"كشك (تجاري/صناعي)",IF(D442&lt;DATE(2019,11,30),10,50),
"ردم",20,
0)))</f>
        <v>5600</v>
      </c>
      <c r="AC442" s="1" cm="1">
        <f t="array" aca="1" ref="AC442" ca="1">IF(Y442&lt;DATE(2023,5,1),0,
IF(J442="زراعة",
K442*
(
INT((Y442-MAX(DATE(2023,5,1),D442))/365)
+
CEILING(MOD((Y442-MAX(DATE(2023,5,1),D442))/365,1),0.25)
)
*3,
IF(J442="ردم",
K442*20,
K442*
(
DATEDIF(MAX(DATE(2023,5,1),D442),Y442,"m")+1
)
*
_xlfn.SWITCH(J442,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442" s="1">
        <f t="shared" ca="1" si="39"/>
        <v>55</v>
      </c>
    </row>
    <row r="443" spans="1:30" ht="18.75" x14ac:dyDescent="0.25">
      <c r="A443" s="52">
        <v>399</v>
      </c>
      <c r="B443" s="6">
        <v>143</v>
      </c>
      <c r="C443" s="6">
        <v>2017</v>
      </c>
      <c r="D443" s="7">
        <v>43012</v>
      </c>
      <c r="E443" s="12"/>
      <c r="F443" s="6"/>
      <c r="G443" s="6" t="s">
        <v>505</v>
      </c>
      <c r="H443" s="6"/>
      <c r="I443" s="6" t="s">
        <v>193</v>
      </c>
      <c r="J443" s="3" t="s">
        <v>27</v>
      </c>
      <c r="K443" s="6">
        <v>20</v>
      </c>
      <c r="L443" s="3" t="s">
        <v>196</v>
      </c>
      <c r="M443" s="7"/>
      <c r="N443" s="6"/>
      <c r="O443" s="9">
        <f>0.47*Table2[[#This Row],[قيمة المحضر]]</f>
        <v>0</v>
      </c>
      <c r="P443" s="9">
        <f>0.17*Table2[[#This Row],[قيمة المحضر]]</f>
        <v>0</v>
      </c>
      <c r="Q443" s="9">
        <f t="shared" ca="1" si="40"/>
        <v>4620</v>
      </c>
      <c r="R443" s="3"/>
      <c r="S443" s="3"/>
      <c r="T443" s="9" t="str">
        <f t="shared" si="41"/>
        <v>-</v>
      </c>
      <c r="U443" s="3" t="s">
        <v>25</v>
      </c>
      <c r="V443" s="9" t="str">
        <f t="shared" si="42"/>
        <v>-</v>
      </c>
      <c r="W443" s="4"/>
      <c r="X443" s="38"/>
      <c r="Y443" s="1">
        <f t="shared" ca="1" si="38"/>
        <v>46162</v>
      </c>
      <c r="Z443" s="1" cm="1">
        <f t="array" ref="Z443">IF(D443&gt;DATE(2015,5,16),0,
K443*
(
INT((MIN(Y443,DATE(2015,5,16))-D443)/365)
+
CEILING(MOD((MIN(Y443,DATE(2015,5,16))-D443)/365,1),0.25)
)
*
_xlfn.SWITCH(J443,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43" s="1" cm="1">
        <f t="array" aca="1" ref="AA443" ca="1">IF(Y443&lt;DATE(2015,5,17),0,
K443*
(
INT((MIN(Y443,DATE(2018,9,23))-MAX(D443,DATE(2015,5,17)))/365)
+
CEILING(MOD((MIN(Y443,DATE(2018,9,23))-MAX(D443,DATE(2015,5,17)))/365,1),0.25)
)
*
_xlfn.SWITCH(J443,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160</v>
      </c>
      <c r="AB443" s="1" cm="1">
        <f t="array" aca="1" ref="AB443" ca="1">IF(Y443&lt;DATE(2018,9,24),0,
IF(J443="زراعة",
K443*
(
INT((MIN(Y443,DATE(2023,4,30))-MAX(D443,DATE(2018,9,24)))/365)
+
CEILING(MOD((MIN(Y443,DATE(2023,4,30))-MAX(D443,DATE(2018,9,24)))/365,1),0.25)
)
*1,
K443*
(
DATEDIF(MAX(D443,DATE(2018,9,24)),MIN(Y443,DATE(2023,4,30)),"m")+1
)
*
_xlfn.SWITCH(J443,
"موقف/تندة",IF(D443&lt;DATE(2019,11,30),6,30),
"تشوينات",IF(D443&lt;DATE(2019,11,30),4,20),
"مشاتل",IF(D443&lt;DATE(2019,11,30),2,10),
"كافيتيريا",IF(D443&lt;DATE(2019,11,30),30,150),
"نوادي",IF(D443&lt;DATE(2019,11,30),6,30),
"رسو مراكب",IF(D443&lt;DATE(2019,11,30),2,10),
"مباني",IF(D443&lt;DATE(2018,9,24),2,10),
"عشش",IF(D443&lt;DATE(2019,11,30),2,10),
"كشك (تجاري/صناعي)",IF(D443&lt;DATE(2019,11,30),10,50),
"ردم",20,
0)))</f>
        <v>2240</v>
      </c>
      <c r="AC443" s="1" cm="1">
        <f t="array" aca="1" ref="AC443" ca="1">IF(Y443&lt;DATE(2023,5,1),0,
IF(J443="زراعة",
K443*
(
INT((Y443-MAX(DATE(2023,5,1),D443))/365)
+
CEILING(MOD((Y443-MAX(DATE(2023,5,1),D443))/365,1),0.25)
)
*3,
IF(J443="ردم",
K443*20,
K443*
(
DATEDIF(MAX(DATE(2023,5,1),D443),Y443,"m")+1
)
*
_xlfn.SWITCH(J443,
"موقف/تندة",6,
"تشوينات",4,
"مشاتل",2,
"رسو مراكب",6,
"مباني",3,
"عشش",1,
"كشك (تجاري/صناعي)",20,
"مواسير صرف صحي (&lt;1م)",16,
"مواسير صرف صحي (&gt;1م)",18,
0))))</f>
        <v>2220</v>
      </c>
      <c r="AD443" s="1">
        <f t="shared" ca="1" si="39"/>
        <v>55</v>
      </c>
    </row>
    <row r="444" spans="1:30" ht="18.75" x14ac:dyDescent="0.25">
      <c r="A444" s="52">
        <v>400</v>
      </c>
      <c r="B444" s="6">
        <v>144</v>
      </c>
      <c r="C444" s="6">
        <v>2017</v>
      </c>
      <c r="D444" s="7">
        <v>43012</v>
      </c>
      <c r="E444" s="12"/>
      <c r="F444" s="6"/>
      <c r="G444" s="6" t="s">
        <v>506</v>
      </c>
      <c r="H444" s="6"/>
      <c r="I444" s="6" t="s">
        <v>193</v>
      </c>
      <c r="J444" s="3" t="s">
        <v>27</v>
      </c>
      <c r="K444" s="6">
        <v>80</v>
      </c>
      <c r="L444" s="3" t="s">
        <v>196</v>
      </c>
      <c r="M444" s="7"/>
      <c r="N444" s="6"/>
      <c r="O444" s="9">
        <f>0.47*Table2[[#This Row],[قيمة المحضر]]</f>
        <v>0</v>
      </c>
      <c r="P444" s="9">
        <f>0.17*Table2[[#This Row],[قيمة المحضر]]</f>
        <v>0</v>
      </c>
      <c r="Q444" s="9">
        <f t="shared" ca="1" si="40"/>
        <v>18480</v>
      </c>
      <c r="R444" s="3"/>
      <c r="S444" s="3"/>
      <c r="T444" s="9" t="str">
        <f t="shared" si="41"/>
        <v>-</v>
      </c>
      <c r="U444" s="3" t="s">
        <v>25</v>
      </c>
      <c r="V444" s="9" t="str">
        <f t="shared" si="42"/>
        <v>-</v>
      </c>
      <c r="W444" s="4"/>
      <c r="X444" s="38"/>
      <c r="Y444" s="1">
        <f t="shared" ca="1" si="38"/>
        <v>46162</v>
      </c>
      <c r="Z444" s="1" cm="1">
        <f t="array" ref="Z444">IF(D444&gt;DATE(2015,5,16),0,
K444*
(
INT((MIN(Y444,DATE(2015,5,16))-D444)/365)
+
CEILING(MOD((MIN(Y444,DATE(2015,5,16))-D444)/365,1),0.25)
)
*
_xlfn.SWITCH(J444,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44" s="1" cm="1">
        <f t="array" aca="1" ref="AA444" ca="1">IF(Y444&lt;DATE(2015,5,17),0,
K444*
(
INT((MIN(Y444,DATE(2018,9,23))-MAX(D444,DATE(2015,5,17)))/365)
+
CEILING(MOD((MIN(Y444,DATE(2018,9,23))-MAX(D444,DATE(2015,5,17)))/365,1),0.25)
)
*
_xlfn.SWITCH(J444,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640</v>
      </c>
      <c r="AB444" s="1" cm="1">
        <f t="array" aca="1" ref="AB444" ca="1">IF(Y444&lt;DATE(2018,9,24),0,
IF(J444="زراعة",
K444*
(
INT((MIN(Y444,DATE(2023,4,30))-MAX(D444,DATE(2018,9,24)))/365)
+
CEILING(MOD((MIN(Y444,DATE(2023,4,30))-MAX(D444,DATE(2018,9,24)))/365,1),0.25)
)
*1,
K444*
(
DATEDIF(MAX(D444,DATE(2018,9,24)),MIN(Y444,DATE(2023,4,30)),"m")+1
)
*
_xlfn.SWITCH(J444,
"موقف/تندة",IF(D444&lt;DATE(2019,11,30),6,30),
"تشوينات",IF(D444&lt;DATE(2019,11,30),4,20),
"مشاتل",IF(D444&lt;DATE(2019,11,30),2,10),
"كافيتيريا",IF(D444&lt;DATE(2019,11,30),30,150),
"نوادي",IF(D444&lt;DATE(2019,11,30),6,30),
"رسو مراكب",IF(D444&lt;DATE(2019,11,30),2,10),
"مباني",IF(D444&lt;DATE(2018,9,24),2,10),
"عشش",IF(D444&lt;DATE(2019,11,30),2,10),
"كشك (تجاري/صناعي)",IF(D444&lt;DATE(2019,11,30),10,50),
"ردم",20,
0)))</f>
        <v>8960</v>
      </c>
      <c r="AC444" s="1" cm="1">
        <f t="array" aca="1" ref="AC444" ca="1">IF(Y444&lt;DATE(2023,5,1),0,
IF(J444="زراعة",
K444*
(
INT((Y444-MAX(DATE(2023,5,1),D444))/365)
+
CEILING(MOD((Y444-MAX(DATE(2023,5,1),D444))/365,1),0.25)
)
*3,
IF(J444="ردم",
K444*20,
K444*
(
DATEDIF(MAX(DATE(2023,5,1),D444),Y444,"m")+1
)
*
_xlfn.SWITCH(J444,
"موقف/تندة",6,
"تشوينات",4,
"مشاتل",2,
"رسو مراكب",6,
"مباني",3,
"عشش",1,
"كشك (تجاري/صناعي)",20,
"مواسير صرف صحي (&lt;1م)",16,
"مواسير صرف صحي (&gt;1م)",18,
0))))</f>
        <v>8880</v>
      </c>
      <c r="AD444" s="1">
        <f t="shared" ca="1" si="39"/>
        <v>55</v>
      </c>
    </row>
    <row r="445" spans="1:30" ht="18.75" x14ac:dyDescent="0.25">
      <c r="A445" s="52">
        <v>401</v>
      </c>
      <c r="B445" s="6">
        <v>145</v>
      </c>
      <c r="C445" s="6">
        <v>2017</v>
      </c>
      <c r="D445" s="7">
        <v>43012</v>
      </c>
      <c r="E445" s="12"/>
      <c r="F445" s="6"/>
      <c r="G445" s="6" t="s">
        <v>507</v>
      </c>
      <c r="H445" s="6"/>
      <c r="I445" s="6" t="s">
        <v>193</v>
      </c>
      <c r="J445" s="3" t="s">
        <v>27</v>
      </c>
      <c r="K445" s="6">
        <v>50</v>
      </c>
      <c r="L445" s="3" t="s">
        <v>196</v>
      </c>
      <c r="M445" s="7"/>
      <c r="N445" s="6"/>
      <c r="O445" s="9">
        <f>0.47*Table2[[#This Row],[قيمة المحضر]]</f>
        <v>0</v>
      </c>
      <c r="P445" s="9">
        <f>0.17*Table2[[#This Row],[قيمة المحضر]]</f>
        <v>0</v>
      </c>
      <c r="Q445" s="9">
        <f t="shared" ca="1" si="40"/>
        <v>11550</v>
      </c>
      <c r="R445" s="3"/>
      <c r="S445" s="3"/>
      <c r="T445" s="9" t="str">
        <f t="shared" si="41"/>
        <v>-</v>
      </c>
      <c r="U445" s="3" t="s">
        <v>25</v>
      </c>
      <c r="V445" s="9" t="str">
        <f t="shared" si="42"/>
        <v>-</v>
      </c>
      <c r="W445" s="4"/>
      <c r="X445" s="38"/>
      <c r="Y445" s="1">
        <f t="shared" ca="1" si="38"/>
        <v>46162</v>
      </c>
      <c r="Z445" s="1" cm="1">
        <f t="array" ref="Z445">IF(D445&gt;DATE(2015,5,16),0,
K445*
(
INT((MIN(Y445,DATE(2015,5,16))-D445)/365)
+
CEILING(MOD((MIN(Y445,DATE(2015,5,16))-D445)/365,1),0.25)
)
*
_xlfn.SWITCH(J445,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45" s="1" cm="1">
        <f t="array" aca="1" ref="AA445" ca="1">IF(Y445&lt;DATE(2015,5,17),0,
K445*
(
INT((MIN(Y445,DATE(2018,9,23))-MAX(D445,DATE(2015,5,17)))/365)
+
CEILING(MOD((MIN(Y445,DATE(2018,9,23))-MAX(D445,DATE(2015,5,17)))/365,1),0.25)
)
*
_xlfn.SWITCH(J445,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400</v>
      </c>
      <c r="AB445" s="1" cm="1">
        <f t="array" aca="1" ref="AB445" ca="1">IF(Y445&lt;DATE(2018,9,24),0,
IF(J445="زراعة",
K445*
(
INT((MIN(Y445,DATE(2023,4,30))-MAX(D445,DATE(2018,9,24)))/365)
+
CEILING(MOD((MIN(Y445,DATE(2023,4,30))-MAX(D445,DATE(2018,9,24)))/365,1),0.25)
)
*1,
K445*
(
DATEDIF(MAX(D445,DATE(2018,9,24)),MIN(Y445,DATE(2023,4,30)),"m")+1
)
*
_xlfn.SWITCH(J445,
"موقف/تندة",IF(D445&lt;DATE(2019,11,30),6,30),
"تشوينات",IF(D445&lt;DATE(2019,11,30),4,20),
"مشاتل",IF(D445&lt;DATE(2019,11,30),2,10),
"كافيتيريا",IF(D445&lt;DATE(2019,11,30),30,150),
"نوادي",IF(D445&lt;DATE(2019,11,30),6,30),
"رسو مراكب",IF(D445&lt;DATE(2019,11,30),2,10),
"مباني",IF(D445&lt;DATE(2018,9,24),2,10),
"عشش",IF(D445&lt;DATE(2019,11,30),2,10),
"كشك (تجاري/صناعي)",IF(D445&lt;DATE(2019,11,30),10,50),
"ردم",20,
0)))</f>
        <v>5600</v>
      </c>
      <c r="AC445" s="1" cm="1">
        <f t="array" aca="1" ref="AC445" ca="1">IF(Y445&lt;DATE(2023,5,1),0,
IF(J445="زراعة",
K445*
(
INT((Y445-MAX(DATE(2023,5,1),D445))/365)
+
CEILING(MOD((Y445-MAX(DATE(2023,5,1),D445))/365,1),0.25)
)
*3,
IF(J445="ردم",
K445*20,
K445*
(
DATEDIF(MAX(DATE(2023,5,1),D445),Y445,"m")+1
)
*
_xlfn.SWITCH(J445,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445" s="1">
        <f t="shared" ca="1" si="39"/>
        <v>55</v>
      </c>
    </row>
    <row r="446" spans="1:30" ht="18.75" x14ac:dyDescent="0.25">
      <c r="A446" s="52">
        <v>402</v>
      </c>
      <c r="B446" s="6">
        <v>146</v>
      </c>
      <c r="C446" s="6">
        <v>2017</v>
      </c>
      <c r="D446" s="7">
        <v>43012</v>
      </c>
      <c r="E446" s="12"/>
      <c r="F446" s="6"/>
      <c r="G446" s="6" t="s">
        <v>508</v>
      </c>
      <c r="H446" s="6"/>
      <c r="I446" s="6" t="s">
        <v>193</v>
      </c>
      <c r="J446" s="3" t="s">
        <v>27</v>
      </c>
      <c r="K446" s="6">
        <v>50</v>
      </c>
      <c r="L446" s="3" t="s">
        <v>196</v>
      </c>
      <c r="M446" s="7"/>
      <c r="N446" s="6"/>
      <c r="O446" s="9">
        <f>0.47*Table2[[#This Row],[قيمة المحضر]]</f>
        <v>0</v>
      </c>
      <c r="P446" s="9">
        <f>0.17*Table2[[#This Row],[قيمة المحضر]]</f>
        <v>0</v>
      </c>
      <c r="Q446" s="9">
        <f t="shared" ca="1" si="40"/>
        <v>11550</v>
      </c>
      <c r="R446" s="3"/>
      <c r="S446" s="3"/>
      <c r="T446" s="9" t="str">
        <f t="shared" si="41"/>
        <v>-</v>
      </c>
      <c r="U446" s="3" t="s">
        <v>25</v>
      </c>
      <c r="V446" s="9" t="str">
        <f t="shared" si="42"/>
        <v>-</v>
      </c>
      <c r="W446" s="4"/>
      <c r="X446" s="38"/>
      <c r="Y446" s="1">
        <f t="shared" ca="1" si="38"/>
        <v>46162</v>
      </c>
      <c r="Z446" s="1" cm="1">
        <f t="array" ref="Z446">IF(D446&gt;DATE(2015,5,16),0,
K446*
(
INT((MIN(Y446,DATE(2015,5,16))-D446)/365)
+
CEILING(MOD((MIN(Y446,DATE(2015,5,16))-D446)/365,1),0.25)
)
*
_xlfn.SWITCH(J446,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46" s="1" cm="1">
        <f t="array" aca="1" ref="AA446" ca="1">IF(Y446&lt;DATE(2015,5,17),0,
K446*
(
INT((MIN(Y446,DATE(2018,9,23))-MAX(D446,DATE(2015,5,17)))/365)
+
CEILING(MOD((MIN(Y446,DATE(2018,9,23))-MAX(D446,DATE(2015,5,17)))/365,1),0.25)
)
*
_xlfn.SWITCH(J446,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400</v>
      </c>
      <c r="AB446" s="1" cm="1">
        <f t="array" aca="1" ref="AB446" ca="1">IF(Y446&lt;DATE(2018,9,24),0,
IF(J446="زراعة",
K446*
(
INT((MIN(Y446,DATE(2023,4,30))-MAX(D446,DATE(2018,9,24)))/365)
+
CEILING(MOD((MIN(Y446,DATE(2023,4,30))-MAX(D446,DATE(2018,9,24)))/365,1),0.25)
)
*1,
K446*
(
DATEDIF(MAX(D446,DATE(2018,9,24)),MIN(Y446,DATE(2023,4,30)),"m")+1
)
*
_xlfn.SWITCH(J446,
"موقف/تندة",IF(D446&lt;DATE(2019,11,30),6,30),
"تشوينات",IF(D446&lt;DATE(2019,11,30),4,20),
"مشاتل",IF(D446&lt;DATE(2019,11,30),2,10),
"كافيتيريا",IF(D446&lt;DATE(2019,11,30),30,150),
"نوادي",IF(D446&lt;DATE(2019,11,30),6,30),
"رسو مراكب",IF(D446&lt;DATE(2019,11,30),2,10),
"مباني",IF(D446&lt;DATE(2018,9,24),2,10),
"عشش",IF(D446&lt;DATE(2019,11,30),2,10),
"كشك (تجاري/صناعي)",IF(D446&lt;DATE(2019,11,30),10,50),
"ردم",20,
0)))</f>
        <v>5600</v>
      </c>
      <c r="AC446" s="1" cm="1">
        <f t="array" aca="1" ref="AC446" ca="1">IF(Y446&lt;DATE(2023,5,1),0,
IF(J446="زراعة",
K446*
(
INT((Y446-MAX(DATE(2023,5,1),D446))/365)
+
CEILING(MOD((Y446-MAX(DATE(2023,5,1),D446))/365,1),0.25)
)
*3,
IF(J446="ردم",
K446*20,
K446*
(
DATEDIF(MAX(DATE(2023,5,1),D446),Y446,"m")+1
)
*
_xlfn.SWITCH(J446,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446" s="1">
        <f t="shared" ca="1" si="39"/>
        <v>55</v>
      </c>
    </row>
    <row r="447" spans="1:30" ht="18.75" x14ac:dyDescent="0.25">
      <c r="A447" s="52">
        <v>403</v>
      </c>
      <c r="B447" s="6">
        <v>147</v>
      </c>
      <c r="C447" s="6">
        <v>2017</v>
      </c>
      <c r="D447" s="7">
        <v>43012</v>
      </c>
      <c r="E447" s="12"/>
      <c r="F447" s="6"/>
      <c r="G447" s="6" t="s">
        <v>509</v>
      </c>
      <c r="H447" s="6"/>
      <c r="I447" s="6" t="s">
        <v>33</v>
      </c>
      <c r="J447" s="3" t="s">
        <v>27</v>
      </c>
      <c r="K447" s="6">
        <f>13*9</f>
        <v>117</v>
      </c>
      <c r="L447" s="3" t="s">
        <v>90</v>
      </c>
      <c r="M447" s="7"/>
      <c r="N447" s="6"/>
      <c r="O447" s="9">
        <f>0.47*Table2[[#This Row],[قيمة المحضر]]</f>
        <v>0</v>
      </c>
      <c r="P447" s="9">
        <f>0.17*Table2[[#This Row],[قيمة المحضر]]</f>
        <v>0</v>
      </c>
      <c r="Q447" s="9">
        <f t="shared" ca="1" si="40"/>
        <v>27027</v>
      </c>
      <c r="R447" s="3"/>
      <c r="S447" s="3"/>
      <c r="T447" s="9" t="str">
        <f t="shared" si="41"/>
        <v>-</v>
      </c>
      <c r="U447" s="3" t="s">
        <v>25</v>
      </c>
      <c r="V447" s="9" t="str">
        <f t="shared" si="42"/>
        <v>-</v>
      </c>
      <c r="W447" s="4"/>
      <c r="X447" s="38"/>
      <c r="Y447" s="1">
        <f t="shared" ca="1" si="38"/>
        <v>46162</v>
      </c>
      <c r="Z447" s="1" cm="1">
        <f t="array" ref="Z447">IF(D447&gt;DATE(2015,5,16),0,
K447*
(
INT((MIN(Y447,DATE(2015,5,16))-D447)/365)
+
CEILING(MOD((MIN(Y447,DATE(2015,5,16))-D447)/365,1),0.25)
)
*
_xlfn.SWITCH(J447,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47" s="1" cm="1">
        <f t="array" aca="1" ref="AA447" ca="1">IF(Y447&lt;DATE(2015,5,17),0,
K447*
(
INT((MIN(Y447,DATE(2018,9,23))-MAX(D447,DATE(2015,5,17)))/365)
+
CEILING(MOD((MIN(Y447,DATE(2018,9,23))-MAX(D447,DATE(2015,5,17)))/365,1),0.25)
)
*
_xlfn.SWITCH(J447,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936</v>
      </c>
      <c r="AB447" s="1" cm="1">
        <f t="array" aca="1" ref="AB447" ca="1">IF(Y447&lt;DATE(2018,9,24),0,
IF(J447="زراعة",
K447*
(
INT((MIN(Y447,DATE(2023,4,30))-MAX(D447,DATE(2018,9,24)))/365)
+
CEILING(MOD((MIN(Y447,DATE(2023,4,30))-MAX(D447,DATE(2018,9,24)))/365,1),0.25)
)
*1,
K447*
(
DATEDIF(MAX(D447,DATE(2018,9,24)),MIN(Y447,DATE(2023,4,30)),"m")+1
)
*
_xlfn.SWITCH(J447,
"موقف/تندة",IF(D447&lt;DATE(2019,11,30),6,30),
"تشوينات",IF(D447&lt;DATE(2019,11,30),4,20),
"مشاتل",IF(D447&lt;DATE(2019,11,30),2,10),
"كافيتيريا",IF(D447&lt;DATE(2019,11,30),30,150),
"نوادي",IF(D447&lt;DATE(2019,11,30),6,30),
"رسو مراكب",IF(D447&lt;DATE(2019,11,30),2,10),
"مباني",IF(D447&lt;DATE(2018,9,24),2,10),
"عشش",IF(D447&lt;DATE(2019,11,30),2,10),
"كشك (تجاري/صناعي)",IF(D447&lt;DATE(2019,11,30),10,50),
"ردم",20,
0)))</f>
        <v>13104</v>
      </c>
      <c r="AC447" s="1" cm="1">
        <f t="array" aca="1" ref="AC447" ca="1">IF(Y447&lt;DATE(2023,5,1),0,
IF(J447="زراعة",
K447*
(
INT((Y447-MAX(DATE(2023,5,1),D447))/365)
+
CEILING(MOD((Y447-MAX(DATE(2023,5,1),D447))/365,1),0.25)
)
*3,
IF(J447="ردم",
K447*20,
K447*
(
DATEDIF(MAX(DATE(2023,5,1),D447),Y447,"m")+1
)
*
_xlfn.SWITCH(J447,
"موقف/تندة",6,
"تشوينات",4,
"مشاتل",2,
"رسو مراكب",6,
"مباني",3,
"عشش",1,
"كشك (تجاري/صناعي)",20,
"مواسير صرف صحي (&lt;1م)",16,
"مواسير صرف صحي (&gt;1م)",18,
0))))</f>
        <v>12987</v>
      </c>
      <c r="AD447" s="1">
        <f t="shared" ca="1" si="39"/>
        <v>55</v>
      </c>
    </row>
    <row r="448" spans="1:30" ht="18.75" x14ac:dyDescent="0.25">
      <c r="A448" s="52">
        <v>404</v>
      </c>
      <c r="B448" s="6">
        <v>148</v>
      </c>
      <c r="C448" s="6">
        <v>2017</v>
      </c>
      <c r="D448" s="7">
        <v>43012</v>
      </c>
      <c r="E448" s="12"/>
      <c r="F448" s="6"/>
      <c r="G448" s="3" t="s">
        <v>328</v>
      </c>
      <c r="H448" s="6"/>
      <c r="I448" s="6" t="s">
        <v>33</v>
      </c>
      <c r="J448" s="3" t="s">
        <v>27</v>
      </c>
      <c r="K448" s="6">
        <v>30</v>
      </c>
      <c r="L448" s="3" t="s">
        <v>90</v>
      </c>
      <c r="M448" s="7"/>
      <c r="N448" s="6"/>
      <c r="O448" s="9">
        <f>0.47*Table2[[#This Row],[قيمة المحضر]]</f>
        <v>0</v>
      </c>
      <c r="P448" s="9">
        <f>0.17*Table2[[#This Row],[قيمة المحضر]]</f>
        <v>0</v>
      </c>
      <c r="Q448" s="9">
        <f t="shared" ca="1" si="40"/>
        <v>6930</v>
      </c>
      <c r="R448" s="3"/>
      <c r="S448" s="3"/>
      <c r="T448" s="9" t="str">
        <f t="shared" si="41"/>
        <v>-</v>
      </c>
      <c r="U448" s="3" t="s">
        <v>25</v>
      </c>
      <c r="V448" s="9" t="str">
        <f t="shared" si="42"/>
        <v>-</v>
      </c>
      <c r="W448" s="4"/>
      <c r="X448" s="38"/>
      <c r="Y448" s="1">
        <f t="shared" ca="1" si="38"/>
        <v>46162</v>
      </c>
      <c r="Z448" s="1" cm="1">
        <f t="array" ref="Z448">IF(D448&gt;DATE(2015,5,16),0,
K448*
(
INT((MIN(Y448,DATE(2015,5,16))-D448)/365)
+
CEILING(MOD((MIN(Y448,DATE(2015,5,16))-D448)/365,1),0.25)
)
*
_xlfn.SWITCH(J448,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48" s="1" cm="1">
        <f t="array" aca="1" ref="AA448" ca="1">IF(Y448&lt;DATE(2015,5,17),0,
K448*
(
INT((MIN(Y448,DATE(2018,9,23))-MAX(D448,DATE(2015,5,17)))/365)
+
CEILING(MOD((MIN(Y448,DATE(2018,9,23))-MAX(D448,DATE(2015,5,17)))/365,1),0.25)
)
*
_xlfn.SWITCH(J448,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240</v>
      </c>
      <c r="AB448" s="1" cm="1">
        <f t="array" aca="1" ref="AB448" ca="1">IF(Y448&lt;DATE(2018,9,24),0,
IF(J448="زراعة",
K448*
(
INT((MIN(Y448,DATE(2023,4,30))-MAX(D448,DATE(2018,9,24)))/365)
+
CEILING(MOD((MIN(Y448,DATE(2023,4,30))-MAX(D448,DATE(2018,9,24)))/365,1),0.25)
)
*1,
K448*
(
DATEDIF(MAX(D448,DATE(2018,9,24)),MIN(Y448,DATE(2023,4,30)),"m")+1
)
*
_xlfn.SWITCH(J448,
"موقف/تندة",IF(D448&lt;DATE(2019,11,30),6,30),
"تشوينات",IF(D448&lt;DATE(2019,11,30),4,20),
"مشاتل",IF(D448&lt;DATE(2019,11,30),2,10),
"كافيتيريا",IF(D448&lt;DATE(2019,11,30),30,150),
"نوادي",IF(D448&lt;DATE(2019,11,30),6,30),
"رسو مراكب",IF(D448&lt;DATE(2019,11,30),2,10),
"مباني",IF(D448&lt;DATE(2018,9,24),2,10),
"عشش",IF(D448&lt;DATE(2019,11,30),2,10),
"كشك (تجاري/صناعي)",IF(D448&lt;DATE(2019,11,30),10,50),
"ردم",20,
0)))</f>
        <v>3360</v>
      </c>
      <c r="AC448" s="1" cm="1">
        <f t="array" aca="1" ref="AC448" ca="1">IF(Y448&lt;DATE(2023,5,1),0,
IF(J448="زراعة",
K448*
(
INT((Y448-MAX(DATE(2023,5,1),D448))/365)
+
CEILING(MOD((Y448-MAX(DATE(2023,5,1),D448))/365,1),0.25)
)
*3,
IF(J448="ردم",
K448*20,
K448*
(
DATEDIF(MAX(DATE(2023,5,1),D448),Y448,"m")+1
)
*
_xlfn.SWITCH(J448,
"موقف/تندة",6,
"تشوينات",4,
"مشاتل",2,
"رسو مراكب",6,
"مباني",3,
"عشش",1,
"كشك (تجاري/صناعي)",20,
"مواسير صرف صحي (&lt;1م)",16,
"مواسير صرف صحي (&gt;1م)",18,
0))))</f>
        <v>3330</v>
      </c>
      <c r="AD448" s="1">
        <f t="shared" ca="1" si="39"/>
        <v>55</v>
      </c>
    </row>
    <row r="449" spans="1:30" ht="18.75" x14ac:dyDescent="0.25">
      <c r="A449" s="52">
        <v>405</v>
      </c>
      <c r="B449" s="6">
        <v>149</v>
      </c>
      <c r="C449" s="6">
        <v>2017</v>
      </c>
      <c r="D449" s="7">
        <v>43012</v>
      </c>
      <c r="E449" s="12"/>
      <c r="F449" s="6"/>
      <c r="G449" s="3" t="s">
        <v>510</v>
      </c>
      <c r="H449" s="6"/>
      <c r="I449" s="6" t="s">
        <v>578</v>
      </c>
      <c r="J449" s="3" t="s">
        <v>438</v>
      </c>
      <c r="K449" s="6">
        <v>100</v>
      </c>
      <c r="L449" s="3" t="s">
        <v>90</v>
      </c>
      <c r="M449" s="7"/>
      <c r="N449" s="6"/>
      <c r="O449" s="9">
        <f>0.47*Table2[[#This Row],[قيمة المحضر]]</f>
        <v>0</v>
      </c>
      <c r="P449" s="9">
        <f>0.17*Table2[[#This Row],[قيمة المحضر]]</f>
        <v>0</v>
      </c>
      <c r="Q449" s="9">
        <f t="shared" ca="1" si="40"/>
        <v>38000</v>
      </c>
      <c r="R449" s="3"/>
      <c r="S449" s="3"/>
      <c r="T449" s="9" t="str">
        <f t="shared" si="41"/>
        <v>-</v>
      </c>
      <c r="U449" s="3" t="s">
        <v>25</v>
      </c>
      <c r="V449" s="9" t="str">
        <f t="shared" si="42"/>
        <v>-</v>
      </c>
      <c r="W449" s="4"/>
      <c r="X449" s="38"/>
      <c r="Y449" s="1">
        <f t="shared" ca="1" si="38"/>
        <v>46162</v>
      </c>
      <c r="Z449" s="1" cm="1">
        <f t="array" ref="Z449">IF(D449&gt;DATE(2015,5,16),0,
K449*
(
INT((MIN(Y449,DATE(2015,5,16))-D449)/365)
+
CEILING(MOD((MIN(Y449,DATE(2015,5,16))-D449)/365,1),0.25)
)
*
_xlfn.SWITCH(J449,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49" s="1" cm="1">
        <f t="array" aca="1" ref="AA449" ca="1">IF(Y449&lt;DATE(2015,5,17),0,
K449*
(
INT((MIN(Y449,DATE(2018,9,23))-MAX(D449,DATE(2015,5,17)))/365)
+
CEILING(MOD((MIN(Y449,DATE(2018,9,23))-MAX(D449,DATE(2015,5,17)))/365,1),0.25)
)
*
_xlfn.SWITCH(J449,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800</v>
      </c>
      <c r="AB449" s="1" cm="1">
        <f t="array" aca="1" ref="AB449" ca="1">IF(Y449&lt;DATE(2018,9,24),0,
IF(J449="زراعة",
K449*
(
INT((MIN(Y449,DATE(2023,4,30))-MAX(D449,DATE(2018,9,24)))/365)
+
CEILING(MOD((MIN(Y449,DATE(2023,4,30))-MAX(D449,DATE(2018,9,24)))/365,1),0.25)
)
*1,
K449*
(
DATEDIF(MAX(D449,DATE(2018,9,24)),MIN(Y449,DATE(2023,4,30)),"m")+1
)
*
_xlfn.SWITCH(J449,
"موقف/تندة",IF(D449&lt;DATE(2019,11,30),6,30),
"تشوينات",IF(D449&lt;DATE(2019,11,30),4,20),
"مشاتل",IF(D449&lt;DATE(2019,11,30),2,10),
"كافيتيريا",IF(D449&lt;DATE(2019,11,30),30,150),
"نوادي",IF(D449&lt;DATE(2019,11,30),6,30),
"رسو مراكب",IF(D449&lt;DATE(2019,11,30),2,10),
"مباني",IF(D449&lt;DATE(2018,9,24),2,10),
"عشش",IF(D449&lt;DATE(2019,11,30),2,10),
"كشك (تجاري/صناعي)",IF(D449&lt;DATE(2019,11,30),10,50),
"ردم",20,
0)))</f>
        <v>22400</v>
      </c>
      <c r="AC449" s="1" cm="1">
        <f t="array" aca="1" ref="AC449" ca="1">IF(Y449&lt;DATE(2023,5,1),0,
IF(J449="زراعة",
K449*
(
INT((Y449-MAX(DATE(2023,5,1),D449))/365)
+
CEILING(MOD((Y449-MAX(DATE(2023,5,1),D449))/365,1),0.25)
)
*3,
IF(J449="ردم",
K449*20,
K449*
(
DATEDIF(MAX(DATE(2023,5,1),D449),Y449,"m")+1
)
*
_xlfn.SWITCH(J449,
"موقف/تندة",6,
"تشوينات",4,
"مشاتل",2,
"رسو مراكب",6,
"مباني",3,
"عشش",1,
"كشك (تجاري/صناعي)",20,
"مواسير صرف صحي (&lt;1م)",16,
"مواسير صرف صحي (&gt;1م)",18,
0))))</f>
        <v>14800</v>
      </c>
      <c r="AD449" s="1">
        <f t="shared" ca="1" si="39"/>
        <v>55</v>
      </c>
    </row>
    <row r="450" spans="1:30" ht="19.5" thickBot="1" x14ac:dyDescent="0.3">
      <c r="A450" s="52">
        <v>406</v>
      </c>
      <c r="B450" s="40">
        <v>150</v>
      </c>
      <c r="C450" s="40">
        <v>2017</v>
      </c>
      <c r="D450" s="41">
        <v>43012</v>
      </c>
      <c r="E450" s="42"/>
      <c r="F450" s="40"/>
      <c r="G450" s="40" t="s">
        <v>511</v>
      </c>
      <c r="H450" s="40"/>
      <c r="I450" s="40" t="s">
        <v>578</v>
      </c>
      <c r="J450" s="40" t="s">
        <v>438</v>
      </c>
      <c r="K450" s="40">
        <v>200</v>
      </c>
      <c r="L450" s="40" t="s">
        <v>90</v>
      </c>
      <c r="M450" s="41"/>
      <c r="N450" s="40"/>
      <c r="O450" s="43">
        <f>0.47*Table2[[#This Row],[قيمة المحضر]]</f>
        <v>0</v>
      </c>
      <c r="P450" s="43">
        <f>0.17*Table2[[#This Row],[قيمة المحضر]]</f>
        <v>0</v>
      </c>
      <c r="Q450" s="43">
        <f t="shared" ca="1" si="40"/>
        <v>76000</v>
      </c>
      <c r="R450" s="40"/>
      <c r="S450" s="40"/>
      <c r="T450" s="43" t="str">
        <f t="shared" si="41"/>
        <v>-</v>
      </c>
      <c r="U450" s="40" t="s">
        <v>25</v>
      </c>
      <c r="V450" s="43" t="str">
        <f t="shared" si="42"/>
        <v>-</v>
      </c>
      <c r="W450" s="44"/>
      <c r="X450" s="45"/>
      <c r="Y450" s="1">
        <f t="shared" ca="1" si="38"/>
        <v>46162</v>
      </c>
      <c r="Z450" s="1" cm="1">
        <f t="array" ref="Z450">IF(D450&gt;DATE(2015,5,16),0,
K450*
(
INT((MIN(Y450,DATE(2015,5,16))-D450)/365)
+
CEILING(MOD((MIN(Y450,DATE(2015,5,16))-D450)/365,1),0.25)
)
*
_xlfn.SWITCH(J450,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50" s="1" cm="1">
        <f t="array" aca="1" ref="AA450" ca="1">IF(Y450&lt;DATE(2015,5,17),0,
K450*
(
INT((MIN(Y450,DATE(2018,9,23))-MAX(D450,DATE(2015,5,17)))/365)
+
CEILING(MOD((MIN(Y450,DATE(2018,9,23))-MAX(D450,DATE(2015,5,17)))/365,1),0.25)
)
*
_xlfn.SWITCH(J450,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1600</v>
      </c>
      <c r="AB450" s="1" cm="1">
        <f t="array" aca="1" ref="AB450" ca="1">IF(Y450&lt;DATE(2018,9,24),0,
IF(J450="زراعة",
K450*
(
INT((MIN(Y450,DATE(2023,4,30))-MAX(D450,DATE(2018,9,24)))/365)
+
CEILING(MOD((MIN(Y450,DATE(2023,4,30))-MAX(D450,DATE(2018,9,24)))/365,1),0.25)
)
*1,
K450*
(
DATEDIF(MAX(D450,DATE(2018,9,24)),MIN(Y450,DATE(2023,4,30)),"m")+1
)
*
_xlfn.SWITCH(J450,
"موقف/تندة",IF(D450&lt;DATE(2019,11,30),6,30),
"تشوينات",IF(D450&lt;DATE(2019,11,30),4,20),
"مشاتل",IF(D450&lt;DATE(2019,11,30),2,10),
"كافيتيريا",IF(D450&lt;DATE(2019,11,30),30,150),
"نوادي",IF(D450&lt;DATE(2019,11,30),6,30),
"رسو مراكب",IF(D450&lt;DATE(2019,11,30),2,10),
"مباني",IF(D450&lt;DATE(2018,9,24),2,10),
"عشش",IF(D450&lt;DATE(2019,11,30),2,10),
"كشك (تجاري/صناعي)",IF(D450&lt;DATE(2019,11,30),10,50),
"ردم",20,
0)))</f>
        <v>44800</v>
      </c>
      <c r="AC450" s="1" cm="1">
        <f t="array" aca="1" ref="AC450" ca="1">IF(Y450&lt;DATE(2023,5,1),0,
IF(J450="زراعة",
K450*
(
INT((Y450-MAX(DATE(2023,5,1),D450))/365)
+
CEILING(MOD((Y450-MAX(DATE(2023,5,1),D450))/365,1),0.25)
)
*3,
IF(J450="ردم",
K450*20,
K450*
(
DATEDIF(MAX(DATE(2023,5,1),D450),Y450,"m")+1
)
*
_xlfn.SWITCH(J450,
"موقف/تندة",6,
"تشوينات",4,
"مشاتل",2,
"رسو مراكب",6,
"مباني",3,
"عشش",1,
"كشك (تجاري/صناعي)",20,
"مواسير صرف صحي (&lt;1م)",16,
"مواسير صرف صحي (&gt;1م)",18,
0))))</f>
        <v>29600</v>
      </c>
      <c r="AD450" s="1">
        <f t="shared" ca="1" si="39"/>
        <v>55</v>
      </c>
    </row>
    <row r="451" spans="1:30" ht="18.75" x14ac:dyDescent="0.25">
      <c r="A451" s="46">
        <v>407</v>
      </c>
      <c r="B451" s="47">
        <v>1</v>
      </c>
      <c r="C451" s="47">
        <v>2018</v>
      </c>
      <c r="D451" s="48">
        <v>43103</v>
      </c>
      <c r="E451" s="49"/>
      <c r="F451" s="47"/>
      <c r="G451" s="47" t="s">
        <v>581</v>
      </c>
      <c r="H451" s="47"/>
      <c r="I451" s="47" t="s">
        <v>33</v>
      </c>
      <c r="J451" s="31" t="s">
        <v>28</v>
      </c>
      <c r="K451" s="47">
        <v>9</v>
      </c>
      <c r="L451" s="31" t="s">
        <v>88</v>
      </c>
      <c r="M451" s="48"/>
      <c r="N451" s="47"/>
      <c r="O451" s="34">
        <f>0.47*Table2[[#This Row],[قيمة المحضر]]</f>
        <v>0</v>
      </c>
      <c r="P451" s="34">
        <f>0.17*Table2[[#This Row],[قيمة المحضر]]</f>
        <v>0</v>
      </c>
      <c r="Q451" s="34">
        <f t="shared" ca="1" si="40"/>
        <v>1368</v>
      </c>
      <c r="R451" s="31"/>
      <c r="S451" s="31"/>
      <c r="T451" s="34" t="str">
        <f t="shared" si="41"/>
        <v>-</v>
      </c>
      <c r="U451" s="31" t="s">
        <v>25</v>
      </c>
      <c r="V451" s="34" t="str">
        <f t="shared" si="42"/>
        <v>-</v>
      </c>
      <c r="W451" s="35"/>
      <c r="X451" s="36"/>
      <c r="Y451" s="1">
        <f t="shared" ref="Y451:Y514" ca="1" si="43">IF(M451="",TODAY(),M451)</f>
        <v>46162</v>
      </c>
      <c r="Z451" s="1" cm="1">
        <f t="array" ref="Z451">IF(D451&gt;DATE(2015,5,16),0,
K451*
(
INT((MIN(Y451,DATE(2015,5,16))-D451)/365)
+
CEILING(MOD((MIN(Y451,DATE(2015,5,16))-D451)/365,1),0.25)
)
*
_xlfn.SWITCH(J451,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51" s="1" cm="1">
        <f t="array" aca="1" ref="AA451" ca="1">IF(Y451&lt;DATE(2015,5,17),0,
K451*
(
INT((MIN(Y451,DATE(2018,9,23))-MAX(D451,DATE(2015,5,17)))/365)
+
CEILING(MOD((MIN(Y451,DATE(2018,9,23))-MAX(D451,DATE(2015,5,17)))/365,1),0.25)
)
*
_xlfn.SWITCH(J451,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27</v>
      </c>
      <c r="AB451" s="1" cm="1">
        <f t="array" aca="1" ref="AB451" ca="1">IF(Y451&lt;DATE(2018,9,24),0,
IF(J451="زراعة",
K451*
(
INT((MIN(Y451,DATE(2023,4,30))-MAX(D451,DATE(2018,9,24)))/365)
+
CEILING(MOD((MIN(Y451,DATE(2023,4,30))-MAX(D451,DATE(2018,9,24)))/365,1),0.25)
)
*1,
K451*
(
DATEDIF(MAX(D451,DATE(2018,9,24)),MIN(Y451,DATE(2023,4,30)),"m")+1
)
*
_xlfn.SWITCH(J451,
"موقف/تندة",IF(D451&lt;DATE(2019,11,30),6,30),
"تشوينات",IF(D451&lt;DATE(2019,11,30),4,20),
"مشاتل",IF(D451&lt;DATE(2019,11,30),2,10),
"كافيتيريا",IF(D451&lt;DATE(2019,11,30),30,150),
"نوادي",IF(D451&lt;DATE(2019,11,30),6,30),
"رسو مراكب",IF(D451&lt;DATE(2019,11,30),2,10),
"مباني",IF(D451&lt;DATE(2018,9,24),2,10),
"عشش",IF(D451&lt;DATE(2019,11,30),2,10),
"كشك (تجاري/صناعي)",IF(D451&lt;DATE(2019,11,30),10,50),
"ردم",20,
0)))</f>
        <v>1008</v>
      </c>
      <c r="AC451" s="1" cm="1">
        <f t="array" aca="1" ref="AC451" ca="1">IF(Y451&lt;DATE(2023,5,1),0,
IF(J451="زراعة",
K451*
(
INT((Y451-MAX(DATE(2023,5,1),D451))/365)
+
CEILING(MOD((Y451-MAX(DATE(2023,5,1),D451))/365,1),0.25)
)
*3,
IF(J451="ردم",
K451*20,
K451*
(
DATEDIF(MAX(DATE(2023,5,1),D451),Y451,"m")+1
)
*
_xlfn.SWITCH(J451,
"موقف/تندة",6,
"تشوينات",4,
"مشاتل",2,
"رسو مراكب",6,
"مباني",3,
"عشش",1,
"كشك (تجاري/صناعي)",20,
"مواسير صرف صحي (&lt;1م)",16,
"مواسير صرف صحي (&gt;1م)",18,
0))))</f>
        <v>333</v>
      </c>
      <c r="AD451" s="1">
        <f t="shared" ref="AD451:AD514" ca="1" si="44">DATEDIF(MAX(D451,DATE(2018,9,24)),MIN(Y451,DATE(2023,4,30)),"m")</f>
        <v>55</v>
      </c>
    </row>
    <row r="452" spans="1:30" ht="18.75" x14ac:dyDescent="0.25">
      <c r="A452" s="52">
        <v>408</v>
      </c>
      <c r="B452" s="82">
        <v>2</v>
      </c>
      <c r="C452" s="6">
        <v>2018</v>
      </c>
      <c r="D452" s="7">
        <v>43103</v>
      </c>
      <c r="E452" s="12" t="s">
        <v>634</v>
      </c>
      <c r="F452" s="6"/>
      <c r="G452" s="6" t="s">
        <v>582</v>
      </c>
      <c r="H452" s="6"/>
      <c r="I452" s="6" t="s">
        <v>33</v>
      </c>
      <c r="J452" s="3" t="s">
        <v>28</v>
      </c>
      <c r="K452" s="6">
        <v>50</v>
      </c>
      <c r="L452" s="3" t="s">
        <v>90</v>
      </c>
      <c r="M452" s="7"/>
      <c r="N452" s="6"/>
      <c r="O452" s="9">
        <f>0.47*Table2[[#This Row],[قيمة المحضر]]</f>
        <v>0</v>
      </c>
      <c r="P452" s="9">
        <f>0.17*Table2[[#This Row],[قيمة المحضر]]</f>
        <v>0</v>
      </c>
      <c r="Q452" s="9">
        <f t="shared" ca="1" si="40"/>
        <v>7600</v>
      </c>
      <c r="R452" s="3"/>
      <c r="S452" s="3"/>
      <c r="T452" s="9" t="str">
        <f>IF(R452="تم الحجز",Q452+O452+N452,"-")</f>
        <v>-</v>
      </c>
      <c r="U452" s="3" t="s">
        <v>25</v>
      </c>
      <c r="V452" s="9" t="str">
        <f>IF(OR(U452="قائم",U452="قائم و سدد مقابل انتفاع"),"-",
IF(U452="تم رد الشئ لأصله",P452+Q452,
IF(U452="ازالة جبرية",N452+O452+Q452,"")))</f>
        <v>-</v>
      </c>
      <c r="W452" s="4"/>
      <c r="X452" s="38"/>
      <c r="Y452" s="1">
        <f t="shared" ca="1" si="43"/>
        <v>46162</v>
      </c>
      <c r="Z452" s="1" cm="1">
        <f t="array" ref="Z452">IF(D452&gt;DATE(2015,5,16),0,
K452*
(
INT((MIN(Y452,DATE(2015,5,16))-D452)/365)
+
CEILING(MOD((MIN(Y452,DATE(2015,5,16))-D452)/365,1),0.25)
)
*
_xlfn.SWITCH(J452,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52" s="1" cm="1">
        <f t="array" aca="1" ref="AA452" ca="1">IF(Y452&lt;DATE(2015,5,17),0,
K452*
(
INT((MIN(Y452,DATE(2018,9,23))-MAX(D452,DATE(2015,5,17)))/365)
+
CEILING(MOD((MIN(Y452,DATE(2018,9,23))-MAX(D452,DATE(2015,5,17)))/365,1),0.25)
)
*
_xlfn.SWITCH(J452,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150</v>
      </c>
      <c r="AB452" s="1" cm="1">
        <f t="array" aca="1" ref="AB452" ca="1">IF(Y452&lt;DATE(2018,9,24),0,
IF(J452="زراعة",
K452*
(
INT((MIN(Y452,DATE(2023,4,30))-MAX(D452,DATE(2018,9,24)))/365)
+
CEILING(MOD((MIN(Y452,DATE(2023,4,30))-MAX(D452,DATE(2018,9,24)))/365,1),0.25)
)
*1,
K452*
(
DATEDIF(MAX(D452,DATE(2018,9,24)),MIN(Y452,DATE(2023,4,30)),"m")+1
)
*
_xlfn.SWITCH(J452,
"موقف/تندة",IF(D452&lt;DATE(2019,11,30),6,30),
"تشوينات",IF(D452&lt;DATE(2019,11,30),4,20),
"مشاتل",IF(D452&lt;DATE(2019,11,30),2,10),
"كافيتيريا",IF(D452&lt;DATE(2019,11,30),30,150),
"نوادي",IF(D452&lt;DATE(2019,11,30),6,30),
"رسو مراكب",IF(D452&lt;DATE(2019,11,30),2,10),
"مباني",IF(D452&lt;DATE(2018,9,24),2,10),
"عشش",IF(D452&lt;DATE(2019,11,30),2,10),
"كشك (تجاري/صناعي)",IF(D452&lt;DATE(2019,11,30),10,50),
"ردم",20,
0)))</f>
        <v>5600</v>
      </c>
      <c r="AC452" s="1" cm="1">
        <f t="array" aca="1" ref="AC452" ca="1">IF(Y452&lt;DATE(2023,5,1),0,
IF(J452="زراعة",
K452*
(
INT((Y452-MAX(DATE(2023,5,1),D452))/365)
+
CEILING(MOD((Y452-MAX(DATE(2023,5,1),D452))/365,1),0.25)
)
*3,
IF(J452="ردم",
K452*20,
K452*
(
DATEDIF(MAX(DATE(2023,5,1),D452),Y452,"m")+1
)
*
_xlfn.SWITCH(J452,
"موقف/تندة",6,
"تشوينات",4,
"مشاتل",2,
"رسو مراكب",6,
"مباني",3,
"عشش",1,
"كشك (تجاري/صناعي)",20,
"مواسير صرف صحي (&lt;1م)",16,
"مواسير صرف صحي (&gt;1م)",18,
0))))</f>
        <v>1850</v>
      </c>
      <c r="AD452" s="1">
        <f t="shared" ca="1" si="44"/>
        <v>55</v>
      </c>
    </row>
    <row r="453" spans="1:30" ht="18.75" x14ac:dyDescent="0.25">
      <c r="A453" s="52">
        <v>408</v>
      </c>
      <c r="B453" s="82">
        <v>2</v>
      </c>
      <c r="C453" s="6">
        <v>2018</v>
      </c>
      <c r="D453" s="7">
        <v>43103</v>
      </c>
      <c r="E453" s="12" t="s">
        <v>634</v>
      </c>
      <c r="F453" s="6"/>
      <c r="G453" s="6" t="s">
        <v>582</v>
      </c>
      <c r="H453" s="6"/>
      <c r="I453" s="6" t="s">
        <v>33</v>
      </c>
      <c r="J453" s="3" t="s">
        <v>77</v>
      </c>
      <c r="K453" s="6">
        <v>50</v>
      </c>
      <c r="L453" s="3" t="s">
        <v>90</v>
      </c>
      <c r="M453" s="7"/>
      <c r="N453" s="6"/>
      <c r="O453" s="9">
        <f>0.47*Table2[[#This Row],[قيمة المحضر]]</f>
        <v>0</v>
      </c>
      <c r="P453" s="9">
        <f>0.17*Table2[[#This Row],[قيمة المحضر]]</f>
        <v>0</v>
      </c>
      <c r="Q453" s="9">
        <f t="shared" ca="1" si="40"/>
        <v>57750</v>
      </c>
      <c r="R453" s="3"/>
      <c r="S453" s="3"/>
      <c r="T453" s="9" t="str">
        <f>IF(R453="تم الحجز",Q453+O453+N453,"-")</f>
        <v>-</v>
      </c>
      <c r="U453" s="3" t="s">
        <v>25</v>
      </c>
      <c r="V453" s="9" t="str">
        <f>IF(OR(U453="قائم",U453="قائم و سدد مقابل انتفاع"),"-",
IF(U453="تم رد الشئ لأصله",P453+Q453,
IF(U453="ازالة جبرية",N453+O453+Q453,"")))</f>
        <v>-</v>
      </c>
      <c r="W453" s="4"/>
      <c r="X453" s="38"/>
      <c r="Y453" s="1">
        <f t="shared" ca="1" si="43"/>
        <v>46162</v>
      </c>
      <c r="Z453" s="1" cm="1">
        <f t="array" ref="Z453">IF(D453&gt;DATE(2015,5,16),0,
K453*
(
INT((MIN(Y453,DATE(2015,5,16))-D453)/365)
+
CEILING(MOD((MIN(Y453,DATE(2015,5,16))-D453)/365,1),0.25)
)
*
_xlfn.SWITCH(J453,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53" s="1" cm="1">
        <f t="array" aca="1" ref="AA453" ca="1">IF(Y453&lt;DATE(2015,5,17),0,
K453*
(
INT((MIN(Y453,DATE(2018,9,23))-MAX(D453,DATE(2015,5,17)))/365)
+
CEILING(MOD((MIN(Y453,DATE(2018,9,23))-MAX(D453,DATE(2015,5,17)))/365,1),0.25)
)
*
_xlfn.SWITCH(J453,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750</v>
      </c>
      <c r="AB453" s="1" cm="1">
        <f t="array" aca="1" ref="AB453" ca="1">IF(Y453&lt;DATE(2018,9,24),0,
IF(J453="زراعة",
K453*
(
INT((MIN(Y453,DATE(2023,4,30))-MAX(D453,DATE(2018,9,24)))/365)
+
CEILING(MOD((MIN(Y453,DATE(2023,4,30))-MAX(D453,DATE(2018,9,24)))/365,1),0.25)
)
*1,
K453*
(
DATEDIF(MAX(D453,DATE(2018,9,24)),MIN(Y453,DATE(2023,4,30)),"m")+1
)
*
_xlfn.SWITCH(J453,
"موقف/تندة",IF(D453&lt;DATE(2019,11,30),6,30),
"تشوينات",IF(D453&lt;DATE(2019,11,30),4,20),
"مشاتل",IF(D453&lt;DATE(2019,11,30),2,10),
"كافيتيريا",IF(D453&lt;DATE(2019,11,30),30,150),
"نوادي",IF(D453&lt;DATE(2019,11,30),6,30),
"رسو مراكب",IF(D453&lt;DATE(2019,11,30),2,10),
"مباني",IF(D453&lt;DATE(2018,9,24),2,10),
"عشش",IF(D453&lt;DATE(2019,11,30),2,10),
"كشك (تجاري/صناعي)",IF(D453&lt;DATE(2019,11,30),10,50),
"ردم",20,
0)))</f>
        <v>56000</v>
      </c>
      <c r="AC453" s="1" cm="1">
        <f t="array" aca="1" ref="AC453" ca="1">IF(Y453&lt;DATE(2023,5,1),0,
IF(J453="زراعة",
K453*
(
INT((Y453-MAX(DATE(2023,5,1),D453))/365)
+
CEILING(MOD((Y453-MAX(DATE(2023,5,1),D453))/365,1),0.25)
)
*3,
IF(J453="ردم",
K453*20,
K453*
(
DATEDIF(MAX(DATE(2023,5,1),D453),Y453,"m")+1
)
*
_xlfn.SWITCH(J453,
"موقف/تندة",6,
"تشوينات",4,
"مشاتل",2,
"رسو مراكب",6,
"مباني",3,
"عشش",1,
"كشك (تجاري/صناعي)",20,
"مواسير صرف صحي (&lt;1م)",16,
"مواسير صرف صحي (&gt;1م)",18,
0))))</f>
        <v>1000</v>
      </c>
      <c r="AD453" s="1">
        <f t="shared" ca="1" si="44"/>
        <v>55</v>
      </c>
    </row>
    <row r="454" spans="1:30" ht="18.75" x14ac:dyDescent="0.25">
      <c r="A454" s="52">
        <v>409</v>
      </c>
      <c r="B454" s="6">
        <v>3</v>
      </c>
      <c r="C454" s="6">
        <v>2018</v>
      </c>
      <c r="D454" s="7">
        <v>43103</v>
      </c>
      <c r="E454" s="12"/>
      <c r="F454" s="6"/>
      <c r="G454" s="6" t="s">
        <v>583</v>
      </c>
      <c r="H454" s="6"/>
      <c r="I454" s="6" t="s">
        <v>669</v>
      </c>
      <c r="J454" s="3" t="s">
        <v>146</v>
      </c>
      <c r="K454" s="6">
        <v>250</v>
      </c>
      <c r="L454" s="3" t="s">
        <v>368</v>
      </c>
      <c r="M454" s="7"/>
      <c r="N454" s="6"/>
      <c r="O454" s="9">
        <f>0.47*Table2[[#This Row],[قيمة المحضر]]</f>
        <v>0</v>
      </c>
      <c r="P454" s="9">
        <f>0.17*Table2[[#This Row],[قيمة المحضر]]</f>
        <v>0</v>
      </c>
      <c r="Q454" s="9">
        <f t="shared" ca="1" si="40"/>
        <v>3681.25</v>
      </c>
      <c r="R454" s="3"/>
      <c r="S454" s="3"/>
      <c r="T454" s="9" t="str">
        <f>IF(R454="تم الحجز",Q454+O454+N454,"-")</f>
        <v>-</v>
      </c>
      <c r="U454" s="3" t="s">
        <v>25</v>
      </c>
      <c r="V454" s="9" t="str">
        <f>IF(OR(U454="قائم",U454="قائم و سدد مقابل انتفاع"),"-",
IF(U454="تم رد الشئ لأصله",P454+Q454,
IF(U454="ازالة جبرية",N454+O454+Q454,"")))</f>
        <v>-</v>
      </c>
      <c r="W454" s="4"/>
      <c r="X454" s="38"/>
      <c r="Y454" s="1">
        <f t="shared" ca="1" si="43"/>
        <v>46162</v>
      </c>
      <c r="Z454" s="1" cm="1">
        <f t="array" ref="Z454">IF(D454&gt;DATE(2015,5,16),0,
K454*
(
INT((MIN(Y454,DATE(2015,5,16))-D454)/365)
+
CEILING(MOD((MIN(Y454,DATE(2015,5,16))-D454)/365,1),0.25)
)
*
_xlfn.SWITCH(J454,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54" s="1" cm="1">
        <f t="array" aca="1" ref="AA454" ca="1">IF(Y454&lt;DATE(2015,5,17),0,
K454*
(
INT((MIN(Y454,DATE(2018,9,23))-MAX(D454,DATE(2015,5,17)))/365)
+
CEILING(MOD((MIN(Y454,DATE(2018,9,23))-MAX(D454,DATE(2015,5,17)))/365,1),0.25)
)
*
_xlfn.SWITCH(J454,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56.25</v>
      </c>
      <c r="AB454" s="1" cm="1">
        <f t="array" aca="1" ref="AB454" ca="1">IF(Y454&lt;DATE(2018,9,24),0,
IF(J454="زراعة",
K454*
(
INT((MIN(Y454,DATE(2023,4,30))-MAX(D454,DATE(2018,9,24)))/365)
+
CEILING(MOD((MIN(Y454,DATE(2023,4,30))-MAX(D454,DATE(2018,9,24)))/365,1),0.25)
)
*1,
K454*
(
DATEDIF(MAX(D454,DATE(2018,9,24)),MIN(Y454,DATE(2023,4,30)),"m")+1
)
*
_xlfn.SWITCH(J454,
"موقف/تندة",IF(D454&lt;DATE(2019,11,30),6,30),
"تشوينات",IF(D454&lt;DATE(2019,11,30),4,20),
"مشاتل",IF(D454&lt;DATE(2019,11,30),2,10),
"كافيتيريا",IF(D454&lt;DATE(2019,11,30),30,150),
"نوادي",IF(D454&lt;DATE(2019,11,30),6,30),
"رسو مراكب",IF(D454&lt;DATE(2019,11,30),2,10),
"مباني",IF(D454&lt;DATE(2018,9,24),2,10),
"عشش",IF(D454&lt;DATE(2019,11,30),2,10),
"كشك (تجاري/صناعي)",IF(D454&lt;DATE(2019,11,30),10,50),
"ردم",20,
0)))</f>
        <v>1187.5</v>
      </c>
      <c r="AC454" s="1" cm="1">
        <f t="array" aca="1" ref="AC454" ca="1">IF(Y454&lt;DATE(2023,5,1),0,
IF(J454="زراعة",
K454*
(
INT((Y454-MAX(DATE(2023,5,1),D454))/365)
+
CEILING(MOD((Y454-MAX(DATE(2023,5,1),D454))/365,1),0.25)
)
*3,
IF(J454="ردم",
K454*20,
K454*
(
DATEDIF(MAX(DATE(2023,5,1),D454),Y454,"m")+1
)
*
_xlfn.SWITCH(J454,
"موقف/تندة",6,
"تشوينات",4,
"مشاتل",2,
"رسو مراكب",6,
"مباني",3,
"عشش",1,
"كشك (تجاري/صناعي)",20,
"مواسير صرف صحي (&lt;1م)",16,
"مواسير صرف صحي (&gt;1م)",18,
0))))</f>
        <v>2437.5</v>
      </c>
      <c r="AD454" s="1">
        <f t="shared" ca="1" si="44"/>
        <v>55</v>
      </c>
    </row>
    <row r="455" spans="1:30" ht="18.75" x14ac:dyDescent="0.25">
      <c r="A455" s="52">
        <v>410</v>
      </c>
      <c r="B455" s="6">
        <v>4</v>
      </c>
      <c r="C455" s="6">
        <v>2018</v>
      </c>
      <c r="D455" s="7">
        <v>43103</v>
      </c>
      <c r="E455" s="12" t="s">
        <v>635</v>
      </c>
      <c r="F455" s="6"/>
      <c r="G455" s="6" t="s">
        <v>584</v>
      </c>
      <c r="H455" s="6"/>
      <c r="I455" s="6" t="s">
        <v>105</v>
      </c>
      <c r="J455" s="3" t="s">
        <v>29</v>
      </c>
      <c r="K455" s="6">
        <v>15</v>
      </c>
      <c r="L455" s="3" t="s">
        <v>368</v>
      </c>
      <c r="M455" s="7"/>
      <c r="N455" s="6"/>
      <c r="O455" s="9">
        <f>0.47*Table2[[#This Row],[قيمة المحضر]]</f>
        <v>0</v>
      </c>
      <c r="P455" s="9">
        <f>0.17*Table2[[#This Row],[قيمة المحضر]]</f>
        <v>0</v>
      </c>
      <c r="Q455" s="9">
        <f t="shared" ca="1" si="40"/>
        <v>20850</v>
      </c>
      <c r="R455" s="3"/>
      <c r="S455" s="3"/>
      <c r="T455" s="9" t="str">
        <f t="shared" ref="T455:T482" si="45">IF(R455="تم الحجز",Q455+O455+N456,"-")</f>
        <v>-</v>
      </c>
      <c r="U455" s="3" t="s">
        <v>25</v>
      </c>
      <c r="V455" s="9" t="str">
        <f t="shared" ref="V455:V482" si="46">IF(OR(U455="قائم",U455="قائم و سدد مقابل انتفاع"),"-",
IF(U455="تم رد الشئ لأصله",P455+Q455,
IF(U455="ازالة جبرية",N456+O455+Q455,"")))</f>
        <v>-</v>
      </c>
      <c r="W455" s="4"/>
      <c r="X455" s="38"/>
      <c r="Y455" s="1">
        <f t="shared" ca="1" si="43"/>
        <v>46162</v>
      </c>
      <c r="Z455" s="1" cm="1">
        <f t="array" ref="Z455">IF(D455&gt;DATE(2015,5,16),0,
K455*
(
INT((MIN(Y455,DATE(2015,5,16))-D455)/365)
+
CEILING(MOD((MIN(Y455,DATE(2015,5,16))-D455)/365,1),0.25)
)
*
_xlfn.SWITCH(J455,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55" s="1" cm="1">
        <f t="array" aca="1" ref="AA455" ca="1">IF(Y455&lt;DATE(2015,5,17),0,
K455*
(
INT((MIN(Y455,DATE(2018,9,23))-MAX(D455,DATE(2015,5,17)))/365)
+
CEILING(MOD((MIN(Y455,DATE(2018,9,23))-MAX(D455,DATE(2015,5,17)))/365,1),0.25)
)
*
_xlfn.SWITCH(J455,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1350</v>
      </c>
      <c r="AB455" s="1" cm="1">
        <f t="array" aca="1" ref="AB455" ca="1">IF(Y455&lt;DATE(2018,9,24),0,
IF(J455="زراعة",
K455*
(
INT((MIN(Y455,DATE(2023,4,30))-MAX(D455,DATE(2018,9,24)))/365)
+
CEILING(MOD((MIN(Y455,DATE(2023,4,30))-MAX(D455,DATE(2018,9,24)))/365,1),0.25)
)
*1,
K455*
(
DATEDIF(MAX(D455,DATE(2018,9,24)),MIN(Y455,DATE(2023,4,30)),"m")+1
)
*
_xlfn.SWITCH(J455,
"موقف/تندة",IF(D455&lt;DATE(2019,11,30),6,30),
"تشوينات",IF(D455&lt;DATE(2019,11,30),4,20),
"مشاتل",IF(D455&lt;DATE(2019,11,30),2,10),
"كافيتيريا",IF(D455&lt;DATE(2019,11,30),30,150),
"نوادي",IF(D455&lt;DATE(2019,11,30),6,30),
"رسو مراكب",IF(D455&lt;DATE(2019,11,30),2,10),
"مباني",IF(D455&lt;DATE(2018,9,24),2,10),
"عشش",IF(D455&lt;DATE(2019,11,30),2,10),
"كشك (تجاري/صناعي)",IF(D455&lt;DATE(2019,11,30),10,50),
"ردم",20,
0)))</f>
        <v>8400</v>
      </c>
      <c r="AC455" s="1" cm="1">
        <f t="array" aca="1" ref="AC455" ca="1">IF(Y455&lt;DATE(2023,5,1),0,
IF(J455="زراعة",
K455*
(
INT((Y455-MAX(DATE(2023,5,1),D455))/365)
+
CEILING(MOD((Y455-MAX(DATE(2023,5,1),D455))/365,1),0.25)
)
*3,
IF(J455="ردم",
K455*20,
K455*
(
DATEDIF(MAX(DATE(2023,5,1),D455),Y455,"m")+1
)
*
_xlfn.SWITCH(J455,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455" s="1">
        <f t="shared" ca="1" si="44"/>
        <v>55</v>
      </c>
    </row>
    <row r="456" spans="1:30" ht="18.75" x14ac:dyDescent="0.25">
      <c r="A456" s="52">
        <v>411</v>
      </c>
      <c r="B456" s="3">
        <v>5</v>
      </c>
      <c r="C456" s="6">
        <v>2018</v>
      </c>
      <c r="D456" s="7">
        <v>43103</v>
      </c>
      <c r="E456" s="11" t="s">
        <v>636</v>
      </c>
      <c r="F456" s="3"/>
      <c r="G456" s="3" t="s">
        <v>631</v>
      </c>
      <c r="H456" s="3"/>
      <c r="I456" s="6" t="s">
        <v>105</v>
      </c>
      <c r="J456" s="3" t="s">
        <v>29</v>
      </c>
      <c r="K456" s="3">
        <v>20</v>
      </c>
      <c r="L456" s="3" t="s">
        <v>368</v>
      </c>
      <c r="M456" s="2"/>
      <c r="N456" s="3"/>
      <c r="O456" s="9">
        <f>0.47*Table2[[#This Row],[قيمة المحضر]]</f>
        <v>0</v>
      </c>
      <c r="P456" s="9">
        <f>0.17*Table2[[#This Row],[قيمة المحضر]]</f>
        <v>0</v>
      </c>
      <c r="Q456" s="9">
        <f t="shared" ca="1" si="40"/>
        <v>27800</v>
      </c>
      <c r="R456" s="3"/>
      <c r="S456" s="3"/>
      <c r="T456" s="9" t="str">
        <f t="shared" si="45"/>
        <v>-</v>
      </c>
      <c r="U456" s="3" t="s">
        <v>25</v>
      </c>
      <c r="V456" s="9" t="str">
        <f t="shared" si="46"/>
        <v>-</v>
      </c>
      <c r="W456" s="4"/>
      <c r="X456" s="38"/>
      <c r="Y456" s="1">
        <f t="shared" ca="1" si="43"/>
        <v>46162</v>
      </c>
      <c r="Z456" s="1" cm="1">
        <f t="array" ref="Z456">IF(D456&gt;DATE(2015,5,16),0,
K456*
(
INT((MIN(Y456,DATE(2015,5,16))-D456)/365)
+
CEILING(MOD((MIN(Y456,DATE(2015,5,16))-D456)/365,1),0.25)
)
*
_xlfn.SWITCH(J456,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56" s="1" cm="1">
        <f t="array" aca="1" ref="AA456" ca="1">IF(Y456&lt;DATE(2015,5,17),0,
K456*
(
INT((MIN(Y456,DATE(2018,9,23))-MAX(D456,DATE(2015,5,17)))/365)
+
CEILING(MOD((MIN(Y456,DATE(2018,9,23))-MAX(D456,DATE(2015,5,17)))/365,1),0.25)
)
*
_xlfn.SWITCH(J456,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1800</v>
      </c>
      <c r="AB456" s="1" cm="1">
        <f t="array" aca="1" ref="AB456" ca="1">IF(Y456&lt;DATE(2018,9,24),0,
IF(J456="زراعة",
K456*
(
INT((MIN(Y456,DATE(2023,4,30))-MAX(D456,DATE(2018,9,24)))/365)
+
CEILING(MOD((MIN(Y456,DATE(2023,4,30))-MAX(D456,DATE(2018,9,24)))/365,1),0.25)
)
*1,
K456*
(
DATEDIF(MAX(D456,DATE(2018,9,24)),MIN(Y456,DATE(2023,4,30)),"m")+1
)
*
_xlfn.SWITCH(J456,
"موقف/تندة",IF(D456&lt;DATE(2019,11,30),6,30),
"تشوينات",IF(D456&lt;DATE(2019,11,30),4,20),
"مشاتل",IF(D456&lt;DATE(2019,11,30),2,10),
"كافيتيريا",IF(D456&lt;DATE(2019,11,30),30,150),
"نوادي",IF(D456&lt;DATE(2019,11,30),6,30),
"رسو مراكب",IF(D456&lt;DATE(2019,11,30),2,10),
"مباني",IF(D456&lt;DATE(2018,9,24),2,10),
"عشش",IF(D456&lt;DATE(2019,11,30),2,10),
"كشك (تجاري/صناعي)",IF(D456&lt;DATE(2019,11,30),10,50),
"ردم",20,
0)))</f>
        <v>11200</v>
      </c>
      <c r="AC456" s="1" cm="1">
        <f t="array" aca="1" ref="AC456" ca="1">IF(Y456&lt;DATE(2023,5,1),0,
IF(J456="زراعة",
K456*
(
INT((Y456-MAX(DATE(2023,5,1),D456))/365)
+
CEILING(MOD((Y456-MAX(DATE(2023,5,1),D456))/365,1),0.25)
)
*3,
IF(J456="ردم",
K456*20,
K456*
(
DATEDIF(MAX(DATE(2023,5,1),D456),Y456,"m")+1
)
*
_xlfn.SWITCH(J456,
"موقف/تندة",6,
"تشوينات",4,
"مشاتل",2,
"رسو مراكب",6,
"مباني",3,
"عشش",1,
"كشك (تجاري/صناعي)",20,
"مواسير صرف صحي (&lt;1م)",16,
"مواسير صرف صحي (&gt;1م)",18,
0))))</f>
        <v>14800</v>
      </c>
      <c r="AD456" s="1">
        <f t="shared" ca="1" si="44"/>
        <v>55</v>
      </c>
    </row>
    <row r="457" spans="1:30" ht="18.75" x14ac:dyDescent="0.25">
      <c r="A457" s="52">
        <v>412</v>
      </c>
      <c r="B457" s="3">
        <v>6</v>
      </c>
      <c r="C457" s="6">
        <v>2018</v>
      </c>
      <c r="D457" s="7">
        <v>43103</v>
      </c>
      <c r="E457" s="11"/>
      <c r="F457" s="3"/>
      <c r="G457" s="3" t="s">
        <v>585</v>
      </c>
      <c r="H457" s="3"/>
      <c r="I457" s="6" t="s">
        <v>105</v>
      </c>
      <c r="J457" s="3" t="s">
        <v>29</v>
      </c>
      <c r="K457" s="3">
        <v>20</v>
      </c>
      <c r="L457" s="3" t="s">
        <v>368</v>
      </c>
      <c r="M457" s="2"/>
      <c r="N457" s="3"/>
      <c r="O457" s="9">
        <f>0.47*Table2[[#This Row],[قيمة المحضر]]</f>
        <v>0</v>
      </c>
      <c r="P457" s="9">
        <f>0.17*Table2[[#This Row],[قيمة المحضر]]</f>
        <v>0</v>
      </c>
      <c r="Q457" s="9">
        <f t="shared" ca="1" si="40"/>
        <v>27800</v>
      </c>
      <c r="R457" s="3"/>
      <c r="S457" s="3"/>
      <c r="T457" s="9" t="str">
        <f t="shared" si="45"/>
        <v>-</v>
      </c>
      <c r="U457" s="3" t="s">
        <v>25</v>
      </c>
      <c r="V457" s="9" t="str">
        <f t="shared" si="46"/>
        <v>-</v>
      </c>
      <c r="W457" s="4"/>
      <c r="X457" s="38"/>
      <c r="Y457" s="1">
        <f t="shared" ca="1" si="43"/>
        <v>46162</v>
      </c>
      <c r="Z457" s="1" cm="1">
        <f t="array" ref="Z457">IF(D457&gt;DATE(2015,5,16),0,
K457*
(
INT((MIN(Y457,DATE(2015,5,16))-D457)/365)
+
CEILING(MOD((MIN(Y457,DATE(2015,5,16))-D457)/365,1),0.25)
)
*
_xlfn.SWITCH(J457,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57" s="1" cm="1">
        <f t="array" aca="1" ref="AA457" ca="1">IF(Y457&lt;DATE(2015,5,17),0,
K457*
(
INT((MIN(Y457,DATE(2018,9,23))-MAX(D457,DATE(2015,5,17)))/365)
+
CEILING(MOD((MIN(Y457,DATE(2018,9,23))-MAX(D457,DATE(2015,5,17)))/365,1),0.25)
)
*
_xlfn.SWITCH(J457,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1800</v>
      </c>
      <c r="AB457" s="1" cm="1">
        <f t="array" aca="1" ref="AB457" ca="1">IF(Y457&lt;DATE(2018,9,24),0,
IF(J457="زراعة",
K457*
(
INT((MIN(Y457,DATE(2023,4,30))-MAX(D457,DATE(2018,9,24)))/365)
+
CEILING(MOD((MIN(Y457,DATE(2023,4,30))-MAX(D457,DATE(2018,9,24)))/365,1),0.25)
)
*1,
K457*
(
DATEDIF(MAX(D457,DATE(2018,9,24)),MIN(Y457,DATE(2023,4,30)),"m")+1
)
*
_xlfn.SWITCH(J457,
"موقف/تندة",IF(D457&lt;DATE(2019,11,30),6,30),
"تشوينات",IF(D457&lt;DATE(2019,11,30),4,20),
"مشاتل",IF(D457&lt;DATE(2019,11,30),2,10),
"كافيتيريا",IF(D457&lt;DATE(2019,11,30),30,150),
"نوادي",IF(D457&lt;DATE(2019,11,30),6,30),
"رسو مراكب",IF(D457&lt;DATE(2019,11,30),2,10),
"مباني",IF(D457&lt;DATE(2018,9,24),2,10),
"عشش",IF(D457&lt;DATE(2019,11,30),2,10),
"كشك (تجاري/صناعي)",IF(D457&lt;DATE(2019,11,30),10,50),
"ردم",20,
0)))</f>
        <v>11200</v>
      </c>
      <c r="AC457" s="1" cm="1">
        <f t="array" aca="1" ref="AC457" ca="1">IF(Y457&lt;DATE(2023,5,1),0,
IF(J457="زراعة",
K457*
(
INT((Y457-MAX(DATE(2023,5,1),D457))/365)
+
CEILING(MOD((Y457-MAX(DATE(2023,5,1),D457))/365,1),0.25)
)
*3,
IF(J457="ردم",
K457*20,
K457*
(
DATEDIF(MAX(DATE(2023,5,1),D457),Y457,"m")+1
)
*
_xlfn.SWITCH(J457,
"موقف/تندة",6,
"تشوينات",4,
"مشاتل",2,
"رسو مراكب",6,
"مباني",3,
"عشش",1,
"كشك (تجاري/صناعي)",20,
"مواسير صرف صحي (&lt;1م)",16,
"مواسير صرف صحي (&gt;1م)",18,
0))))</f>
        <v>14800</v>
      </c>
      <c r="AD457" s="1">
        <f t="shared" ca="1" si="44"/>
        <v>55</v>
      </c>
    </row>
    <row r="458" spans="1:30" ht="18.75" x14ac:dyDescent="0.25">
      <c r="A458" s="52">
        <v>413</v>
      </c>
      <c r="B458" s="3">
        <v>7</v>
      </c>
      <c r="C458" s="6">
        <v>2018</v>
      </c>
      <c r="D458" s="7">
        <v>43103</v>
      </c>
      <c r="E458" s="11" t="s">
        <v>637</v>
      </c>
      <c r="F458" s="3"/>
      <c r="G458" s="3" t="s">
        <v>320</v>
      </c>
      <c r="H458" s="3"/>
      <c r="I458" s="6" t="s">
        <v>105</v>
      </c>
      <c r="J458" s="3" t="s">
        <v>671</v>
      </c>
      <c r="K458" s="3">
        <v>20</v>
      </c>
      <c r="L458" s="3" t="s">
        <v>90</v>
      </c>
      <c r="M458" s="2"/>
      <c r="N458" s="3"/>
      <c r="O458" s="9">
        <f>0.47*Table2[[#This Row],[قيمة المحضر]]</f>
        <v>0</v>
      </c>
      <c r="P458" s="9">
        <f>0.17*Table2[[#This Row],[قيمة المحضر]]</f>
        <v>0</v>
      </c>
      <c r="Q458" s="9">
        <f t="shared" ca="1" si="40"/>
        <v>34080</v>
      </c>
      <c r="R458" s="3"/>
      <c r="S458" s="3"/>
      <c r="T458" s="9" t="str">
        <f t="shared" si="45"/>
        <v>-</v>
      </c>
      <c r="U458" s="3" t="s">
        <v>25</v>
      </c>
      <c r="V458" s="9" t="str">
        <f t="shared" si="46"/>
        <v>-</v>
      </c>
      <c r="W458" s="4"/>
      <c r="X458" s="38"/>
      <c r="Y458" s="1">
        <f t="shared" ca="1" si="43"/>
        <v>46162</v>
      </c>
      <c r="Z458" s="1" cm="1">
        <f t="array" ref="Z458">IF(D458&gt;DATE(2015,5,16),0,
K458*
(
INT((MIN(Y458,DATE(2015,5,16))-D458)/365)
+
CEILING(MOD((MIN(Y458,DATE(2015,5,16))-D458)/365,1),0.25)
)
*
_xlfn.SWITCH(J458,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58" s="1" cm="1">
        <f t="array" aca="1" ref="AA458" ca="1">IF(Y458&lt;DATE(2015,5,17),0,
K458*
(
INT((MIN(Y458,DATE(2018,9,23))-MAX(D458,DATE(2015,5,17)))/365)
+
CEILING(MOD((MIN(Y458,DATE(2018,9,23))-MAX(D458,DATE(2015,5,17)))/365,1),0.25)
)
*
_xlfn.SWITCH(J458,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480</v>
      </c>
      <c r="AB458" s="1" cm="1">
        <f t="array" aca="1" ref="AB458" ca="1">IF(Y458&lt;DATE(2018,9,24),0,
IF(J458="زراعة",
K458*
(
INT((MIN(Y458,DATE(2023,4,30))-MAX(D458,DATE(2018,9,24)))/365)
+
CEILING(MOD((MIN(Y458,DATE(2023,4,30))-MAX(D458,DATE(2018,9,24)))/365,1),0.25)
)
*1,
K458*
(
DATEDIF(MAX(D458,DATE(2018,9,24)),MIN(Y458,DATE(2023,4,30)),"m")+1
)
*
_xlfn.SWITCH(J458,
"موقف/تندة",IF(D458&lt;DATE(2019,11,30),6,30),
"تشوينات",IF(D458&lt;DATE(2019,11,30),4,20),
"مشاتل",IF(D458&lt;DATE(2019,11,30),2,10),
"كافيتيريا",IF(D458&lt;DATE(2019,11,30),30,150),
"نوادي",IF(D458&lt;DATE(2019,11,30),6,30),
"رسو مراكب",IF(D458&lt;DATE(2019,11,30),2,10),
"مباني",IF(D458&lt;DATE(2018,9,24),2,10),
"عشش",IF(D458&lt;DATE(2019,11,30),2,10),
"كشك (تجاري/صناعي)",IF(D458&lt;DATE(2019,11,30),10,50),
"ردم",20,
0)))</f>
        <v>33600</v>
      </c>
      <c r="AC458" s="1" cm="1">
        <f t="array" aca="1" ref="AC458" ca="1">IF(Y458&lt;DATE(2023,5,1),0,
IF(J458="زراعة",
K458*
(
INT((Y458-MAX(DATE(2023,5,1),D458))/365)
+
CEILING(MOD((Y458-MAX(DATE(2023,5,1),D458))/365,1),0.25)
)
*3,
IF(J458="ردم",
K458*20,
K458*
(
DATEDIF(MAX(DATE(2023,5,1),D458),Y458,"m")+1
)
*
_xlfn.SWITCH(J458,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458" s="1">
        <f t="shared" ca="1" si="44"/>
        <v>55</v>
      </c>
    </row>
    <row r="459" spans="1:30" ht="18.75" x14ac:dyDescent="0.25">
      <c r="A459" s="52">
        <v>414</v>
      </c>
      <c r="B459" s="3">
        <v>8</v>
      </c>
      <c r="C459" s="6">
        <v>2018</v>
      </c>
      <c r="D459" s="7">
        <v>43103</v>
      </c>
      <c r="E459" s="11"/>
      <c r="F459" s="3"/>
      <c r="G459" s="3" t="s">
        <v>586</v>
      </c>
      <c r="H459" s="3"/>
      <c r="I459" s="6" t="s">
        <v>105</v>
      </c>
      <c r="J459" s="3" t="s">
        <v>27</v>
      </c>
      <c r="K459" s="3">
        <f>13*13</f>
        <v>169</v>
      </c>
      <c r="L459" s="3" t="s">
        <v>90</v>
      </c>
      <c r="M459" s="2"/>
      <c r="N459" s="3"/>
      <c r="O459" s="9">
        <f>0.47*Table2[[#This Row],[قيمة المحضر]]</f>
        <v>0</v>
      </c>
      <c r="P459" s="9">
        <f>0.17*Table2[[#This Row],[قيمة المحضر]]</f>
        <v>0</v>
      </c>
      <c r="Q459" s="9">
        <f t="shared" ca="1" si="40"/>
        <v>38701</v>
      </c>
      <c r="R459" s="3"/>
      <c r="S459" s="3"/>
      <c r="T459" s="9" t="str">
        <f t="shared" si="45"/>
        <v>-</v>
      </c>
      <c r="U459" s="3" t="s">
        <v>25</v>
      </c>
      <c r="V459" s="9" t="str">
        <f t="shared" si="46"/>
        <v>-</v>
      </c>
      <c r="W459" s="4"/>
      <c r="X459" s="38"/>
      <c r="Y459" s="1">
        <f t="shared" ca="1" si="43"/>
        <v>46162</v>
      </c>
      <c r="Z459" s="1" cm="1">
        <f t="array" ref="Z459">IF(D459&gt;DATE(2015,5,16),0,
K459*
(
INT((MIN(Y459,DATE(2015,5,16))-D459)/365)
+
CEILING(MOD((MIN(Y459,DATE(2015,5,16))-D459)/365,1),0.25)
)
*
_xlfn.SWITCH(J459,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59" s="1" cm="1">
        <f t="array" aca="1" ref="AA459" ca="1">IF(Y459&lt;DATE(2015,5,17),0,
K459*
(
INT((MIN(Y459,DATE(2018,9,23))-MAX(D459,DATE(2015,5,17)))/365)
+
CEILING(MOD((MIN(Y459,DATE(2018,9,23))-MAX(D459,DATE(2015,5,17)))/365,1),0.25)
)
*
_xlfn.SWITCH(J459,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1014</v>
      </c>
      <c r="AB459" s="1" cm="1">
        <f t="array" aca="1" ref="AB459" ca="1">IF(Y459&lt;DATE(2018,9,24),0,
IF(J459="زراعة",
K459*
(
INT((MIN(Y459,DATE(2023,4,30))-MAX(D459,DATE(2018,9,24)))/365)
+
CEILING(MOD((MIN(Y459,DATE(2023,4,30))-MAX(D459,DATE(2018,9,24)))/365,1),0.25)
)
*1,
K459*
(
DATEDIF(MAX(D459,DATE(2018,9,24)),MIN(Y459,DATE(2023,4,30)),"m")+1
)
*
_xlfn.SWITCH(J459,
"موقف/تندة",IF(D459&lt;DATE(2019,11,30),6,30),
"تشوينات",IF(D459&lt;DATE(2019,11,30),4,20),
"مشاتل",IF(D459&lt;DATE(2019,11,30),2,10),
"كافيتيريا",IF(D459&lt;DATE(2019,11,30),30,150),
"نوادي",IF(D459&lt;DATE(2019,11,30),6,30),
"رسو مراكب",IF(D459&lt;DATE(2019,11,30),2,10),
"مباني",IF(D459&lt;DATE(2018,9,24),2,10),
"عشش",IF(D459&lt;DATE(2019,11,30),2,10),
"كشك (تجاري/صناعي)",IF(D459&lt;DATE(2019,11,30),10,50),
"ردم",20,
0)))</f>
        <v>18928</v>
      </c>
      <c r="AC459" s="1" cm="1">
        <f t="array" aca="1" ref="AC459" ca="1">IF(Y459&lt;DATE(2023,5,1),0,
IF(J459="زراعة",
K459*
(
INT((Y459-MAX(DATE(2023,5,1),D459))/365)
+
CEILING(MOD((Y459-MAX(DATE(2023,5,1),D459))/365,1),0.25)
)
*3,
IF(J459="ردم",
K459*20,
K459*
(
DATEDIF(MAX(DATE(2023,5,1),D459),Y459,"m")+1
)
*
_xlfn.SWITCH(J459,
"موقف/تندة",6,
"تشوينات",4,
"مشاتل",2,
"رسو مراكب",6,
"مباني",3,
"عشش",1,
"كشك (تجاري/صناعي)",20,
"مواسير صرف صحي (&lt;1م)",16,
"مواسير صرف صحي (&gt;1م)",18,
0))))</f>
        <v>18759</v>
      </c>
      <c r="AD459" s="1">
        <f t="shared" ca="1" si="44"/>
        <v>55</v>
      </c>
    </row>
    <row r="460" spans="1:30" ht="18.75" x14ac:dyDescent="0.25">
      <c r="A460" s="52">
        <v>415</v>
      </c>
      <c r="B460" s="3">
        <v>9</v>
      </c>
      <c r="C460" s="6">
        <v>2018</v>
      </c>
      <c r="D460" s="7">
        <v>43103</v>
      </c>
      <c r="E460" s="11"/>
      <c r="F460" s="3"/>
      <c r="G460" s="3" t="s">
        <v>587</v>
      </c>
      <c r="H460" s="3"/>
      <c r="I460" s="6" t="s">
        <v>105</v>
      </c>
      <c r="J460" s="3" t="s">
        <v>28</v>
      </c>
      <c r="K460" s="3">
        <v>50</v>
      </c>
      <c r="L460" s="3" t="s">
        <v>90</v>
      </c>
      <c r="M460" s="2"/>
      <c r="N460" s="3"/>
      <c r="O460" s="9">
        <f>0.47*Table2[[#This Row],[قيمة المحضر]]</f>
        <v>0</v>
      </c>
      <c r="P460" s="9">
        <f>0.17*Table2[[#This Row],[قيمة المحضر]]</f>
        <v>0</v>
      </c>
      <c r="Q460" s="9">
        <f t="shared" ca="1" si="40"/>
        <v>7600</v>
      </c>
      <c r="R460" s="3"/>
      <c r="S460" s="3"/>
      <c r="T460" s="9" t="str">
        <f t="shared" si="45"/>
        <v>-</v>
      </c>
      <c r="U460" s="3" t="s">
        <v>25</v>
      </c>
      <c r="V460" s="9" t="str">
        <f t="shared" si="46"/>
        <v>-</v>
      </c>
      <c r="W460" s="4"/>
      <c r="X460" s="38"/>
      <c r="Y460" s="1">
        <f t="shared" ca="1" si="43"/>
        <v>46162</v>
      </c>
      <c r="Z460" s="1" cm="1">
        <f t="array" ref="Z460">IF(D460&gt;DATE(2015,5,16),0,
K460*
(
INT((MIN(Y460,DATE(2015,5,16))-D460)/365)
+
CEILING(MOD((MIN(Y460,DATE(2015,5,16))-D460)/365,1),0.25)
)
*
_xlfn.SWITCH(J460,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60" s="1" cm="1">
        <f t="array" aca="1" ref="AA460" ca="1">IF(Y460&lt;DATE(2015,5,17),0,
K460*
(
INT((MIN(Y460,DATE(2018,9,23))-MAX(D460,DATE(2015,5,17)))/365)
+
CEILING(MOD((MIN(Y460,DATE(2018,9,23))-MAX(D460,DATE(2015,5,17)))/365,1),0.25)
)
*
_xlfn.SWITCH(J460,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150</v>
      </c>
      <c r="AB460" s="1" cm="1">
        <f t="array" aca="1" ref="AB460" ca="1">IF(Y460&lt;DATE(2018,9,24),0,
IF(J460="زراعة",
K460*
(
INT((MIN(Y460,DATE(2023,4,30))-MAX(D460,DATE(2018,9,24)))/365)
+
CEILING(MOD((MIN(Y460,DATE(2023,4,30))-MAX(D460,DATE(2018,9,24)))/365,1),0.25)
)
*1,
K460*
(
DATEDIF(MAX(D460,DATE(2018,9,24)),MIN(Y460,DATE(2023,4,30)),"m")+1
)
*
_xlfn.SWITCH(J460,
"موقف/تندة",IF(D460&lt;DATE(2019,11,30),6,30),
"تشوينات",IF(D460&lt;DATE(2019,11,30),4,20),
"مشاتل",IF(D460&lt;DATE(2019,11,30),2,10),
"كافيتيريا",IF(D460&lt;DATE(2019,11,30),30,150),
"نوادي",IF(D460&lt;DATE(2019,11,30),6,30),
"رسو مراكب",IF(D460&lt;DATE(2019,11,30),2,10),
"مباني",IF(D460&lt;DATE(2018,9,24),2,10),
"عشش",IF(D460&lt;DATE(2019,11,30),2,10),
"كشك (تجاري/صناعي)",IF(D460&lt;DATE(2019,11,30),10,50),
"ردم",20,
0)))</f>
        <v>5600</v>
      </c>
      <c r="AC460" s="1" cm="1">
        <f t="array" aca="1" ref="AC460" ca="1">IF(Y460&lt;DATE(2023,5,1),0,
IF(J460="زراعة",
K460*
(
INT((Y460-MAX(DATE(2023,5,1),D460))/365)
+
CEILING(MOD((Y460-MAX(DATE(2023,5,1),D460))/365,1),0.25)
)
*3,
IF(J460="ردم",
K460*20,
K460*
(
DATEDIF(MAX(DATE(2023,5,1),D460),Y460,"m")+1
)
*
_xlfn.SWITCH(J460,
"موقف/تندة",6,
"تشوينات",4,
"مشاتل",2,
"رسو مراكب",6,
"مباني",3,
"عشش",1,
"كشك (تجاري/صناعي)",20,
"مواسير صرف صحي (&lt;1م)",16,
"مواسير صرف صحي (&gt;1م)",18,
0))))</f>
        <v>1850</v>
      </c>
      <c r="AD460" s="1">
        <f t="shared" ca="1" si="44"/>
        <v>55</v>
      </c>
    </row>
    <row r="461" spans="1:30" ht="18.75" x14ac:dyDescent="0.25">
      <c r="A461" s="52">
        <v>416</v>
      </c>
      <c r="B461" s="3">
        <v>10</v>
      </c>
      <c r="C461" s="6">
        <v>2018</v>
      </c>
      <c r="D461" s="7">
        <v>43103</v>
      </c>
      <c r="E461" s="11" t="s">
        <v>638</v>
      </c>
      <c r="F461" s="3"/>
      <c r="G461" s="3" t="s">
        <v>588</v>
      </c>
      <c r="H461" s="3"/>
      <c r="I461" s="6" t="s">
        <v>105</v>
      </c>
      <c r="J461" s="3" t="s">
        <v>28</v>
      </c>
      <c r="K461" s="3">
        <v>70</v>
      </c>
      <c r="L461" s="3" t="s">
        <v>90</v>
      </c>
      <c r="M461" s="2"/>
      <c r="N461" s="3"/>
      <c r="O461" s="9">
        <f>0.47*Table2[[#This Row],[قيمة المحضر]]</f>
        <v>0</v>
      </c>
      <c r="P461" s="9">
        <f>0.17*Table2[[#This Row],[قيمة المحضر]]</f>
        <v>0</v>
      </c>
      <c r="Q461" s="9">
        <f t="shared" ca="1" si="40"/>
        <v>10640</v>
      </c>
      <c r="R461" s="3"/>
      <c r="S461" s="3"/>
      <c r="T461" s="9" t="str">
        <f t="shared" si="45"/>
        <v>-</v>
      </c>
      <c r="U461" s="3" t="s">
        <v>25</v>
      </c>
      <c r="V461" s="9" t="str">
        <f t="shared" si="46"/>
        <v>-</v>
      </c>
      <c r="W461" s="4"/>
      <c r="X461" s="38"/>
      <c r="Y461" s="1">
        <f t="shared" ca="1" si="43"/>
        <v>46162</v>
      </c>
      <c r="Z461" s="1" cm="1">
        <f t="array" ref="Z461">IF(D461&gt;DATE(2015,5,16),0,
K461*
(
INT((MIN(Y461,DATE(2015,5,16))-D461)/365)
+
CEILING(MOD((MIN(Y461,DATE(2015,5,16))-D461)/365,1),0.25)
)
*
_xlfn.SWITCH(J461,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61" s="1" cm="1">
        <f t="array" aca="1" ref="AA461" ca="1">IF(Y461&lt;DATE(2015,5,17),0,
K461*
(
INT((MIN(Y461,DATE(2018,9,23))-MAX(D461,DATE(2015,5,17)))/365)
+
CEILING(MOD((MIN(Y461,DATE(2018,9,23))-MAX(D461,DATE(2015,5,17)))/365,1),0.25)
)
*
_xlfn.SWITCH(J461,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210</v>
      </c>
      <c r="AB461" s="1" cm="1">
        <f t="array" aca="1" ref="AB461" ca="1">IF(Y461&lt;DATE(2018,9,24),0,
IF(J461="زراعة",
K461*
(
INT((MIN(Y461,DATE(2023,4,30))-MAX(D461,DATE(2018,9,24)))/365)
+
CEILING(MOD((MIN(Y461,DATE(2023,4,30))-MAX(D461,DATE(2018,9,24)))/365,1),0.25)
)
*1,
K461*
(
DATEDIF(MAX(D461,DATE(2018,9,24)),MIN(Y461,DATE(2023,4,30)),"m")+1
)
*
_xlfn.SWITCH(J461,
"موقف/تندة",IF(D461&lt;DATE(2019,11,30),6,30),
"تشوينات",IF(D461&lt;DATE(2019,11,30),4,20),
"مشاتل",IF(D461&lt;DATE(2019,11,30),2,10),
"كافيتيريا",IF(D461&lt;DATE(2019,11,30),30,150),
"نوادي",IF(D461&lt;DATE(2019,11,30),6,30),
"رسو مراكب",IF(D461&lt;DATE(2019,11,30),2,10),
"مباني",IF(D461&lt;DATE(2018,9,24),2,10),
"عشش",IF(D461&lt;DATE(2019,11,30),2,10),
"كشك (تجاري/صناعي)",IF(D461&lt;DATE(2019,11,30),10,50),
"ردم",20,
0)))</f>
        <v>7840</v>
      </c>
      <c r="AC461" s="1" cm="1">
        <f t="array" aca="1" ref="AC461" ca="1">IF(Y461&lt;DATE(2023,5,1),0,
IF(J461="زراعة",
K461*
(
INT((Y461-MAX(DATE(2023,5,1),D461))/365)
+
CEILING(MOD((Y461-MAX(DATE(2023,5,1),D461))/365,1),0.25)
)
*3,
IF(J461="ردم",
K461*20,
K461*
(
DATEDIF(MAX(DATE(2023,5,1),D461),Y461,"m")+1
)
*
_xlfn.SWITCH(J461,
"موقف/تندة",6,
"تشوينات",4,
"مشاتل",2,
"رسو مراكب",6,
"مباني",3,
"عشش",1,
"كشك (تجاري/صناعي)",20,
"مواسير صرف صحي (&lt;1م)",16,
"مواسير صرف صحي (&gt;1م)",18,
0))))</f>
        <v>2590</v>
      </c>
      <c r="AD461" s="1">
        <f t="shared" ca="1" si="44"/>
        <v>55</v>
      </c>
    </row>
    <row r="462" spans="1:30" ht="18.75" x14ac:dyDescent="0.25">
      <c r="A462" s="52">
        <v>417</v>
      </c>
      <c r="B462" s="3">
        <v>11</v>
      </c>
      <c r="C462" s="6">
        <v>2018</v>
      </c>
      <c r="D462" s="7">
        <v>43104</v>
      </c>
      <c r="E462" s="11" t="s">
        <v>639</v>
      </c>
      <c r="F462" s="3"/>
      <c r="G462" s="3" t="s">
        <v>589</v>
      </c>
      <c r="H462" s="3"/>
      <c r="I462" s="6" t="s">
        <v>105</v>
      </c>
      <c r="J462" s="3" t="s">
        <v>28</v>
      </c>
      <c r="K462" s="3">
        <v>35</v>
      </c>
      <c r="L462" s="3" t="s">
        <v>90</v>
      </c>
      <c r="M462" s="2"/>
      <c r="N462" s="3"/>
      <c r="O462" s="9">
        <f>0.47*Table2[[#This Row],[قيمة المحضر]]</f>
        <v>0</v>
      </c>
      <c r="P462" s="9">
        <f>0.17*Table2[[#This Row],[قيمة المحضر]]</f>
        <v>0</v>
      </c>
      <c r="Q462" s="9">
        <f t="shared" ca="1" si="40"/>
        <v>5320</v>
      </c>
      <c r="R462" s="3"/>
      <c r="S462" s="3"/>
      <c r="T462" s="9" t="str">
        <f t="shared" si="45"/>
        <v>-</v>
      </c>
      <c r="U462" s="3" t="s">
        <v>25</v>
      </c>
      <c r="V462" s="9" t="str">
        <f t="shared" si="46"/>
        <v>-</v>
      </c>
      <c r="W462" s="4"/>
      <c r="X462" s="38"/>
      <c r="Y462" s="1">
        <f t="shared" ca="1" si="43"/>
        <v>46162</v>
      </c>
      <c r="Z462" s="1" cm="1">
        <f t="array" ref="Z462">IF(D462&gt;DATE(2015,5,16),0,
K462*
(
INT((MIN(Y462,DATE(2015,5,16))-D462)/365)
+
CEILING(MOD((MIN(Y462,DATE(2015,5,16))-D462)/365,1),0.25)
)
*
_xlfn.SWITCH(J462,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62" s="1" cm="1">
        <f t="array" aca="1" ref="AA462" ca="1">IF(Y462&lt;DATE(2015,5,17),0,
K462*
(
INT((MIN(Y462,DATE(2018,9,23))-MAX(D462,DATE(2015,5,17)))/365)
+
CEILING(MOD((MIN(Y462,DATE(2018,9,23))-MAX(D462,DATE(2015,5,17)))/365,1),0.25)
)
*
_xlfn.SWITCH(J462,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105</v>
      </c>
      <c r="AB462" s="1" cm="1">
        <f t="array" aca="1" ref="AB462" ca="1">IF(Y462&lt;DATE(2018,9,24),0,
IF(J462="زراعة",
K462*
(
INT((MIN(Y462,DATE(2023,4,30))-MAX(D462,DATE(2018,9,24)))/365)
+
CEILING(MOD((MIN(Y462,DATE(2023,4,30))-MAX(D462,DATE(2018,9,24)))/365,1),0.25)
)
*1,
K462*
(
DATEDIF(MAX(D462,DATE(2018,9,24)),MIN(Y462,DATE(2023,4,30)),"m")+1
)
*
_xlfn.SWITCH(J462,
"موقف/تندة",IF(D462&lt;DATE(2019,11,30),6,30),
"تشوينات",IF(D462&lt;DATE(2019,11,30),4,20),
"مشاتل",IF(D462&lt;DATE(2019,11,30),2,10),
"كافيتيريا",IF(D462&lt;DATE(2019,11,30),30,150),
"نوادي",IF(D462&lt;DATE(2019,11,30),6,30),
"رسو مراكب",IF(D462&lt;DATE(2019,11,30),2,10),
"مباني",IF(D462&lt;DATE(2018,9,24),2,10),
"عشش",IF(D462&lt;DATE(2019,11,30),2,10),
"كشك (تجاري/صناعي)",IF(D462&lt;DATE(2019,11,30),10,50),
"ردم",20,
0)))</f>
        <v>3920</v>
      </c>
      <c r="AC462" s="1" cm="1">
        <f t="array" aca="1" ref="AC462" ca="1">IF(Y462&lt;DATE(2023,5,1),0,
IF(J462="زراعة",
K462*
(
INT((Y462-MAX(DATE(2023,5,1),D462))/365)
+
CEILING(MOD((Y462-MAX(DATE(2023,5,1),D462))/365,1),0.25)
)
*3,
IF(J462="ردم",
K462*20,
K462*
(
DATEDIF(MAX(DATE(2023,5,1),D462),Y462,"m")+1
)
*
_xlfn.SWITCH(J462,
"موقف/تندة",6,
"تشوينات",4,
"مشاتل",2,
"رسو مراكب",6,
"مباني",3,
"عشش",1,
"كشك (تجاري/صناعي)",20,
"مواسير صرف صحي (&lt;1م)",16,
"مواسير صرف صحي (&gt;1م)",18,
0))))</f>
        <v>1295</v>
      </c>
      <c r="AD462" s="1">
        <f t="shared" ca="1" si="44"/>
        <v>55</v>
      </c>
    </row>
    <row r="463" spans="1:30" ht="18.75" x14ac:dyDescent="0.25">
      <c r="A463" s="52">
        <v>418</v>
      </c>
      <c r="B463" s="3">
        <v>12</v>
      </c>
      <c r="C463" s="6">
        <v>2018</v>
      </c>
      <c r="D463" s="7">
        <v>43104</v>
      </c>
      <c r="E463" s="19"/>
      <c r="F463" s="14"/>
      <c r="G463" s="14" t="s">
        <v>590</v>
      </c>
      <c r="H463" s="14"/>
      <c r="I463" s="6" t="s">
        <v>105</v>
      </c>
      <c r="J463" s="3" t="s">
        <v>28</v>
      </c>
      <c r="K463" s="14">
        <v>20</v>
      </c>
      <c r="L463" s="3" t="s">
        <v>90</v>
      </c>
      <c r="M463" s="15"/>
      <c r="N463" s="14"/>
      <c r="O463" s="9">
        <f>0.47*Table2[[#This Row],[قيمة المحضر]]</f>
        <v>0</v>
      </c>
      <c r="P463" s="9">
        <f>0.17*Table2[[#This Row],[قيمة المحضر]]</f>
        <v>0</v>
      </c>
      <c r="Q463" s="9">
        <f t="shared" ca="1" si="40"/>
        <v>3040</v>
      </c>
      <c r="R463" s="3"/>
      <c r="S463" s="3"/>
      <c r="T463" s="9" t="str">
        <f t="shared" si="45"/>
        <v>-</v>
      </c>
      <c r="U463" s="3" t="s">
        <v>25</v>
      </c>
      <c r="V463" s="9" t="str">
        <f t="shared" si="46"/>
        <v>-</v>
      </c>
      <c r="W463" s="4"/>
      <c r="X463" s="38"/>
      <c r="Y463" s="1">
        <f t="shared" ca="1" si="43"/>
        <v>46162</v>
      </c>
      <c r="Z463" s="1" cm="1">
        <f t="array" ref="Z463">IF(D463&gt;DATE(2015,5,16),0,
K463*
(
INT((MIN(Y463,DATE(2015,5,16))-D463)/365)
+
CEILING(MOD((MIN(Y463,DATE(2015,5,16))-D463)/365,1),0.25)
)
*
_xlfn.SWITCH(J463,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63" s="1" cm="1">
        <f t="array" aca="1" ref="AA463" ca="1">IF(Y463&lt;DATE(2015,5,17),0,
K463*
(
INT((MIN(Y463,DATE(2018,9,23))-MAX(D463,DATE(2015,5,17)))/365)
+
CEILING(MOD((MIN(Y463,DATE(2018,9,23))-MAX(D463,DATE(2015,5,17)))/365,1),0.25)
)
*
_xlfn.SWITCH(J463,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</v>
      </c>
      <c r="AB463" s="1" cm="1">
        <f t="array" aca="1" ref="AB463" ca="1">IF(Y463&lt;DATE(2018,9,24),0,
IF(J463="زراعة",
K463*
(
INT((MIN(Y463,DATE(2023,4,30))-MAX(D463,DATE(2018,9,24)))/365)
+
CEILING(MOD((MIN(Y463,DATE(2023,4,30))-MAX(D463,DATE(2018,9,24)))/365,1),0.25)
)
*1,
K463*
(
DATEDIF(MAX(D463,DATE(2018,9,24)),MIN(Y463,DATE(2023,4,30)),"m")+1
)
*
_xlfn.SWITCH(J463,
"موقف/تندة",IF(D463&lt;DATE(2019,11,30),6,30),
"تشوينات",IF(D463&lt;DATE(2019,11,30),4,20),
"مشاتل",IF(D463&lt;DATE(2019,11,30),2,10),
"كافيتيريا",IF(D463&lt;DATE(2019,11,30),30,150),
"نوادي",IF(D463&lt;DATE(2019,11,30),6,30),
"رسو مراكب",IF(D463&lt;DATE(2019,11,30),2,10),
"مباني",IF(D463&lt;DATE(2018,9,24),2,10),
"عشش",IF(D463&lt;DATE(2019,11,30),2,10),
"كشك (تجاري/صناعي)",IF(D463&lt;DATE(2019,11,30),10,50),
"ردم",20,
0)))</f>
        <v>2240</v>
      </c>
      <c r="AC463" s="1" cm="1">
        <f t="array" aca="1" ref="AC463" ca="1">IF(Y463&lt;DATE(2023,5,1),0,
IF(J463="زراعة",
K463*
(
INT((Y463-MAX(DATE(2023,5,1),D463))/365)
+
CEILING(MOD((Y463-MAX(DATE(2023,5,1),D463))/365,1),0.25)
)
*3,
IF(J463="ردم",
K463*20,
K463*
(
DATEDIF(MAX(DATE(2023,5,1),D463),Y463,"m")+1
)
*
_xlfn.SWITCH(J463,
"موقف/تندة",6,
"تشوينات",4,
"مشاتل",2,
"رسو مراكب",6,
"مباني",3,
"عشش",1,
"كشك (تجاري/صناعي)",20,
"مواسير صرف صحي (&lt;1م)",16,
"مواسير صرف صحي (&gt;1م)",18,
0))))</f>
        <v>740</v>
      </c>
      <c r="AD463" s="1">
        <f t="shared" ca="1" si="44"/>
        <v>55</v>
      </c>
    </row>
    <row r="464" spans="1:30" ht="18.75" x14ac:dyDescent="0.25">
      <c r="A464" s="52">
        <v>419</v>
      </c>
      <c r="B464" s="3">
        <v>13</v>
      </c>
      <c r="C464" s="6">
        <v>2018</v>
      </c>
      <c r="D464" s="7">
        <v>43104</v>
      </c>
      <c r="E464" s="11" t="s">
        <v>642</v>
      </c>
      <c r="F464" s="3"/>
      <c r="G464" s="3" t="s">
        <v>591</v>
      </c>
      <c r="H464" s="3"/>
      <c r="I464" s="6" t="s">
        <v>105</v>
      </c>
      <c r="J464" s="3" t="s">
        <v>28</v>
      </c>
      <c r="K464" s="3">
        <v>20</v>
      </c>
      <c r="L464" s="3" t="s">
        <v>90</v>
      </c>
      <c r="M464" s="2"/>
      <c r="N464" s="3"/>
      <c r="O464" s="9">
        <f>0.47*Table2[[#This Row],[قيمة المحضر]]</f>
        <v>0</v>
      </c>
      <c r="P464" s="9">
        <f>0.17*Table2[[#This Row],[قيمة المحضر]]</f>
        <v>0</v>
      </c>
      <c r="Q464" s="9">
        <f t="shared" ca="1" si="40"/>
        <v>3040</v>
      </c>
      <c r="R464" s="3"/>
      <c r="S464" s="3"/>
      <c r="T464" s="9" t="str">
        <f t="shared" si="45"/>
        <v>-</v>
      </c>
      <c r="U464" s="3" t="s">
        <v>25</v>
      </c>
      <c r="V464" s="9" t="str">
        <f t="shared" si="46"/>
        <v>-</v>
      </c>
      <c r="W464" s="4"/>
      <c r="X464" s="38"/>
      <c r="Y464" s="1">
        <f t="shared" ca="1" si="43"/>
        <v>46162</v>
      </c>
      <c r="Z464" s="1" cm="1">
        <f t="array" ref="Z464">IF(D464&gt;DATE(2015,5,16),0,
K464*
(
INT((MIN(Y464,DATE(2015,5,16))-D464)/365)
+
CEILING(MOD((MIN(Y464,DATE(2015,5,16))-D464)/365,1),0.25)
)
*
_xlfn.SWITCH(J464,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64" s="1" cm="1">
        <f t="array" aca="1" ref="AA464" ca="1">IF(Y464&lt;DATE(2015,5,17),0,
K464*
(
INT((MIN(Y464,DATE(2018,9,23))-MAX(D464,DATE(2015,5,17)))/365)
+
CEILING(MOD((MIN(Y464,DATE(2018,9,23))-MAX(D464,DATE(2015,5,17)))/365,1),0.25)
)
*
_xlfn.SWITCH(J464,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</v>
      </c>
      <c r="AB464" s="1" cm="1">
        <f t="array" aca="1" ref="AB464" ca="1">IF(Y464&lt;DATE(2018,9,24),0,
IF(J464="زراعة",
K464*
(
INT((MIN(Y464,DATE(2023,4,30))-MAX(D464,DATE(2018,9,24)))/365)
+
CEILING(MOD((MIN(Y464,DATE(2023,4,30))-MAX(D464,DATE(2018,9,24)))/365,1),0.25)
)
*1,
K464*
(
DATEDIF(MAX(D464,DATE(2018,9,24)),MIN(Y464,DATE(2023,4,30)),"m")+1
)
*
_xlfn.SWITCH(J464,
"موقف/تندة",IF(D464&lt;DATE(2019,11,30),6,30),
"تشوينات",IF(D464&lt;DATE(2019,11,30),4,20),
"مشاتل",IF(D464&lt;DATE(2019,11,30),2,10),
"كافيتيريا",IF(D464&lt;DATE(2019,11,30),30,150),
"نوادي",IF(D464&lt;DATE(2019,11,30),6,30),
"رسو مراكب",IF(D464&lt;DATE(2019,11,30),2,10),
"مباني",IF(D464&lt;DATE(2018,9,24),2,10),
"عشش",IF(D464&lt;DATE(2019,11,30),2,10),
"كشك (تجاري/صناعي)",IF(D464&lt;DATE(2019,11,30),10,50),
"ردم",20,
0)))</f>
        <v>2240</v>
      </c>
      <c r="AC464" s="1" cm="1">
        <f t="array" aca="1" ref="AC464" ca="1">IF(Y464&lt;DATE(2023,5,1),0,
IF(J464="زراعة",
K464*
(
INT((Y464-MAX(DATE(2023,5,1),D464))/365)
+
CEILING(MOD((Y464-MAX(DATE(2023,5,1),D464))/365,1),0.25)
)
*3,
IF(J464="ردم",
K464*20,
K464*
(
DATEDIF(MAX(DATE(2023,5,1),D464),Y464,"m")+1
)
*
_xlfn.SWITCH(J464,
"موقف/تندة",6,
"تشوينات",4,
"مشاتل",2,
"رسو مراكب",6,
"مباني",3,
"عشش",1,
"كشك (تجاري/صناعي)",20,
"مواسير صرف صحي (&lt;1م)",16,
"مواسير صرف صحي (&gt;1م)",18,
0))))</f>
        <v>740</v>
      </c>
      <c r="AD464" s="1">
        <f t="shared" ca="1" si="44"/>
        <v>55</v>
      </c>
    </row>
    <row r="465" spans="1:30" ht="18.75" x14ac:dyDescent="0.25">
      <c r="A465" s="52">
        <v>420</v>
      </c>
      <c r="B465" s="3">
        <v>14</v>
      </c>
      <c r="C465" s="6">
        <v>2018</v>
      </c>
      <c r="D465" s="7">
        <v>43104</v>
      </c>
      <c r="E465" s="11" t="s">
        <v>643</v>
      </c>
      <c r="F465" s="3"/>
      <c r="G465" s="3" t="s">
        <v>592</v>
      </c>
      <c r="H465" s="3"/>
      <c r="I465" s="6" t="s">
        <v>437</v>
      </c>
      <c r="J465" s="3" t="s">
        <v>28</v>
      </c>
      <c r="K465" s="3">
        <v>25</v>
      </c>
      <c r="L465" s="3" t="s">
        <v>90</v>
      </c>
      <c r="M465" s="2"/>
      <c r="N465" s="3"/>
      <c r="O465" s="9">
        <f>0.47*Table2[[#This Row],[قيمة المحضر]]</f>
        <v>0</v>
      </c>
      <c r="P465" s="9">
        <f>0.17*Table2[[#This Row],[قيمة المحضر]]</f>
        <v>0</v>
      </c>
      <c r="Q465" s="9">
        <f t="shared" ca="1" si="40"/>
        <v>3800</v>
      </c>
      <c r="R465" s="3"/>
      <c r="S465" s="3"/>
      <c r="T465" s="9" t="str">
        <f t="shared" si="45"/>
        <v>-</v>
      </c>
      <c r="U465" s="3" t="s">
        <v>25</v>
      </c>
      <c r="V465" s="9" t="str">
        <f t="shared" si="46"/>
        <v>-</v>
      </c>
      <c r="W465" s="4"/>
      <c r="X465" s="38"/>
      <c r="Y465" s="1">
        <f t="shared" ca="1" si="43"/>
        <v>46162</v>
      </c>
      <c r="Z465" s="1" cm="1">
        <f t="array" ref="Z465">IF(D465&gt;DATE(2015,5,16),0,
K465*
(
INT((MIN(Y465,DATE(2015,5,16))-D465)/365)
+
CEILING(MOD((MIN(Y465,DATE(2015,5,16))-D465)/365,1),0.25)
)
*
_xlfn.SWITCH(J465,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65" s="1" cm="1">
        <f t="array" aca="1" ref="AA465" ca="1">IF(Y465&lt;DATE(2015,5,17),0,
K465*
(
INT((MIN(Y465,DATE(2018,9,23))-MAX(D465,DATE(2015,5,17)))/365)
+
CEILING(MOD((MIN(Y465,DATE(2018,9,23))-MAX(D465,DATE(2015,5,17)))/365,1),0.25)
)
*
_xlfn.SWITCH(J465,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75</v>
      </c>
      <c r="AB465" s="1" cm="1">
        <f t="array" aca="1" ref="AB465" ca="1">IF(Y465&lt;DATE(2018,9,24),0,
IF(J465="زراعة",
K465*
(
INT((MIN(Y465,DATE(2023,4,30))-MAX(D465,DATE(2018,9,24)))/365)
+
CEILING(MOD((MIN(Y465,DATE(2023,4,30))-MAX(D465,DATE(2018,9,24)))/365,1),0.25)
)
*1,
K465*
(
DATEDIF(MAX(D465,DATE(2018,9,24)),MIN(Y465,DATE(2023,4,30)),"m")+1
)
*
_xlfn.SWITCH(J465,
"موقف/تندة",IF(D465&lt;DATE(2019,11,30),6,30),
"تشوينات",IF(D465&lt;DATE(2019,11,30),4,20),
"مشاتل",IF(D465&lt;DATE(2019,11,30),2,10),
"كافيتيريا",IF(D465&lt;DATE(2019,11,30),30,150),
"نوادي",IF(D465&lt;DATE(2019,11,30),6,30),
"رسو مراكب",IF(D465&lt;DATE(2019,11,30),2,10),
"مباني",IF(D465&lt;DATE(2018,9,24),2,10),
"عشش",IF(D465&lt;DATE(2019,11,30),2,10),
"كشك (تجاري/صناعي)",IF(D465&lt;DATE(2019,11,30),10,50),
"ردم",20,
0)))</f>
        <v>2800</v>
      </c>
      <c r="AC465" s="1" cm="1">
        <f t="array" aca="1" ref="AC465" ca="1">IF(Y465&lt;DATE(2023,5,1),0,
IF(J465="زراعة",
K465*
(
INT((Y465-MAX(DATE(2023,5,1),D465))/365)
+
CEILING(MOD((Y465-MAX(DATE(2023,5,1),D465))/365,1),0.25)
)
*3,
IF(J465="ردم",
K465*20,
K465*
(
DATEDIF(MAX(DATE(2023,5,1),D465),Y465,"m")+1
)
*
_xlfn.SWITCH(J465,
"موقف/تندة",6,
"تشوينات",4,
"مشاتل",2,
"رسو مراكب",6,
"مباني",3,
"عشش",1,
"كشك (تجاري/صناعي)",20,
"مواسير صرف صحي (&lt;1م)",16,
"مواسير صرف صحي (&gt;1م)",18,
0))))</f>
        <v>925</v>
      </c>
      <c r="AD465" s="1">
        <f t="shared" ca="1" si="44"/>
        <v>55</v>
      </c>
    </row>
    <row r="466" spans="1:30" ht="18.75" x14ac:dyDescent="0.25">
      <c r="A466" s="52">
        <v>421</v>
      </c>
      <c r="B466" s="3">
        <v>15</v>
      </c>
      <c r="C466" s="6">
        <v>2018</v>
      </c>
      <c r="D466" s="7">
        <v>43104</v>
      </c>
      <c r="E466" s="11" t="s">
        <v>644</v>
      </c>
      <c r="F466" s="3"/>
      <c r="G466" s="3" t="s">
        <v>593</v>
      </c>
      <c r="H466" s="3"/>
      <c r="I466" s="6" t="s">
        <v>437</v>
      </c>
      <c r="J466" s="3" t="s">
        <v>28</v>
      </c>
      <c r="K466" s="3">
        <v>20</v>
      </c>
      <c r="L466" s="3" t="s">
        <v>90</v>
      </c>
      <c r="M466" s="2"/>
      <c r="N466" s="3"/>
      <c r="O466" s="9">
        <f>0.47*Table2[[#This Row],[قيمة المحضر]]</f>
        <v>0</v>
      </c>
      <c r="P466" s="9">
        <f>0.17*Table2[[#This Row],[قيمة المحضر]]</f>
        <v>0</v>
      </c>
      <c r="Q466" s="9">
        <f t="shared" ca="1" si="40"/>
        <v>3040</v>
      </c>
      <c r="R466" s="3"/>
      <c r="S466" s="3"/>
      <c r="T466" s="9" t="str">
        <f t="shared" si="45"/>
        <v>-</v>
      </c>
      <c r="U466" s="3" t="s">
        <v>25</v>
      </c>
      <c r="V466" s="9" t="str">
        <f t="shared" si="46"/>
        <v>-</v>
      </c>
      <c r="W466" s="4"/>
      <c r="X466" s="38"/>
      <c r="Y466" s="1">
        <f t="shared" ca="1" si="43"/>
        <v>46162</v>
      </c>
      <c r="Z466" s="1" cm="1">
        <f t="array" ref="Z466">IF(D466&gt;DATE(2015,5,16),0,
K466*
(
INT((MIN(Y466,DATE(2015,5,16))-D466)/365)
+
CEILING(MOD((MIN(Y466,DATE(2015,5,16))-D466)/365,1),0.25)
)
*
_xlfn.SWITCH(J466,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66" s="1" cm="1">
        <f t="array" aca="1" ref="AA466" ca="1">IF(Y466&lt;DATE(2015,5,17),0,
K466*
(
INT((MIN(Y466,DATE(2018,9,23))-MAX(D466,DATE(2015,5,17)))/365)
+
CEILING(MOD((MIN(Y466,DATE(2018,9,23))-MAX(D466,DATE(2015,5,17)))/365,1),0.25)
)
*
_xlfn.SWITCH(J466,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</v>
      </c>
      <c r="AB466" s="1" cm="1">
        <f t="array" aca="1" ref="AB466" ca="1">IF(Y466&lt;DATE(2018,9,24),0,
IF(J466="زراعة",
K466*
(
INT((MIN(Y466,DATE(2023,4,30))-MAX(D466,DATE(2018,9,24)))/365)
+
CEILING(MOD((MIN(Y466,DATE(2023,4,30))-MAX(D466,DATE(2018,9,24)))/365,1),0.25)
)
*1,
K466*
(
DATEDIF(MAX(D466,DATE(2018,9,24)),MIN(Y466,DATE(2023,4,30)),"m")+1
)
*
_xlfn.SWITCH(J466,
"موقف/تندة",IF(D466&lt;DATE(2019,11,30),6,30),
"تشوينات",IF(D466&lt;DATE(2019,11,30),4,20),
"مشاتل",IF(D466&lt;DATE(2019,11,30),2,10),
"كافيتيريا",IF(D466&lt;DATE(2019,11,30),30,150),
"نوادي",IF(D466&lt;DATE(2019,11,30),6,30),
"رسو مراكب",IF(D466&lt;DATE(2019,11,30),2,10),
"مباني",IF(D466&lt;DATE(2018,9,24),2,10),
"عشش",IF(D466&lt;DATE(2019,11,30),2,10),
"كشك (تجاري/صناعي)",IF(D466&lt;DATE(2019,11,30),10,50),
"ردم",20,
0)))</f>
        <v>2240</v>
      </c>
      <c r="AC466" s="1" cm="1">
        <f t="array" aca="1" ref="AC466" ca="1">IF(Y466&lt;DATE(2023,5,1),0,
IF(J466="زراعة",
K466*
(
INT((Y466-MAX(DATE(2023,5,1),D466))/365)
+
CEILING(MOD((Y466-MAX(DATE(2023,5,1),D466))/365,1),0.25)
)
*3,
IF(J466="ردم",
K466*20,
K466*
(
DATEDIF(MAX(DATE(2023,5,1),D466),Y466,"m")+1
)
*
_xlfn.SWITCH(J466,
"موقف/تندة",6,
"تشوينات",4,
"مشاتل",2,
"رسو مراكب",6,
"مباني",3,
"عشش",1,
"كشك (تجاري/صناعي)",20,
"مواسير صرف صحي (&lt;1م)",16,
"مواسير صرف صحي (&gt;1م)",18,
0))))</f>
        <v>740</v>
      </c>
      <c r="AD466" s="1">
        <f t="shared" ca="1" si="44"/>
        <v>55</v>
      </c>
    </row>
    <row r="467" spans="1:30" ht="18.75" x14ac:dyDescent="0.25">
      <c r="A467" s="52">
        <v>422</v>
      </c>
      <c r="B467" s="3">
        <v>16</v>
      </c>
      <c r="C467" s="6">
        <v>2018</v>
      </c>
      <c r="D467" s="7">
        <v>43104</v>
      </c>
      <c r="E467" s="11" t="s">
        <v>645</v>
      </c>
      <c r="F467" s="3"/>
      <c r="G467" s="3" t="s">
        <v>594</v>
      </c>
      <c r="H467" s="3"/>
      <c r="I467" s="6" t="s">
        <v>437</v>
      </c>
      <c r="J467" s="3" t="s">
        <v>28</v>
      </c>
      <c r="K467" s="3">
        <v>20</v>
      </c>
      <c r="L467" s="3" t="s">
        <v>90</v>
      </c>
      <c r="M467" s="2"/>
      <c r="N467" s="3"/>
      <c r="O467" s="9">
        <f>0.47*Table2[[#This Row],[قيمة المحضر]]</f>
        <v>0</v>
      </c>
      <c r="P467" s="9">
        <f>0.17*Table2[[#This Row],[قيمة المحضر]]</f>
        <v>0</v>
      </c>
      <c r="Q467" s="9">
        <f t="shared" ca="1" si="40"/>
        <v>3040</v>
      </c>
      <c r="R467" s="3"/>
      <c r="S467" s="3"/>
      <c r="T467" s="9" t="str">
        <f t="shared" si="45"/>
        <v>-</v>
      </c>
      <c r="U467" s="3" t="s">
        <v>25</v>
      </c>
      <c r="V467" s="9" t="str">
        <f t="shared" si="46"/>
        <v>-</v>
      </c>
      <c r="W467" s="4"/>
      <c r="X467" s="38"/>
      <c r="Y467" s="1">
        <f t="shared" ca="1" si="43"/>
        <v>46162</v>
      </c>
      <c r="Z467" s="1" cm="1">
        <f t="array" ref="Z467">IF(D467&gt;DATE(2015,5,16),0,
K467*
(
INT((MIN(Y467,DATE(2015,5,16))-D467)/365)
+
CEILING(MOD((MIN(Y467,DATE(2015,5,16))-D467)/365,1),0.25)
)
*
_xlfn.SWITCH(J467,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67" s="1" cm="1">
        <f t="array" aca="1" ref="AA467" ca="1">IF(Y467&lt;DATE(2015,5,17),0,
K467*
(
INT((MIN(Y467,DATE(2018,9,23))-MAX(D467,DATE(2015,5,17)))/365)
+
CEILING(MOD((MIN(Y467,DATE(2018,9,23))-MAX(D467,DATE(2015,5,17)))/365,1),0.25)
)
*
_xlfn.SWITCH(J467,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</v>
      </c>
      <c r="AB467" s="1" cm="1">
        <f t="array" aca="1" ref="AB467" ca="1">IF(Y467&lt;DATE(2018,9,24),0,
IF(J467="زراعة",
K467*
(
INT((MIN(Y467,DATE(2023,4,30))-MAX(D467,DATE(2018,9,24)))/365)
+
CEILING(MOD((MIN(Y467,DATE(2023,4,30))-MAX(D467,DATE(2018,9,24)))/365,1),0.25)
)
*1,
K467*
(
DATEDIF(MAX(D467,DATE(2018,9,24)),MIN(Y467,DATE(2023,4,30)),"m")+1
)
*
_xlfn.SWITCH(J467,
"موقف/تندة",IF(D467&lt;DATE(2019,11,30),6,30),
"تشوينات",IF(D467&lt;DATE(2019,11,30),4,20),
"مشاتل",IF(D467&lt;DATE(2019,11,30),2,10),
"كافيتيريا",IF(D467&lt;DATE(2019,11,30),30,150),
"نوادي",IF(D467&lt;DATE(2019,11,30),6,30),
"رسو مراكب",IF(D467&lt;DATE(2019,11,30),2,10),
"مباني",IF(D467&lt;DATE(2018,9,24),2,10),
"عشش",IF(D467&lt;DATE(2019,11,30),2,10),
"كشك (تجاري/صناعي)",IF(D467&lt;DATE(2019,11,30),10,50),
"ردم",20,
0)))</f>
        <v>2240</v>
      </c>
      <c r="AC467" s="1" cm="1">
        <f t="array" aca="1" ref="AC467" ca="1">IF(Y467&lt;DATE(2023,5,1),0,
IF(J467="زراعة",
K467*
(
INT((Y467-MAX(DATE(2023,5,1),D467))/365)
+
CEILING(MOD((Y467-MAX(DATE(2023,5,1),D467))/365,1),0.25)
)
*3,
IF(J467="ردم",
K467*20,
K467*
(
DATEDIF(MAX(DATE(2023,5,1),D467),Y467,"m")+1
)
*
_xlfn.SWITCH(J467,
"موقف/تندة",6,
"تشوينات",4,
"مشاتل",2,
"رسو مراكب",6,
"مباني",3,
"عشش",1,
"كشك (تجاري/صناعي)",20,
"مواسير صرف صحي (&lt;1م)",16,
"مواسير صرف صحي (&gt;1م)",18,
0))))</f>
        <v>740</v>
      </c>
      <c r="AD467" s="1">
        <f t="shared" ca="1" si="44"/>
        <v>55</v>
      </c>
    </row>
    <row r="468" spans="1:30" ht="18.75" x14ac:dyDescent="0.25">
      <c r="A468" s="52">
        <v>423</v>
      </c>
      <c r="B468" s="3">
        <v>17</v>
      </c>
      <c r="C468" s="6">
        <v>2018</v>
      </c>
      <c r="D468" s="7">
        <v>43104</v>
      </c>
      <c r="E468" s="11" t="s">
        <v>646</v>
      </c>
      <c r="F468" s="3"/>
      <c r="G468" s="3" t="s">
        <v>595</v>
      </c>
      <c r="H468" s="3"/>
      <c r="I468" s="6" t="s">
        <v>437</v>
      </c>
      <c r="J468" s="3" t="s">
        <v>28</v>
      </c>
      <c r="K468" s="3">
        <v>20</v>
      </c>
      <c r="L468" s="3" t="s">
        <v>90</v>
      </c>
      <c r="M468" s="2"/>
      <c r="N468" s="3"/>
      <c r="O468" s="9">
        <f>0.47*Table2[[#This Row],[قيمة المحضر]]</f>
        <v>0</v>
      </c>
      <c r="P468" s="9">
        <f>0.17*Table2[[#This Row],[قيمة المحضر]]</f>
        <v>0</v>
      </c>
      <c r="Q468" s="9">
        <f t="shared" ca="1" si="40"/>
        <v>3040</v>
      </c>
      <c r="R468" s="3"/>
      <c r="S468" s="3"/>
      <c r="T468" s="9" t="str">
        <f t="shared" si="45"/>
        <v>-</v>
      </c>
      <c r="U468" s="3" t="s">
        <v>25</v>
      </c>
      <c r="V468" s="9" t="str">
        <f t="shared" si="46"/>
        <v>-</v>
      </c>
      <c r="W468" s="4"/>
      <c r="X468" s="38"/>
      <c r="Y468" s="1">
        <f t="shared" ca="1" si="43"/>
        <v>46162</v>
      </c>
      <c r="Z468" s="1" cm="1">
        <f t="array" ref="Z468">IF(D468&gt;DATE(2015,5,16),0,
K468*
(
INT((MIN(Y468,DATE(2015,5,16))-D468)/365)
+
CEILING(MOD((MIN(Y468,DATE(2015,5,16))-D468)/365,1),0.25)
)
*
_xlfn.SWITCH(J468,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68" s="1" cm="1">
        <f t="array" aca="1" ref="AA468" ca="1">IF(Y468&lt;DATE(2015,5,17),0,
K468*
(
INT((MIN(Y468,DATE(2018,9,23))-MAX(D468,DATE(2015,5,17)))/365)
+
CEILING(MOD((MIN(Y468,DATE(2018,9,23))-MAX(D468,DATE(2015,5,17)))/365,1),0.25)
)
*
_xlfn.SWITCH(J468,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</v>
      </c>
      <c r="AB468" s="1" cm="1">
        <f t="array" aca="1" ref="AB468" ca="1">IF(Y468&lt;DATE(2018,9,24),0,
IF(J468="زراعة",
K468*
(
INT((MIN(Y468,DATE(2023,4,30))-MAX(D468,DATE(2018,9,24)))/365)
+
CEILING(MOD((MIN(Y468,DATE(2023,4,30))-MAX(D468,DATE(2018,9,24)))/365,1),0.25)
)
*1,
K468*
(
DATEDIF(MAX(D468,DATE(2018,9,24)),MIN(Y468,DATE(2023,4,30)),"m")+1
)
*
_xlfn.SWITCH(J468,
"موقف/تندة",IF(D468&lt;DATE(2019,11,30),6,30),
"تشوينات",IF(D468&lt;DATE(2019,11,30),4,20),
"مشاتل",IF(D468&lt;DATE(2019,11,30),2,10),
"كافيتيريا",IF(D468&lt;DATE(2019,11,30),30,150),
"نوادي",IF(D468&lt;DATE(2019,11,30),6,30),
"رسو مراكب",IF(D468&lt;DATE(2019,11,30),2,10),
"مباني",IF(D468&lt;DATE(2018,9,24),2,10),
"عشش",IF(D468&lt;DATE(2019,11,30),2,10),
"كشك (تجاري/صناعي)",IF(D468&lt;DATE(2019,11,30),10,50),
"ردم",20,
0)))</f>
        <v>2240</v>
      </c>
      <c r="AC468" s="1" cm="1">
        <f t="array" aca="1" ref="AC468" ca="1">IF(Y468&lt;DATE(2023,5,1),0,
IF(J468="زراعة",
K468*
(
INT((Y468-MAX(DATE(2023,5,1),D468))/365)
+
CEILING(MOD((Y468-MAX(DATE(2023,5,1),D468))/365,1),0.25)
)
*3,
IF(J468="ردم",
K468*20,
K468*
(
DATEDIF(MAX(DATE(2023,5,1),D468),Y468,"m")+1
)
*
_xlfn.SWITCH(J468,
"موقف/تندة",6,
"تشوينات",4,
"مشاتل",2,
"رسو مراكب",6,
"مباني",3,
"عشش",1,
"كشك (تجاري/صناعي)",20,
"مواسير صرف صحي (&lt;1م)",16,
"مواسير صرف صحي (&gt;1م)",18,
0))))</f>
        <v>740</v>
      </c>
      <c r="AD468" s="1">
        <f t="shared" ca="1" si="44"/>
        <v>55</v>
      </c>
    </row>
    <row r="469" spans="1:30" ht="18.75" x14ac:dyDescent="0.25">
      <c r="A469" s="52">
        <v>424</v>
      </c>
      <c r="B469" s="3">
        <v>18</v>
      </c>
      <c r="C469" s="6">
        <v>2018</v>
      </c>
      <c r="D469" s="7">
        <v>43104</v>
      </c>
      <c r="E469" s="11" t="s">
        <v>647</v>
      </c>
      <c r="F469" s="3"/>
      <c r="G469" s="3" t="s">
        <v>596</v>
      </c>
      <c r="H469" s="3"/>
      <c r="I469" s="6" t="s">
        <v>437</v>
      </c>
      <c r="J469" s="3" t="s">
        <v>28</v>
      </c>
      <c r="K469" s="3">
        <v>20</v>
      </c>
      <c r="L469" s="3" t="s">
        <v>90</v>
      </c>
      <c r="M469" s="2"/>
      <c r="N469" s="3"/>
      <c r="O469" s="9">
        <f>0.47*Table2[[#This Row],[قيمة المحضر]]</f>
        <v>0</v>
      </c>
      <c r="P469" s="9">
        <f>0.17*Table2[[#This Row],[قيمة المحضر]]</f>
        <v>0</v>
      </c>
      <c r="Q469" s="9">
        <f t="shared" ca="1" si="40"/>
        <v>3040</v>
      </c>
      <c r="R469" s="3"/>
      <c r="S469" s="3"/>
      <c r="T469" s="9" t="str">
        <f t="shared" si="45"/>
        <v>-</v>
      </c>
      <c r="U469" s="3" t="s">
        <v>25</v>
      </c>
      <c r="V469" s="9" t="str">
        <f t="shared" si="46"/>
        <v>-</v>
      </c>
      <c r="W469" s="4"/>
      <c r="X469" s="38"/>
      <c r="Y469" s="1">
        <f t="shared" ca="1" si="43"/>
        <v>46162</v>
      </c>
      <c r="Z469" s="1" cm="1">
        <f t="array" ref="Z469">IF(D469&gt;DATE(2015,5,16),0,
K469*
(
INT((MIN(Y469,DATE(2015,5,16))-D469)/365)
+
CEILING(MOD((MIN(Y469,DATE(2015,5,16))-D469)/365,1),0.25)
)
*
_xlfn.SWITCH(J469,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69" s="1" cm="1">
        <f t="array" aca="1" ref="AA469" ca="1">IF(Y469&lt;DATE(2015,5,17),0,
K469*
(
INT((MIN(Y469,DATE(2018,9,23))-MAX(D469,DATE(2015,5,17)))/365)
+
CEILING(MOD((MIN(Y469,DATE(2018,9,23))-MAX(D469,DATE(2015,5,17)))/365,1),0.25)
)
*
_xlfn.SWITCH(J469,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</v>
      </c>
      <c r="AB469" s="1" cm="1">
        <f t="array" aca="1" ref="AB469" ca="1">IF(Y469&lt;DATE(2018,9,24),0,
IF(J469="زراعة",
K469*
(
INT((MIN(Y469,DATE(2023,4,30))-MAX(D469,DATE(2018,9,24)))/365)
+
CEILING(MOD((MIN(Y469,DATE(2023,4,30))-MAX(D469,DATE(2018,9,24)))/365,1),0.25)
)
*1,
K469*
(
DATEDIF(MAX(D469,DATE(2018,9,24)),MIN(Y469,DATE(2023,4,30)),"m")+1
)
*
_xlfn.SWITCH(J469,
"موقف/تندة",IF(D469&lt;DATE(2019,11,30),6,30),
"تشوينات",IF(D469&lt;DATE(2019,11,30),4,20),
"مشاتل",IF(D469&lt;DATE(2019,11,30),2,10),
"كافيتيريا",IF(D469&lt;DATE(2019,11,30),30,150),
"نوادي",IF(D469&lt;DATE(2019,11,30),6,30),
"رسو مراكب",IF(D469&lt;DATE(2019,11,30),2,10),
"مباني",IF(D469&lt;DATE(2018,9,24),2,10),
"عشش",IF(D469&lt;DATE(2019,11,30),2,10),
"كشك (تجاري/صناعي)",IF(D469&lt;DATE(2019,11,30),10,50),
"ردم",20,
0)))</f>
        <v>2240</v>
      </c>
      <c r="AC469" s="1" cm="1">
        <f t="array" aca="1" ref="AC469" ca="1">IF(Y469&lt;DATE(2023,5,1),0,
IF(J469="زراعة",
K469*
(
INT((Y469-MAX(DATE(2023,5,1),D469))/365)
+
CEILING(MOD((Y469-MAX(DATE(2023,5,1),D469))/365,1),0.25)
)
*3,
IF(J469="ردم",
K469*20,
K469*
(
DATEDIF(MAX(DATE(2023,5,1),D469),Y469,"m")+1
)
*
_xlfn.SWITCH(J469,
"موقف/تندة",6,
"تشوينات",4,
"مشاتل",2,
"رسو مراكب",6,
"مباني",3,
"عشش",1,
"كشك (تجاري/صناعي)",20,
"مواسير صرف صحي (&lt;1م)",16,
"مواسير صرف صحي (&gt;1م)",18,
0))))</f>
        <v>740</v>
      </c>
      <c r="AD469" s="1">
        <f t="shared" ca="1" si="44"/>
        <v>55</v>
      </c>
    </row>
    <row r="470" spans="1:30" ht="18.75" x14ac:dyDescent="0.25">
      <c r="A470" s="52">
        <v>425</v>
      </c>
      <c r="B470" s="3">
        <v>19</v>
      </c>
      <c r="C470" s="6">
        <v>2018</v>
      </c>
      <c r="D470" s="7">
        <v>43104</v>
      </c>
      <c r="E470" s="11" t="s">
        <v>648</v>
      </c>
      <c r="F470" s="3"/>
      <c r="G470" s="3" t="s">
        <v>597</v>
      </c>
      <c r="H470" s="3"/>
      <c r="I470" s="6" t="s">
        <v>437</v>
      </c>
      <c r="J470" s="3" t="s">
        <v>28</v>
      </c>
      <c r="K470" s="3">
        <v>50</v>
      </c>
      <c r="L470" s="3" t="s">
        <v>90</v>
      </c>
      <c r="M470" s="2"/>
      <c r="N470" s="3"/>
      <c r="O470" s="9">
        <f>0.47*Table2[[#This Row],[قيمة المحضر]]</f>
        <v>0</v>
      </c>
      <c r="P470" s="9">
        <f>0.17*Table2[[#This Row],[قيمة المحضر]]</f>
        <v>0</v>
      </c>
      <c r="Q470" s="9">
        <f t="shared" ca="1" si="40"/>
        <v>7600</v>
      </c>
      <c r="R470" s="3"/>
      <c r="S470" s="3"/>
      <c r="T470" s="9" t="str">
        <f t="shared" si="45"/>
        <v>-</v>
      </c>
      <c r="U470" s="3" t="s">
        <v>25</v>
      </c>
      <c r="V470" s="9" t="str">
        <f t="shared" si="46"/>
        <v>-</v>
      </c>
      <c r="W470" s="4"/>
      <c r="X470" s="38"/>
      <c r="Y470" s="1">
        <f t="shared" ca="1" si="43"/>
        <v>46162</v>
      </c>
      <c r="Z470" s="1" cm="1">
        <f t="array" ref="Z470">IF(D470&gt;DATE(2015,5,16),0,
K470*
(
INT((MIN(Y470,DATE(2015,5,16))-D470)/365)
+
CEILING(MOD((MIN(Y470,DATE(2015,5,16))-D470)/365,1),0.25)
)
*
_xlfn.SWITCH(J470,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70" s="1" cm="1">
        <f t="array" aca="1" ref="AA470" ca="1">IF(Y470&lt;DATE(2015,5,17),0,
K470*
(
INT((MIN(Y470,DATE(2018,9,23))-MAX(D470,DATE(2015,5,17)))/365)
+
CEILING(MOD((MIN(Y470,DATE(2018,9,23))-MAX(D470,DATE(2015,5,17)))/365,1),0.25)
)
*
_xlfn.SWITCH(J470,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150</v>
      </c>
      <c r="AB470" s="1" cm="1">
        <f t="array" aca="1" ref="AB470" ca="1">IF(Y470&lt;DATE(2018,9,24),0,
IF(J470="زراعة",
K470*
(
INT((MIN(Y470,DATE(2023,4,30))-MAX(D470,DATE(2018,9,24)))/365)
+
CEILING(MOD((MIN(Y470,DATE(2023,4,30))-MAX(D470,DATE(2018,9,24)))/365,1),0.25)
)
*1,
K470*
(
DATEDIF(MAX(D470,DATE(2018,9,24)),MIN(Y470,DATE(2023,4,30)),"m")+1
)
*
_xlfn.SWITCH(J470,
"موقف/تندة",IF(D470&lt;DATE(2019,11,30),6,30),
"تشوينات",IF(D470&lt;DATE(2019,11,30),4,20),
"مشاتل",IF(D470&lt;DATE(2019,11,30),2,10),
"كافيتيريا",IF(D470&lt;DATE(2019,11,30),30,150),
"نوادي",IF(D470&lt;DATE(2019,11,30),6,30),
"رسو مراكب",IF(D470&lt;DATE(2019,11,30),2,10),
"مباني",IF(D470&lt;DATE(2018,9,24),2,10),
"عشش",IF(D470&lt;DATE(2019,11,30),2,10),
"كشك (تجاري/صناعي)",IF(D470&lt;DATE(2019,11,30),10,50),
"ردم",20,
0)))</f>
        <v>5600</v>
      </c>
      <c r="AC470" s="1" cm="1">
        <f t="array" aca="1" ref="AC470" ca="1">IF(Y470&lt;DATE(2023,5,1),0,
IF(J470="زراعة",
K470*
(
INT((Y470-MAX(DATE(2023,5,1),D470))/365)
+
CEILING(MOD((Y470-MAX(DATE(2023,5,1),D470))/365,1),0.25)
)
*3,
IF(J470="ردم",
K470*20,
K470*
(
DATEDIF(MAX(DATE(2023,5,1),D470),Y470,"m")+1
)
*
_xlfn.SWITCH(J470,
"موقف/تندة",6,
"تشوينات",4,
"مشاتل",2,
"رسو مراكب",6,
"مباني",3,
"عشش",1,
"كشك (تجاري/صناعي)",20,
"مواسير صرف صحي (&lt;1م)",16,
"مواسير صرف صحي (&gt;1م)",18,
0))))</f>
        <v>1850</v>
      </c>
      <c r="AD470" s="1">
        <f t="shared" ca="1" si="44"/>
        <v>55</v>
      </c>
    </row>
    <row r="471" spans="1:30" ht="18.75" x14ac:dyDescent="0.25">
      <c r="A471" s="52">
        <v>426</v>
      </c>
      <c r="B471" s="3">
        <v>20</v>
      </c>
      <c r="C471" s="6">
        <v>2018</v>
      </c>
      <c r="D471" s="7">
        <v>43104</v>
      </c>
      <c r="E471" s="11" t="s">
        <v>641</v>
      </c>
      <c r="F471" s="3"/>
      <c r="G471" s="3" t="s">
        <v>598</v>
      </c>
      <c r="H471" s="3"/>
      <c r="I471" s="6" t="s">
        <v>437</v>
      </c>
      <c r="J471" s="3" t="s">
        <v>28</v>
      </c>
      <c r="K471" s="3">
        <v>16</v>
      </c>
      <c r="L471" s="3" t="s">
        <v>90</v>
      </c>
      <c r="M471" s="2"/>
      <c r="N471" s="3"/>
      <c r="O471" s="9">
        <f>0.47*Table2[[#This Row],[قيمة المحضر]]</f>
        <v>0</v>
      </c>
      <c r="P471" s="9">
        <f>0.17*Table2[[#This Row],[قيمة المحضر]]</f>
        <v>0</v>
      </c>
      <c r="Q471" s="9">
        <f t="shared" ca="1" si="40"/>
        <v>2432</v>
      </c>
      <c r="R471" s="3"/>
      <c r="S471" s="3"/>
      <c r="T471" s="9" t="str">
        <f t="shared" si="45"/>
        <v>-</v>
      </c>
      <c r="U471" s="3" t="s">
        <v>25</v>
      </c>
      <c r="V471" s="9" t="str">
        <f t="shared" si="46"/>
        <v>-</v>
      </c>
      <c r="W471" s="4"/>
      <c r="X471" s="38"/>
      <c r="Y471" s="1">
        <f t="shared" ca="1" si="43"/>
        <v>46162</v>
      </c>
      <c r="Z471" s="1" cm="1">
        <f t="array" ref="Z471">IF(D471&gt;DATE(2015,5,16),0,
K471*
(
INT((MIN(Y471,DATE(2015,5,16))-D471)/365)
+
CEILING(MOD((MIN(Y471,DATE(2015,5,16))-D471)/365,1),0.25)
)
*
_xlfn.SWITCH(J471,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71" s="1" cm="1">
        <f t="array" aca="1" ref="AA471" ca="1">IF(Y471&lt;DATE(2015,5,17),0,
K471*
(
INT((MIN(Y471,DATE(2018,9,23))-MAX(D471,DATE(2015,5,17)))/365)
+
CEILING(MOD((MIN(Y471,DATE(2018,9,23))-MAX(D471,DATE(2015,5,17)))/365,1),0.25)
)
*
_xlfn.SWITCH(J471,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48</v>
      </c>
      <c r="AB471" s="1" cm="1">
        <f t="array" aca="1" ref="AB471" ca="1">IF(Y471&lt;DATE(2018,9,24),0,
IF(J471="زراعة",
K471*
(
INT((MIN(Y471,DATE(2023,4,30))-MAX(D471,DATE(2018,9,24)))/365)
+
CEILING(MOD((MIN(Y471,DATE(2023,4,30))-MAX(D471,DATE(2018,9,24)))/365,1),0.25)
)
*1,
K471*
(
DATEDIF(MAX(D471,DATE(2018,9,24)),MIN(Y471,DATE(2023,4,30)),"m")+1
)
*
_xlfn.SWITCH(J471,
"موقف/تندة",IF(D471&lt;DATE(2019,11,30),6,30),
"تشوينات",IF(D471&lt;DATE(2019,11,30),4,20),
"مشاتل",IF(D471&lt;DATE(2019,11,30),2,10),
"كافيتيريا",IF(D471&lt;DATE(2019,11,30),30,150),
"نوادي",IF(D471&lt;DATE(2019,11,30),6,30),
"رسو مراكب",IF(D471&lt;DATE(2019,11,30),2,10),
"مباني",IF(D471&lt;DATE(2018,9,24),2,10),
"عشش",IF(D471&lt;DATE(2019,11,30),2,10),
"كشك (تجاري/صناعي)",IF(D471&lt;DATE(2019,11,30),10,50),
"ردم",20,
0)))</f>
        <v>1792</v>
      </c>
      <c r="AC471" s="1" cm="1">
        <f t="array" aca="1" ref="AC471" ca="1">IF(Y471&lt;DATE(2023,5,1),0,
IF(J471="زراعة",
K471*
(
INT((Y471-MAX(DATE(2023,5,1),D471))/365)
+
CEILING(MOD((Y471-MAX(DATE(2023,5,1),D471))/365,1),0.25)
)
*3,
IF(J471="ردم",
K471*20,
K471*
(
DATEDIF(MAX(DATE(2023,5,1),D471),Y471,"m")+1
)
*
_xlfn.SWITCH(J471,
"موقف/تندة",6,
"تشوينات",4,
"مشاتل",2,
"رسو مراكب",6,
"مباني",3,
"عشش",1,
"كشك (تجاري/صناعي)",20,
"مواسير صرف صحي (&lt;1م)",16,
"مواسير صرف صحي (&gt;1م)",18,
0))))</f>
        <v>592</v>
      </c>
      <c r="AD471" s="1">
        <f t="shared" ca="1" si="44"/>
        <v>55</v>
      </c>
    </row>
    <row r="472" spans="1:30" ht="18.75" x14ac:dyDescent="0.25">
      <c r="A472" s="52">
        <v>427</v>
      </c>
      <c r="B472" s="3">
        <v>21</v>
      </c>
      <c r="C472" s="6">
        <v>2018</v>
      </c>
      <c r="D472" s="7">
        <v>43104</v>
      </c>
      <c r="E472" s="11" t="s">
        <v>640</v>
      </c>
      <c r="F472" s="3"/>
      <c r="G472" s="3" t="s">
        <v>599</v>
      </c>
      <c r="H472" s="3"/>
      <c r="I472" s="6" t="s">
        <v>437</v>
      </c>
      <c r="J472" s="3" t="s">
        <v>28</v>
      </c>
      <c r="K472" s="3">
        <v>16</v>
      </c>
      <c r="L472" s="3" t="s">
        <v>90</v>
      </c>
      <c r="M472" s="2"/>
      <c r="N472" s="3"/>
      <c r="O472" s="9">
        <f>0.47*Table2[[#This Row],[قيمة المحضر]]</f>
        <v>0</v>
      </c>
      <c r="P472" s="9">
        <f>0.17*Table2[[#This Row],[قيمة المحضر]]</f>
        <v>0</v>
      </c>
      <c r="Q472" s="9">
        <f t="shared" ca="1" si="40"/>
        <v>2432</v>
      </c>
      <c r="R472" s="3"/>
      <c r="S472" s="3"/>
      <c r="T472" s="9" t="str">
        <f t="shared" si="45"/>
        <v>-</v>
      </c>
      <c r="U472" s="3" t="s">
        <v>25</v>
      </c>
      <c r="V472" s="9" t="str">
        <f t="shared" si="46"/>
        <v>-</v>
      </c>
      <c r="W472" s="4"/>
      <c r="X472" s="38"/>
      <c r="Y472" s="1">
        <f t="shared" ca="1" si="43"/>
        <v>46162</v>
      </c>
      <c r="Z472" s="1" cm="1">
        <f t="array" ref="Z472">IF(D472&gt;DATE(2015,5,16),0,
K472*
(
INT((MIN(Y472,DATE(2015,5,16))-D472)/365)
+
CEILING(MOD((MIN(Y472,DATE(2015,5,16))-D472)/365,1),0.25)
)
*
_xlfn.SWITCH(J472,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72" s="1" cm="1">
        <f t="array" aca="1" ref="AA472" ca="1">IF(Y472&lt;DATE(2015,5,17),0,
K472*
(
INT((MIN(Y472,DATE(2018,9,23))-MAX(D472,DATE(2015,5,17)))/365)
+
CEILING(MOD((MIN(Y472,DATE(2018,9,23))-MAX(D472,DATE(2015,5,17)))/365,1),0.25)
)
*
_xlfn.SWITCH(J472,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48</v>
      </c>
      <c r="AB472" s="1" cm="1">
        <f t="array" aca="1" ref="AB472" ca="1">IF(Y472&lt;DATE(2018,9,24),0,
IF(J472="زراعة",
K472*
(
INT((MIN(Y472,DATE(2023,4,30))-MAX(D472,DATE(2018,9,24)))/365)
+
CEILING(MOD((MIN(Y472,DATE(2023,4,30))-MAX(D472,DATE(2018,9,24)))/365,1),0.25)
)
*1,
K472*
(
DATEDIF(MAX(D472,DATE(2018,9,24)),MIN(Y472,DATE(2023,4,30)),"m")+1
)
*
_xlfn.SWITCH(J472,
"موقف/تندة",IF(D472&lt;DATE(2019,11,30),6,30),
"تشوينات",IF(D472&lt;DATE(2019,11,30),4,20),
"مشاتل",IF(D472&lt;DATE(2019,11,30),2,10),
"كافيتيريا",IF(D472&lt;DATE(2019,11,30),30,150),
"نوادي",IF(D472&lt;DATE(2019,11,30),6,30),
"رسو مراكب",IF(D472&lt;DATE(2019,11,30),2,10),
"مباني",IF(D472&lt;DATE(2018,9,24),2,10),
"عشش",IF(D472&lt;DATE(2019,11,30),2,10),
"كشك (تجاري/صناعي)",IF(D472&lt;DATE(2019,11,30),10,50),
"ردم",20,
0)))</f>
        <v>1792</v>
      </c>
      <c r="AC472" s="1" cm="1">
        <f t="array" aca="1" ref="AC472" ca="1">IF(Y472&lt;DATE(2023,5,1),0,
IF(J472="زراعة",
K472*
(
INT((Y472-MAX(DATE(2023,5,1),D472))/365)
+
CEILING(MOD((Y472-MAX(DATE(2023,5,1),D472))/365,1),0.25)
)
*3,
IF(J472="ردم",
K472*20,
K472*
(
DATEDIF(MAX(DATE(2023,5,1),D472),Y472,"m")+1
)
*
_xlfn.SWITCH(J472,
"موقف/تندة",6,
"تشوينات",4,
"مشاتل",2,
"رسو مراكب",6,
"مباني",3,
"عشش",1,
"كشك (تجاري/صناعي)",20,
"مواسير صرف صحي (&lt;1م)",16,
"مواسير صرف صحي (&gt;1م)",18,
0))))</f>
        <v>592</v>
      </c>
      <c r="AD472" s="1">
        <f t="shared" ca="1" si="44"/>
        <v>55</v>
      </c>
    </row>
    <row r="473" spans="1:30" ht="18.75" x14ac:dyDescent="0.25">
      <c r="A473" s="52">
        <v>428</v>
      </c>
      <c r="B473" s="83">
        <v>22</v>
      </c>
      <c r="C473" s="6">
        <v>2018</v>
      </c>
      <c r="D473" s="7">
        <v>43129</v>
      </c>
      <c r="E473" s="11" t="s">
        <v>649</v>
      </c>
      <c r="F473" s="3"/>
      <c r="G473" s="3" t="s">
        <v>600</v>
      </c>
      <c r="H473" s="3"/>
      <c r="I473" s="6" t="s">
        <v>144</v>
      </c>
      <c r="J473" s="3" t="s">
        <v>77</v>
      </c>
      <c r="K473" s="3">
        <v>6</v>
      </c>
      <c r="L473" s="3" t="s">
        <v>672</v>
      </c>
      <c r="M473" s="2"/>
      <c r="N473" s="3"/>
      <c r="O473" s="9">
        <f>0.47*Table2[[#This Row],[قيمة المحضر]]</f>
        <v>0</v>
      </c>
      <c r="P473" s="9">
        <f>0.17*Table2[[#This Row],[قيمة المحضر]]</f>
        <v>0</v>
      </c>
      <c r="Q473" s="9">
        <f t="shared" ca="1" si="40"/>
        <v>6930</v>
      </c>
      <c r="R473" s="3"/>
      <c r="S473" s="3"/>
      <c r="T473" s="9" t="str">
        <f t="shared" si="45"/>
        <v>-</v>
      </c>
      <c r="U473" s="3" t="s">
        <v>25</v>
      </c>
      <c r="V473" s="9" t="str">
        <f t="shared" si="46"/>
        <v>-</v>
      </c>
      <c r="W473" s="4"/>
      <c r="X473" s="38"/>
      <c r="Y473" s="1">
        <f t="shared" ca="1" si="43"/>
        <v>46162</v>
      </c>
      <c r="Z473" s="1" cm="1">
        <f t="array" ref="Z473">IF(D473&gt;DATE(2015,5,16),0,
K473*
(
INT((MIN(Y473,DATE(2015,5,16))-D473)/365)
+
CEILING(MOD((MIN(Y473,DATE(2015,5,16))-D473)/365,1),0.25)
)
*
_xlfn.SWITCH(J473,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73" s="1" cm="1">
        <f t="array" aca="1" ref="AA473" ca="1">IF(Y473&lt;DATE(2015,5,17),0,
K473*
(
INT((MIN(Y473,DATE(2018,9,23))-MAX(D473,DATE(2015,5,17)))/365)
+
CEILING(MOD((MIN(Y473,DATE(2018,9,23))-MAX(D473,DATE(2015,5,17)))/365,1),0.25)
)
*
_xlfn.SWITCH(J473,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</v>
      </c>
      <c r="AB473" s="1" cm="1">
        <f t="array" aca="1" ref="AB473" ca="1">IF(Y473&lt;DATE(2018,9,24),0,
IF(J473="زراعة",
K473*
(
INT((MIN(Y473,DATE(2023,4,30))-MAX(D473,DATE(2018,9,24)))/365)
+
CEILING(MOD((MIN(Y473,DATE(2023,4,30))-MAX(D473,DATE(2018,9,24)))/365,1),0.25)
)
*1,
K473*
(
DATEDIF(MAX(D473,DATE(2018,9,24)),MIN(Y473,DATE(2023,4,30)),"m")+1
)
*
_xlfn.SWITCH(J473,
"موقف/تندة",IF(D473&lt;DATE(2019,11,30),6,30),
"تشوينات",IF(D473&lt;DATE(2019,11,30),4,20),
"مشاتل",IF(D473&lt;DATE(2019,11,30),2,10),
"كافيتيريا",IF(D473&lt;DATE(2019,11,30),30,150),
"نوادي",IF(D473&lt;DATE(2019,11,30),6,30),
"رسو مراكب",IF(D473&lt;DATE(2019,11,30),2,10),
"مباني",IF(D473&lt;DATE(2018,9,24),2,10),
"عشش",IF(D473&lt;DATE(2019,11,30),2,10),
"كشك (تجاري/صناعي)",IF(D473&lt;DATE(2019,11,30),10,50),
"ردم",20,
0)))</f>
        <v>6720</v>
      </c>
      <c r="AC473" s="1" cm="1">
        <f t="array" aca="1" ref="AC473" ca="1">IF(Y473&lt;DATE(2023,5,1),0,
IF(J473="زراعة",
K473*
(
INT((Y473-MAX(DATE(2023,5,1),D473))/365)
+
CEILING(MOD((Y473-MAX(DATE(2023,5,1),D473))/365,1),0.25)
)
*3,
IF(J473="ردم",
K473*20,
K473*
(
DATEDIF(MAX(DATE(2023,5,1),D473),Y473,"m")+1
)
*
_xlfn.SWITCH(J473,
"موقف/تندة",6,
"تشوينات",4,
"مشاتل",2,
"رسو مراكب",6,
"مباني",3,
"عشش",1,
"كشك (تجاري/صناعي)",20,
"مواسير صرف صحي (&lt;1م)",16,
"مواسير صرف صحي (&gt;1م)",18,
0))))</f>
        <v>120</v>
      </c>
      <c r="AD473" s="1">
        <f t="shared" ca="1" si="44"/>
        <v>55</v>
      </c>
    </row>
    <row r="474" spans="1:30" ht="18.75" x14ac:dyDescent="0.25">
      <c r="A474" s="84">
        <v>428</v>
      </c>
      <c r="B474" s="83">
        <v>22</v>
      </c>
      <c r="C474" s="6">
        <v>2018</v>
      </c>
      <c r="D474" s="7">
        <v>43129</v>
      </c>
      <c r="E474" s="11" t="s">
        <v>649</v>
      </c>
      <c r="F474" s="3"/>
      <c r="G474" s="3" t="s">
        <v>600</v>
      </c>
      <c r="H474" s="3"/>
      <c r="I474" s="6" t="s">
        <v>144</v>
      </c>
      <c r="J474" s="3" t="s">
        <v>29</v>
      </c>
      <c r="K474" s="3">
        <v>6</v>
      </c>
      <c r="L474" s="3" t="s">
        <v>672</v>
      </c>
      <c r="M474" s="2"/>
      <c r="N474" s="3"/>
      <c r="O474" s="9">
        <f>0.47*Table2[[#This Row],[قيمة المحضر]]</f>
        <v>0</v>
      </c>
      <c r="P474" s="9">
        <f>0.17*Table2[[#This Row],[قيمة المحضر]]</f>
        <v>0</v>
      </c>
      <c r="Q474" s="9">
        <f t="shared" ca="1" si="40"/>
        <v>8340</v>
      </c>
      <c r="R474" s="3"/>
      <c r="S474" s="3"/>
      <c r="T474" s="9" t="str">
        <f t="shared" si="45"/>
        <v>-</v>
      </c>
      <c r="U474" s="3" t="s">
        <v>25</v>
      </c>
      <c r="V474" s="9" t="str">
        <f t="shared" si="46"/>
        <v>-</v>
      </c>
      <c r="W474" s="4"/>
      <c r="X474" s="38"/>
      <c r="Y474" s="1">
        <f t="shared" ca="1" si="43"/>
        <v>46162</v>
      </c>
      <c r="Z474" s="1" cm="1">
        <f t="array" ref="Z474">IF(D474&gt;DATE(2015,5,16),0,
K474*
(
INT((MIN(Y474,DATE(2015,5,16))-D474)/365)
+
CEILING(MOD((MIN(Y474,DATE(2015,5,16))-D474)/365,1),0.25)
)
*
_xlfn.SWITCH(J474,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74" s="1" cm="1">
        <f t="array" aca="1" ref="AA474" ca="1">IF(Y474&lt;DATE(2015,5,17),0,
K474*
(
INT((MIN(Y474,DATE(2018,9,23))-MAX(D474,DATE(2015,5,17)))/365)
+
CEILING(MOD((MIN(Y474,DATE(2018,9,23))-MAX(D474,DATE(2015,5,17)))/365,1),0.25)
)
*
_xlfn.SWITCH(J474,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540</v>
      </c>
      <c r="AB474" s="1" cm="1">
        <f t="array" aca="1" ref="AB474" ca="1">IF(Y474&lt;DATE(2018,9,24),0,
IF(J474="زراعة",
K474*
(
INT((MIN(Y474,DATE(2023,4,30))-MAX(D474,DATE(2018,9,24)))/365)
+
CEILING(MOD((MIN(Y474,DATE(2023,4,30))-MAX(D474,DATE(2018,9,24)))/365,1),0.25)
)
*1,
K474*
(
DATEDIF(MAX(D474,DATE(2018,9,24)),MIN(Y474,DATE(2023,4,30)),"m")+1
)
*
_xlfn.SWITCH(J474,
"موقف/تندة",IF(D474&lt;DATE(2019,11,30),6,30),
"تشوينات",IF(D474&lt;DATE(2019,11,30),4,20),
"مشاتل",IF(D474&lt;DATE(2019,11,30),2,10),
"كافيتيريا",IF(D474&lt;DATE(2019,11,30),30,150),
"نوادي",IF(D474&lt;DATE(2019,11,30),6,30),
"رسو مراكب",IF(D474&lt;DATE(2019,11,30),2,10),
"مباني",IF(D474&lt;DATE(2018,9,24),2,10),
"عشش",IF(D474&lt;DATE(2019,11,30),2,10),
"كشك (تجاري/صناعي)",IF(D474&lt;DATE(2019,11,30),10,50),
"ردم",20,
0)))</f>
        <v>3360</v>
      </c>
      <c r="AC474" s="1" cm="1">
        <f t="array" aca="1" ref="AC474" ca="1">IF(Y474&lt;DATE(2023,5,1),0,
IF(J474="زراعة",
K474*
(
INT((Y474-MAX(DATE(2023,5,1),D474))/365)
+
CEILING(MOD((Y474-MAX(DATE(2023,5,1),D474))/365,1),0.25)
)
*3,
IF(J474="ردم",
K474*20,
K474*
(
DATEDIF(MAX(DATE(2023,5,1),D474),Y474,"m")+1
)
*
_xlfn.SWITCH(J474,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474" s="1">
        <f t="shared" ca="1" si="44"/>
        <v>55</v>
      </c>
    </row>
    <row r="475" spans="1:30" ht="18.75" x14ac:dyDescent="0.25">
      <c r="A475" s="84">
        <v>429</v>
      </c>
      <c r="B475" s="83">
        <v>23</v>
      </c>
      <c r="C475" s="6">
        <v>2018</v>
      </c>
      <c r="D475" s="7">
        <v>43129</v>
      </c>
      <c r="E475" s="11" t="s">
        <v>650</v>
      </c>
      <c r="F475" s="3"/>
      <c r="G475" s="3" t="s">
        <v>601</v>
      </c>
      <c r="H475" s="3"/>
      <c r="I475" s="6" t="s">
        <v>144</v>
      </c>
      <c r="J475" s="3" t="s">
        <v>77</v>
      </c>
      <c r="K475" s="3">
        <v>6</v>
      </c>
      <c r="L475" s="3" t="s">
        <v>196</v>
      </c>
      <c r="M475" s="2"/>
      <c r="N475" s="3"/>
      <c r="O475" s="9">
        <f>0.47*Table2[[#This Row],[قيمة المحضر]]</f>
        <v>0</v>
      </c>
      <c r="P475" s="9">
        <f>0.17*Table2[[#This Row],[قيمة المحضر]]</f>
        <v>0</v>
      </c>
      <c r="Q475" s="9">
        <f t="shared" ref="Q475:Q538" ca="1" si="47">Z475+AA475+AB475+AC475</f>
        <v>6930</v>
      </c>
      <c r="R475" s="3"/>
      <c r="S475" s="3"/>
      <c r="T475" s="9" t="str">
        <f t="shared" si="45"/>
        <v>-</v>
      </c>
      <c r="U475" s="3" t="s">
        <v>25</v>
      </c>
      <c r="V475" s="9" t="str">
        <f t="shared" si="46"/>
        <v>-</v>
      </c>
      <c r="W475" s="4"/>
      <c r="X475" s="38"/>
      <c r="Y475" s="1">
        <f t="shared" ca="1" si="43"/>
        <v>46162</v>
      </c>
      <c r="Z475" s="1" cm="1">
        <f t="array" ref="Z475">IF(D475&gt;DATE(2015,5,16),0,
K475*
(
INT((MIN(Y475,DATE(2015,5,16))-D475)/365)
+
CEILING(MOD((MIN(Y475,DATE(2015,5,16))-D475)/365,1),0.25)
)
*
_xlfn.SWITCH(J475,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75" s="1" cm="1">
        <f t="array" aca="1" ref="AA475" ca="1">IF(Y475&lt;DATE(2015,5,17),0,
K475*
(
INT((MIN(Y475,DATE(2018,9,23))-MAX(D475,DATE(2015,5,17)))/365)
+
CEILING(MOD((MIN(Y475,DATE(2018,9,23))-MAX(D475,DATE(2015,5,17)))/365,1),0.25)
)
*
_xlfn.SWITCH(J475,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</v>
      </c>
      <c r="AB475" s="1" cm="1">
        <f t="array" aca="1" ref="AB475" ca="1">IF(Y475&lt;DATE(2018,9,24),0,
IF(J475="زراعة",
K475*
(
INT((MIN(Y475,DATE(2023,4,30))-MAX(D475,DATE(2018,9,24)))/365)
+
CEILING(MOD((MIN(Y475,DATE(2023,4,30))-MAX(D475,DATE(2018,9,24)))/365,1),0.25)
)
*1,
K475*
(
DATEDIF(MAX(D475,DATE(2018,9,24)),MIN(Y475,DATE(2023,4,30)),"m")+1
)
*
_xlfn.SWITCH(J475,
"موقف/تندة",IF(D475&lt;DATE(2019,11,30),6,30),
"تشوينات",IF(D475&lt;DATE(2019,11,30),4,20),
"مشاتل",IF(D475&lt;DATE(2019,11,30),2,10),
"كافيتيريا",IF(D475&lt;DATE(2019,11,30),30,150),
"نوادي",IF(D475&lt;DATE(2019,11,30),6,30),
"رسو مراكب",IF(D475&lt;DATE(2019,11,30),2,10),
"مباني",IF(D475&lt;DATE(2018,9,24),2,10),
"عشش",IF(D475&lt;DATE(2019,11,30),2,10),
"كشك (تجاري/صناعي)",IF(D475&lt;DATE(2019,11,30),10,50),
"ردم",20,
0)))</f>
        <v>6720</v>
      </c>
      <c r="AC475" s="1" cm="1">
        <f t="array" aca="1" ref="AC475" ca="1">IF(Y475&lt;DATE(2023,5,1),0,
IF(J475="زراعة",
K475*
(
INT((Y475-MAX(DATE(2023,5,1),D475))/365)
+
CEILING(MOD((Y475-MAX(DATE(2023,5,1),D475))/365,1),0.25)
)
*3,
IF(J475="ردم",
K475*20,
K475*
(
DATEDIF(MAX(DATE(2023,5,1),D475),Y475,"m")+1
)
*
_xlfn.SWITCH(J475,
"موقف/تندة",6,
"تشوينات",4,
"مشاتل",2,
"رسو مراكب",6,
"مباني",3,
"عشش",1,
"كشك (تجاري/صناعي)",20,
"مواسير صرف صحي (&lt;1م)",16,
"مواسير صرف صحي (&gt;1م)",18,
0))))</f>
        <v>120</v>
      </c>
      <c r="AD475" s="1">
        <f t="shared" ca="1" si="44"/>
        <v>55</v>
      </c>
    </row>
    <row r="476" spans="1:30" ht="18.75" x14ac:dyDescent="0.25">
      <c r="A476" s="84">
        <v>429</v>
      </c>
      <c r="B476" s="83">
        <v>23</v>
      </c>
      <c r="C476" s="6">
        <v>2018</v>
      </c>
      <c r="D476" s="7">
        <v>43129</v>
      </c>
      <c r="E476" s="11" t="s">
        <v>650</v>
      </c>
      <c r="F476" s="3"/>
      <c r="G476" s="3" t="s">
        <v>601</v>
      </c>
      <c r="H476" s="3"/>
      <c r="I476" s="6" t="s">
        <v>144</v>
      </c>
      <c r="J476" s="3" t="s">
        <v>29</v>
      </c>
      <c r="K476" s="3">
        <v>6</v>
      </c>
      <c r="L476" s="3" t="s">
        <v>196</v>
      </c>
      <c r="M476" s="2"/>
      <c r="N476" s="3"/>
      <c r="O476" s="9">
        <f>0.47*Table2[[#This Row],[قيمة المحضر]]</f>
        <v>0</v>
      </c>
      <c r="P476" s="9">
        <f>0.17*Table2[[#This Row],[قيمة المحضر]]</f>
        <v>0</v>
      </c>
      <c r="Q476" s="9">
        <f t="shared" ca="1" si="47"/>
        <v>8340</v>
      </c>
      <c r="R476" s="3"/>
      <c r="S476" s="3"/>
      <c r="T476" s="9" t="str">
        <f t="shared" si="45"/>
        <v>-</v>
      </c>
      <c r="U476" s="3" t="s">
        <v>25</v>
      </c>
      <c r="V476" s="9" t="str">
        <f t="shared" si="46"/>
        <v>-</v>
      </c>
      <c r="W476" s="4"/>
      <c r="X476" s="38"/>
      <c r="Y476" s="1">
        <f t="shared" ca="1" si="43"/>
        <v>46162</v>
      </c>
      <c r="Z476" s="1" cm="1">
        <f t="array" ref="Z476">IF(D476&gt;DATE(2015,5,16),0,
K476*
(
INT((MIN(Y476,DATE(2015,5,16))-D476)/365)
+
CEILING(MOD((MIN(Y476,DATE(2015,5,16))-D476)/365,1),0.25)
)
*
_xlfn.SWITCH(J476,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76" s="1" cm="1">
        <f t="array" aca="1" ref="AA476" ca="1">IF(Y476&lt;DATE(2015,5,17),0,
K476*
(
INT((MIN(Y476,DATE(2018,9,23))-MAX(D476,DATE(2015,5,17)))/365)
+
CEILING(MOD((MIN(Y476,DATE(2018,9,23))-MAX(D476,DATE(2015,5,17)))/365,1),0.25)
)
*
_xlfn.SWITCH(J476,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540</v>
      </c>
      <c r="AB476" s="1" cm="1">
        <f t="array" aca="1" ref="AB476" ca="1">IF(Y476&lt;DATE(2018,9,24),0,
IF(J476="زراعة",
K476*
(
INT((MIN(Y476,DATE(2023,4,30))-MAX(D476,DATE(2018,9,24)))/365)
+
CEILING(MOD((MIN(Y476,DATE(2023,4,30))-MAX(D476,DATE(2018,9,24)))/365,1),0.25)
)
*1,
K476*
(
DATEDIF(MAX(D476,DATE(2018,9,24)),MIN(Y476,DATE(2023,4,30)),"m")+1
)
*
_xlfn.SWITCH(J476,
"موقف/تندة",IF(D476&lt;DATE(2019,11,30),6,30),
"تشوينات",IF(D476&lt;DATE(2019,11,30),4,20),
"مشاتل",IF(D476&lt;DATE(2019,11,30),2,10),
"كافيتيريا",IF(D476&lt;DATE(2019,11,30),30,150),
"نوادي",IF(D476&lt;DATE(2019,11,30),6,30),
"رسو مراكب",IF(D476&lt;DATE(2019,11,30),2,10),
"مباني",IF(D476&lt;DATE(2018,9,24),2,10),
"عشش",IF(D476&lt;DATE(2019,11,30),2,10),
"كشك (تجاري/صناعي)",IF(D476&lt;DATE(2019,11,30),10,50),
"ردم",20,
0)))</f>
        <v>3360</v>
      </c>
      <c r="AC476" s="1" cm="1">
        <f t="array" aca="1" ref="AC476" ca="1">IF(Y476&lt;DATE(2023,5,1),0,
IF(J476="زراعة",
K476*
(
INT((Y476-MAX(DATE(2023,5,1),D476))/365)
+
CEILING(MOD((Y476-MAX(DATE(2023,5,1),D476))/365,1),0.25)
)
*3,
IF(J476="ردم",
K476*20,
K476*
(
DATEDIF(MAX(DATE(2023,5,1),D476),Y476,"m")+1
)
*
_xlfn.SWITCH(J476,
"موقف/تندة",6,
"تشوينات",4,
"مشاتل",2,
"رسو مراكب",6,
"مباني",3,
"عشش",1,
"كشك (تجاري/صناعي)",20,
"مواسير صرف صحي (&lt;1م)",16,
"مواسير صرف صحي (&gt;1م)",18,
0))))</f>
        <v>4440</v>
      </c>
      <c r="AD476" s="1">
        <f t="shared" ca="1" si="44"/>
        <v>55</v>
      </c>
    </row>
    <row r="477" spans="1:30" ht="18.75" x14ac:dyDescent="0.25">
      <c r="A477" s="52">
        <v>430</v>
      </c>
      <c r="B477" s="3">
        <v>24</v>
      </c>
      <c r="C477" s="6">
        <v>2018</v>
      </c>
      <c r="D477" s="7">
        <v>43156</v>
      </c>
      <c r="E477" s="11" t="s">
        <v>651</v>
      </c>
      <c r="F477" s="3"/>
      <c r="G477" s="3" t="s">
        <v>602</v>
      </c>
      <c r="H477" s="3"/>
      <c r="I477" s="6" t="s">
        <v>371</v>
      </c>
      <c r="J477" s="3" t="s">
        <v>28</v>
      </c>
      <c r="K477" s="3">
        <v>20</v>
      </c>
      <c r="L477" s="3" t="s">
        <v>196</v>
      </c>
      <c r="M477" s="2"/>
      <c r="N477" s="3"/>
      <c r="O477" s="9">
        <f>0.47*Table2[[#This Row],[قيمة المحضر]]</f>
        <v>0</v>
      </c>
      <c r="P477" s="9">
        <f>0.17*Table2[[#This Row],[قيمة المحضر]]</f>
        <v>0</v>
      </c>
      <c r="Q477" s="9">
        <f t="shared" ca="1" si="47"/>
        <v>3040</v>
      </c>
      <c r="R477" s="3"/>
      <c r="S477" s="3"/>
      <c r="T477" s="9" t="str">
        <f t="shared" si="45"/>
        <v>-</v>
      </c>
      <c r="U477" s="3" t="s">
        <v>25</v>
      </c>
      <c r="V477" s="9" t="str">
        <f t="shared" si="46"/>
        <v>-</v>
      </c>
      <c r="W477" s="4"/>
      <c r="X477" s="38"/>
      <c r="Y477" s="1">
        <f t="shared" ca="1" si="43"/>
        <v>46162</v>
      </c>
      <c r="Z477" s="1" cm="1">
        <f t="array" ref="Z477">IF(D477&gt;DATE(2015,5,16),0,
K477*
(
INT((MIN(Y477,DATE(2015,5,16))-D477)/365)
+
CEILING(MOD((MIN(Y477,DATE(2015,5,16))-D477)/365,1),0.25)
)
*
_xlfn.SWITCH(J477,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77" s="1" cm="1">
        <f t="array" aca="1" ref="AA477" ca="1">IF(Y477&lt;DATE(2015,5,17),0,
K477*
(
INT((MIN(Y477,DATE(2018,9,23))-MAX(D477,DATE(2015,5,17)))/365)
+
CEILING(MOD((MIN(Y477,DATE(2018,9,23))-MAX(D477,DATE(2015,5,17)))/365,1),0.25)
)
*
_xlfn.SWITCH(J477,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60</v>
      </c>
      <c r="AB477" s="1" cm="1">
        <f t="array" aca="1" ref="AB477" ca="1">IF(Y477&lt;DATE(2018,9,24),0,
IF(J477="زراعة",
K477*
(
INT((MIN(Y477,DATE(2023,4,30))-MAX(D477,DATE(2018,9,24)))/365)
+
CEILING(MOD((MIN(Y477,DATE(2023,4,30))-MAX(D477,DATE(2018,9,24)))/365,1),0.25)
)
*1,
K477*
(
DATEDIF(MAX(D477,DATE(2018,9,24)),MIN(Y477,DATE(2023,4,30)),"m")+1
)
*
_xlfn.SWITCH(J477,
"موقف/تندة",IF(D477&lt;DATE(2019,11,30),6,30),
"تشوينات",IF(D477&lt;DATE(2019,11,30),4,20),
"مشاتل",IF(D477&lt;DATE(2019,11,30),2,10),
"كافيتيريا",IF(D477&lt;DATE(2019,11,30),30,150),
"نوادي",IF(D477&lt;DATE(2019,11,30),6,30),
"رسو مراكب",IF(D477&lt;DATE(2019,11,30),2,10),
"مباني",IF(D477&lt;DATE(2018,9,24),2,10),
"عشش",IF(D477&lt;DATE(2019,11,30),2,10),
"كشك (تجاري/صناعي)",IF(D477&lt;DATE(2019,11,30),10,50),
"ردم",20,
0)))</f>
        <v>2240</v>
      </c>
      <c r="AC477" s="1" cm="1">
        <f t="array" aca="1" ref="AC477" ca="1">IF(Y477&lt;DATE(2023,5,1),0,
IF(J477="زراعة",
K477*
(
INT((Y477-MAX(DATE(2023,5,1),D477))/365)
+
CEILING(MOD((Y477-MAX(DATE(2023,5,1),D477))/365,1),0.25)
)
*3,
IF(J477="ردم",
K477*20,
K477*
(
DATEDIF(MAX(DATE(2023,5,1),D477),Y477,"m")+1
)
*
_xlfn.SWITCH(J477,
"موقف/تندة",6,
"تشوينات",4,
"مشاتل",2,
"رسو مراكب",6,
"مباني",3,
"عشش",1,
"كشك (تجاري/صناعي)",20,
"مواسير صرف صحي (&lt;1م)",16,
"مواسير صرف صحي (&gt;1م)",18,
0))))</f>
        <v>740</v>
      </c>
      <c r="AD477" s="1">
        <f t="shared" ca="1" si="44"/>
        <v>55</v>
      </c>
    </row>
    <row r="478" spans="1:30" ht="18.75" x14ac:dyDescent="0.25">
      <c r="A478" s="52">
        <v>431</v>
      </c>
      <c r="B478" s="3">
        <v>25</v>
      </c>
      <c r="C478" s="6">
        <v>2018</v>
      </c>
      <c r="D478" s="7">
        <v>43156</v>
      </c>
      <c r="E478" s="11" t="s">
        <v>652</v>
      </c>
      <c r="F478" s="3"/>
      <c r="G478" s="3" t="s">
        <v>603</v>
      </c>
      <c r="H478" s="3"/>
      <c r="I478" s="6" t="s">
        <v>371</v>
      </c>
      <c r="J478" s="3" t="s">
        <v>28</v>
      </c>
      <c r="K478" s="3">
        <v>30</v>
      </c>
      <c r="L478" s="3" t="s">
        <v>196</v>
      </c>
      <c r="M478" s="2"/>
      <c r="N478" s="3"/>
      <c r="O478" s="9">
        <f>0.47*Table2[[#This Row],[قيمة المحضر]]</f>
        <v>0</v>
      </c>
      <c r="P478" s="9">
        <f>0.17*Table2[[#This Row],[قيمة المحضر]]</f>
        <v>0</v>
      </c>
      <c r="Q478" s="9">
        <f t="shared" ca="1" si="47"/>
        <v>4560</v>
      </c>
      <c r="R478" s="3"/>
      <c r="S478" s="3"/>
      <c r="T478" s="9" t="str">
        <f t="shared" si="45"/>
        <v>-</v>
      </c>
      <c r="U478" s="3" t="s">
        <v>25</v>
      </c>
      <c r="V478" s="9" t="str">
        <f t="shared" si="46"/>
        <v>-</v>
      </c>
      <c r="W478" s="4"/>
      <c r="X478" s="38"/>
      <c r="Y478" s="1">
        <f t="shared" ca="1" si="43"/>
        <v>46162</v>
      </c>
      <c r="Z478" s="1" cm="1">
        <f t="array" ref="Z478">IF(D478&gt;DATE(2015,5,16),0,
K478*
(
INT((MIN(Y478,DATE(2015,5,16))-D478)/365)
+
CEILING(MOD((MIN(Y478,DATE(2015,5,16))-D478)/365,1),0.25)
)
*
_xlfn.SWITCH(J478,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78" s="1" cm="1">
        <f t="array" aca="1" ref="AA478" ca="1">IF(Y478&lt;DATE(2015,5,17),0,
K478*
(
INT((MIN(Y478,DATE(2018,9,23))-MAX(D478,DATE(2015,5,17)))/365)
+
CEILING(MOD((MIN(Y478,DATE(2018,9,23))-MAX(D478,DATE(2015,5,17)))/365,1),0.25)
)
*
_xlfn.SWITCH(J478,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</v>
      </c>
      <c r="AB478" s="1" cm="1">
        <f t="array" aca="1" ref="AB478" ca="1">IF(Y478&lt;DATE(2018,9,24),0,
IF(J478="زراعة",
K478*
(
INT((MIN(Y478,DATE(2023,4,30))-MAX(D478,DATE(2018,9,24)))/365)
+
CEILING(MOD((MIN(Y478,DATE(2023,4,30))-MAX(D478,DATE(2018,9,24)))/365,1),0.25)
)
*1,
K478*
(
DATEDIF(MAX(D478,DATE(2018,9,24)),MIN(Y478,DATE(2023,4,30)),"m")+1
)
*
_xlfn.SWITCH(J478,
"موقف/تندة",IF(D478&lt;DATE(2019,11,30),6,30),
"تشوينات",IF(D478&lt;DATE(2019,11,30),4,20),
"مشاتل",IF(D478&lt;DATE(2019,11,30),2,10),
"كافيتيريا",IF(D478&lt;DATE(2019,11,30),30,150),
"نوادي",IF(D478&lt;DATE(2019,11,30),6,30),
"رسو مراكب",IF(D478&lt;DATE(2019,11,30),2,10),
"مباني",IF(D478&lt;DATE(2018,9,24),2,10),
"عشش",IF(D478&lt;DATE(2019,11,30),2,10),
"كشك (تجاري/صناعي)",IF(D478&lt;DATE(2019,11,30),10,50),
"ردم",20,
0)))</f>
        <v>3360</v>
      </c>
      <c r="AC478" s="1" cm="1">
        <f t="array" aca="1" ref="AC478" ca="1">IF(Y478&lt;DATE(2023,5,1),0,
IF(J478="زراعة",
K478*
(
INT((Y478-MAX(DATE(2023,5,1),D478))/365)
+
CEILING(MOD((Y478-MAX(DATE(2023,5,1),D478))/365,1),0.25)
)
*3,
IF(J478="ردم",
K478*20,
K478*
(
DATEDIF(MAX(DATE(2023,5,1),D478),Y478,"m")+1
)
*
_xlfn.SWITCH(J478,
"موقف/تندة",6,
"تشوينات",4,
"مشاتل",2,
"رسو مراكب",6,
"مباني",3,
"عشش",1,
"كشك (تجاري/صناعي)",20,
"مواسير صرف صحي (&lt;1م)",16,
"مواسير صرف صحي (&gt;1م)",18,
0))))</f>
        <v>1110</v>
      </c>
      <c r="AD478" s="1">
        <f t="shared" ca="1" si="44"/>
        <v>55</v>
      </c>
    </row>
    <row r="479" spans="1:30" ht="18.75" x14ac:dyDescent="0.25">
      <c r="A479" s="52">
        <v>432</v>
      </c>
      <c r="B479" s="3">
        <v>26</v>
      </c>
      <c r="C479" s="6">
        <v>2018</v>
      </c>
      <c r="D479" s="7">
        <v>43156</v>
      </c>
      <c r="E479" s="11" t="s">
        <v>653</v>
      </c>
      <c r="F479" s="3"/>
      <c r="G479" s="3" t="s">
        <v>604</v>
      </c>
      <c r="H479" s="3"/>
      <c r="I479" s="6" t="s">
        <v>371</v>
      </c>
      <c r="J479" s="3" t="s">
        <v>29</v>
      </c>
      <c r="K479" s="3">
        <v>4</v>
      </c>
      <c r="L479" s="3" t="s">
        <v>196</v>
      </c>
      <c r="M479" s="2"/>
      <c r="N479" s="3"/>
      <c r="O479" s="9">
        <f>0.47*Table2[[#This Row],[قيمة المحضر]]</f>
        <v>0</v>
      </c>
      <c r="P479" s="9">
        <f>0.17*Table2[[#This Row],[قيمة المحضر]]</f>
        <v>0</v>
      </c>
      <c r="Q479" s="9">
        <f t="shared" ca="1" si="47"/>
        <v>5560</v>
      </c>
      <c r="R479" s="3"/>
      <c r="S479" s="3"/>
      <c r="T479" s="9" t="str">
        <f t="shared" si="45"/>
        <v>-</v>
      </c>
      <c r="U479" s="3" t="s">
        <v>25</v>
      </c>
      <c r="V479" s="9" t="str">
        <f t="shared" si="46"/>
        <v>-</v>
      </c>
      <c r="W479" s="4"/>
      <c r="X479" s="38"/>
      <c r="Y479" s="1">
        <f t="shared" ca="1" si="43"/>
        <v>46162</v>
      </c>
      <c r="Z479" s="1" cm="1">
        <f t="array" ref="Z479">IF(D479&gt;DATE(2015,5,16),0,
K479*
(
INT((MIN(Y479,DATE(2015,5,16))-D479)/365)
+
CEILING(MOD((MIN(Y479,DATE(2015,5,16))-D479)/365,1),0.25)
)
*
_xlfn.SWITCH(J479,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79" s="1" cm="1">
        <f t="array" aca="1" ref="AA479" ca="1">IF(Y479&lt;DATE(2015,5,17),0,
K479*
(
INT((MIN(Y479,DATE(2018,9,23))-MAX(D479,DATE(2015,5,17)))/365)
+
CEILING(MOD((MIN(Y479,DATE(2018,9,23))-MAX(D479,DATE(2015,5,17)))/365,1),0.25)
)
*
_xlfn.SWITCH(J479,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360</v>
      </c>
      <c r="AB479" s="1" cm="1">
        <f t="array" aca="1" ref="AB479" ca="1">IF(Y479&lt;DATE(2018,9,24),0,
IF(J479="زراعة",
K479*
(
INT((MIN(Y479,DATE(2023,4,30))-MAX(D479,DATE(2018,9,24)))/365)
+
CEILING(MOD((MIN(Y479,DATE(2023,4,30))-MAX(D479,DATE(2018,9,24)))/365,1),0.25)
)
*1,
K479*
(
DATEDIF(MAX(D479,DATE(2018,9,24)),MIN(Y479,DATE(2023,4,30)),"m")+1
)
*
_xlfn.SWITCH(J479,
"موقف/تندة",IF(D479&lt;DATE(2019,11,30),6,30),
"تشوينات",IF(D479&lt;DATE(2019,11,30),4,20),
"مشاتل",IF(D479&lt;DATE(2019,11,30),2,10),
"كافيتيريا",IF(D479&lt;DATE(2019,11,30),30,150),
"نوادي",IF(D479&lt;DATE(2019,11,30),6,30),
"رسو مراكب",IF(D479&lt;DATE(2019,11,30),2,10),
"مباني",IF(D479&lt;DATE(2018,9,24),2,10),
"عشش",IF(D479&lt;DATE(2019,11,30),2,10),
"كشك (تجاري/صناعي)",IF(D479&lt;DATE(2019,11,30),10,50),
"ردم",20,
0)))</f>
        <v>2240</v>
      </c>
      <c r="AC479" s="1" cm="1">
        <f t="array" aca="1" ref="AC479" ca="1">IF(Y479&lt;DATE(2023,5,1),0,
IF(J479="زراعة",
K479*
(
INT((Y479-MAX(DATE(2023,5,1),D479))/365)
+
CEILING(MOD((Y479-MAX(DATE(2023,5,1),D479))/365,1),0.25)
)
*3,
IF(J479="ردم",
K479*20,
K479*
(
DATEDIF(MAX(DATE(2023,5,1),D479),Y479,"m")+1
)
*
_xlfn.SWITCH(J479,
"موقف/تندة",6,
"تشوينات",4,
"مشاتل",2,
"رسو مراكب",6,
"مباني",3,
"عشش",1,
"كشك (تجاري/صناعي)",20,
"مواسير صرف صحي (&lt;1م)",16,
"مواسير صرف صحي (&gt;1م)",18,
0))))</f>
        <v>2960</v>
      </c>
      <c r="AD479" s="1">
        <f t="shared" ca="1" si="44"/>
        <v>55</v>
      </c>
    </row>
    <row r="480" spans="1:30" ht="18.75" x14ac:dyDescent="0.25">
      <c r="A480" s="52">
        <v>433</v>
      </c>
      <c r="B480" s="3">
        <v>27</v>
      </c>
      <c r="C480" s="6">
        <v>2018</v>
      </c>
      <c r="D480" s="7">
        <v>43156</v>
      </c>
      <c r="E480" s="11" t="s">
        <v>654</v>
      </c>
      <c r="F480" s="3"/>
      <c r="G480" s="3" t="s">
        <v>605</v>
      </c>
      <c r="H480" s="3"/>
      <c r="I480" s="6" t="s">
        <v>371</v>
      </c>
      <c r="J480" s="3" t="s">
        <v>29</v>
      </c>
      <c r="K480" s="3">
        <v>4</v>
      </c>
      <c r="L480" s="3" t="s">
        <v>196</v>
      </c>
      <c r="M480" s="2"/>
      <c r="N480" s="3"/>
      <c r="O480" s="9">
        <f>0.47*Table2[[#This Row],[قيمة المحضر]]</f>
        <v>0</v>
      </c>
      <c r="P480" s="9">
        <f>0.17*Table2[[#This Row],[قيمة المحضر]]</f>
        <v>0</v>
      </c>
      <c r="Q480" s="9">
        <f t="shared" ca="1" si="47"/>
        <v>5560</v>
      </c>
      <c r="R480" s="3"/>
      <c r="S480" s="3"/>
      <c r="T480" s="9" t="str">
        <f t="shared" si="45"/>
        <v>-</v>
      </c>
      <c r="U480" s="3" t="s">
        <v>25</v>
      </c>
      <c r="V480" s="9" t="str">
        <f t="shared" si="46"/>
        <v>-</v>
      </c>
      <c r="W480" s="4"/>
      <c r="X480" s="38"/>
      <c r="Y480" s="1">
        <f t="shared" ca="1" si="43"/>
        <v>46162</v>
      </c>
      <c r="Z480" s="1" cm="1">
        <f t="array" ref="Z480">IF(D480&gt;DATE(2015,5,16),0,
K480*
(
INT((MIN(Y480,DATE(2015,5,16))-D480)/365)
+
CEILING(MOD((MIN(Y480,DATE(2015,5,16))-D480)/365,1),0.25)
)
*
_xlfn.SWITCH(J480,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80" s="1" cm="1">
        <f t="array" aca="1" ref="AA480" ca="1">IF(Y480&lt;DATE(2015,5,17),0,
K480*
(
INT((MIN(Y480,DATE(2018,9,23))-MAX(D480,DATE(2015,5,17)))/365)
+
CEILING(MOD((MIN(Y480,DATE(2018,9,23))-MAX(D480,DATE(2015,5,17)))/365,1),0.25)
)
*
_xlfn.SWITCH(J480,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360</v>
      </c>
      <c r="AB480" s="1" cm="1">
        <f t="array" aca="1" ref="AB480" ca="1">IF(Y480&lt;DATE(2018,9,24),0,
IF(J480="زراعة",
K480*
(
INT((MIN(Y480,DATE(2023,4,30))-MAX(D480,DATE(2018,9,24)))/365)
+
CEILING(MOD((MIN(Y480,DATE(2023,4,30))-MAX(D480,DATE(2018,9,24)))/365,1),0.25)
)
*1,
K480*
(
DATEDIF(MAX(D480,DATE(2018,9,24)),MIN(Y480,DATE(2023,4,30)),"m")+1
)
*
_xlfn.SWITCH(J480,
"موقف/تندة",IF(D480&lt;DATE(2019,11,30),6,30),
"تشوينات",IF(D480&lt;DATE(2019,11,30),4,20),
"مشاتل",IF(D480&lt;DATE(2019,11,30),2,10),
"كافيتيريا",IF(D480&lt;DATE(2019,11,30),30,150),
"نوادي",IF(D480&lt;DATE(2019,11,30),6,30),
"رسو مراكب",IF(D480&lt;DATE(2019,11,30),2,10),
"مباني",IF(D480&lt;DATE(2018,9,24),2,10),
"عشش",IF(D480&lt;DATE(2019,11,30),2,10),
"كشك (تجاري/صناعي)",IF(D480&lt;DATE(2019,11,30),10,50),
"ردم",20,
0)))</f>
        <v>2240</v>
      </c>
      <c r="AC480" s="1" cm="1">
        <f t="array" aca="1" ref="AC480" ca="1">IF(Y480&lt;DATE(2023,5,1),0,
IF(J480="زراعة",
K480*
(
INT((Y480-MAX(DATE(2023,5,1),D480))/365)
+
CEILING(MOD((Y480-MAX(DATE(2023,5,1),D480))/365,1),0.25)
)
*3,
IF(J480="ردم",
K480*20,
K480*
(
DATEDIF(MAX(DATE(2023,5,1),D480),Y480,"m")+1
)
*
_xlfn.SWITCH(J480,
"موقف/تندة",6,
"تشوينات",4,
"مشاتل",2,
"رسو مراكب",6,
"مباني",3,
"عشش",1,
"كشك (تجاري/صناعي)",20,
"مواسير صرف صحي (&lt;1م)",16,
"مواسير صرف صحي (&gt;1م)",18,
0))))</f>
        <v>2960</v>
      </c>
      <c r="AD480" s="1">
        <f t="shared" ca="1" si="44"/>
        <v>55</v>
      </c>
    </row>
    <row r="481" spans="1:30" ht="18.75" x14ac:dyDescent="0.25">
      <c r="A481" s="52">
        <v>434</v>
      </c>
      <c r="B481" s="3">
        <v>28</v>
      </c>
      <c r="C481" s="6">
        <v>2018</v>
      </c>
      <c r="D481" s="7">
        <v>43156</v>
      </c>
      <c r="E481" s="11" t="s">
        <v>655</v>
      </c>
      <c r="F481" s="3"/>
      <c r="G481" s="3" t="s">
        <v>606</v>
      </c>
      <c r="H481" s="3"/>
      <c r="I481" s="6" t="s">
        <v>371</v>
      </c>
      <c r="J481" s="3" t="s">
        <v>29</v>
      </c>
      <c r="K481" s="3">
        <v>4</v>
      </c>
      <c r="L481" s="3" t="s">
        <v>196</v>
      </c>
      <c r="M481" s="2"/>
      <c r="N481" s="3"/>
      <c r="O481" s="9">
        <f>0.47*Table2[[#This Row],[قيمة المحضر]]</f>
        <v>0</v>
      </c>
      <c r="P481" s="9">
        <f>0.17*Table2[[#This Row],[قيمة المحضر]]</f>
        <v>0</v>
      </c>
      <c r="Q481" s="9">
        <f t="shared" ca="1" si="47"/>
        <v>5560</v>
      </c>
      <c r="R481" s="3"/>
      <c r="S481" s="3"/>
      <c r="T481" s="9" t="str">
        <f t="shared" si="45"/>
        <v>-</v>
      </c>
      <c r="U481" s="3" t="s">
        <v>25</v>
      </c>
      <c r="V481" s="9" t="str">
        <f t="shared" si="46"/>
        <v>-</v>
      </c>
      <c r="W481" s="4"/>
      <c r="X481" s="38"/>
      <c r="Y481" s="1">
        <f t="shared" ca="1" si="43"/>
        <v>46162</v>
      </c>
      <c r="Z481" s="1" cm="1">
        <f t="array" ref="Z481">IF(D481&gt;DATE(2015,5,16),0,
K481*
(
INT((MIN(Y481,DATE(2015,5,16))-D481)/365)
+
CEILING(MOD((MIN(Y481,DATE(2015,5,16))-D481)/365,1),0.25)
)
*
_xlfn.SWITCH(J481,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81" s="1" cm="1">
        <f t="array" aca="1" ref="AA481" ca="1">IF(Y481&lt;DATE(2015,5,17),0,
K481*
(
INT((MIN(Y481,DATE(2018,9,23))-MAX(D481,DATE(2015,5,17)))/365)
+
CEILING(MOD((MIN(Y481,DATE(2018,9,23))-MAX(D481,DATE(2015,5,17)))/365,1),0.25)
)
*
_xlfn.SWITCH(J481,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360</v>
      </c>
      <c r="AB481" s="1" cm="1">
        <f t="array" aca="1" ref="AB481" ca="1">IF(Y481&lt;DATE(2018,9,24),0,
IF(J481="زراعة",
K481*
(
INT((MIN(Y481,DATE(2023,4,30))-MAX(D481,DATE(2018,9,24)))/365)
+
CEILING(MOD((MIN(Y481,DATE(2023,4,30))-MAX(D481,DATE(2018,9,24)))/365,1),0.25)
)
*1,
K481*
(
DATEDIF(MAX(D481,DATE(2018,9,24)),MIN(Y481,DATE(2023,4,30)),"m")+1
)
*
_xlfn.SWITCH(J481,
"موقف/تندة",IF(D481&lt;DATE(2019,11,30),6,30),
"تشوينات",IF(D481&lt;DATE(2019,11,30),4,20),
"مشاتل",IF(D481&lt;DATE(2019,11,30),2,10),
"كافيتيريا",IF(D481&lt;DATE(2019,11,30),30,150),
"نوادي",IF(D481&lt;DATE(2019,11,30),6,30),
"رسو مراكب",IF(D481&lt;DATE(2019,11,30),2,10),
"مباني",IF(D481&lt;DATE(2018,9,24),2,10),
"عشش",IF(D481&lt;DATE(2019,11,30),2,10),
"كشك (تجاري/صناعي)",IF(D481&lt;DATE(2019,11,30),10,50),
"ردم",20,
0)))</f>
        <v>2240</v>
      </c>
      <c r="AC481" s="1" cm="1">
        <f t="array" aca="1" ref="AC481" ca="1">IF(Y481&lt;DATE(2023,5,1),0,
IF(J481="زراعة",
K481*
(
INT((Y481-MAX(DATE(2023,5,1),D481))/365)
+
CEILING(MOD((Y481-MAX(DATE(2023,5,1),D481))/365,1),0.25)
)
*3,
IF(J481="ردم",
K481*20,
K481*
(
DATEDIF(MAX(DATE(2023,5,1),D481),Y481,"m")+1
)
*
_xlfn.SWITCH(J481,
"موقف/تندة",6,
"تشوينات",4,
"مشاتل",2,
"رسو مراكب",6,
"مباني",3,
"عشش",1,
"كشك (تجاري/صناعي)",20,
"مواسير صرف صحي (&lt;1م)",16,
"مواسير صرف صحي (&gt;1م)",18,
0))))</f>
        <v>2960</v>
      </c>
      <c r="AD481" s="1">
        <f t="shared" ca="1" si="44"/>
        <v>55</v>
      </c>
    </row>
    <row r="482" spans="1:30" ht="18.75" x14ac:dyDescent="0.25">
      <c r="A482" s="52">
        <v>435</v>
      </c>
      <c r="B482" s="3">
        <v>29</v>
      </c>
      <c r="C482" s="6">
        <v>2018</v>
      </c>
      <c r="D482" s="7">
        <v>43156</v>
      </c>
      <c r="E482" s="11" t="s">
        <v>656</v>
      </c>
      <c r="F482" s="3"/>
      <c r="G482" s="3" t="s">
        <v>607</v>
      </c>
      <c r="H482" s="3"/>
      <c r="I482" s="6" t="s">
        <v>371</v>
      </c>
      <c r="J482" s="3" t="s">
        <v>27</v>
      </c>
      <c r="K482" s="3">
        <v>6</v>
      </c>
      <c r="L482" s="3" t="s">
        <v>196</v>
      </c>
      <c r="M482" s="2"/>
      <c r="N482" s="3"/>
      <c r="O482" s="9">
        <f>0.47*Table2[[#This Row],[قيمة المحضر]]</f>
        <v>0</v>
      </c>
      <c r="P482" s="9">
        <f>0.17*Table2[[#This Row],[قيمة المحضر]]</f>
        <v>0</v>
      </c>
      <c r="Q482" s="9">
        <f t="shared" ca="1" si="47"/>
        <v>1374</v>
      </c>
      <c r="R482" s="3"/>
      <c r="S482" s="3"/>
      <c r="T482" s="9" t="str">
        <f t="shared" si="45"/>
        <v>-</v>
      </c>
      <c r="U482" s="3" t="s">
        <v>25</v>
      </c>
      <c r="V482" s="9" t="str">
        <f t="shared" si="46"/>
        <v>-</v>
      </c>
      <c r="W482" s="4"/>
      <c r="X482" s="38"/>
      <c r="Y482" s="1">
        <f t="shared" ca="1" si="43"/>
        <v>46162</v>
      </c>
      <c r="Z482" s="1" cm="1">
        <f t="array" ref="Z482">IF(D482&gt;DATE(2015,5,16),0,
K482*
(
INT((MIN(Y482,DATE(2015,5,16))-D482)/365)
+
CEILING(MOD((MIN(Y482,DATE(2015,5,16))-D482)/365,1),0.25)
)
*
_xlfn.SWITCH(J482,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82" s="1" cm="1">
        <f t="array" aca="1" ref="AA482" ca="1">IF(Y482&lt;DATE(2015,5,17),0,
K482*
(
INT((MIN(Y482,DATE(2018,9,23))-MAX(D482,DATE(2015,5,17)))/365)
+
CEILING(MOD((MIN(Y482,DATE(2018,9,23))-MAX(D482,DATE(2015,5,17)))/365,1),0.25)
)
*
_xlfn.SWITCH(J482,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36</v>
      </c>
      <c r="AB482" s="1" cm="1">
        <f t="array" aca="1" ref="AB482" ca="1">IF(Y482&lt;DATE(2018,9,24),0,
IF(J482="زراعة",
K482*
(
INT((MIN(Y482,DATE(2023,4,30))-MAX(D482,DATE(2018,9,24)))/365)
+
CEILING(MOD((MIN(Y482,DATE(2023,4,30))-MAX(D482,DATE(2018,9,24)))/365,1),0.25)
)
*1,
K482*
(
DATEDIF(MAX(D482,DATE(2018,9,24)),MIN(Y482,DATE(2023,4,30)),"m")+1
)
*
_xlfn.SWITCH(J482,
"موقف/تندة",IF(D482&lt;DATE(2019,11,30),6,30),
"تشوينات",IF(D482&lt;DATE(2019,11,30),4,20),
"مشاتل",IF(D482&lt;DATE(2019,11,30),2,10),
"كافيتيريا",IF(D482&lt;DATE(2019,11,30),30,150),
"نوادي",IF(D482&lt;DATE(2019,11,30),6,30),
"رسو مراكب",IF(D482&lt;DATE(2019,11,30),2,10),
"مباني",IF(D482&lt;DATE(2018,9,24),2,10),
"عشش",IF(D482&lt;DATE(2019,11,30),2,10),
"كشك (تجاري/صناعي)",IF(D482&lt;DATE(2019,11,30),10,50),
"ردم",20,
0)))</f>
        <v>672</v>
      </c>
      <c r="AC482" s="1" cm="1">
        <f t="array" aca="1" ref="AC482" ca="1">IF(Y482&lt;DATE(2023,5,1),0,
IF(J482="زراعة",
K482*
(
INT((Y482-MAX(DATE(2023,5,1),D482))/365)
+
CEILING(MOD((Y482-MAX(DATE(2023,5,1),D482))/365,1),0.25)
)
*3,
IF(J482="ردم",
K482*20,
K482*
(
DATEDIF(MAX(DATE(2023,5,1),D482),Y482,"m")+1
)
*
_xlfn.SWITCH(J482,
"موقف/تندة",6,
"تشوينات",4,
"مشاتل",2,
"رسو مراكب",6,
"مباني",3,
"عشش",1,
"كشك (تجاري/صناعي)",20,
"مواسير صرف صحي (&lt;1م)",16,
"مواسير صرف صحي (&gt;1م)",18,
0))))</f>
        <v>666</v>
      </c>
      <c r="AD482" s="1">
        <f t="shared" ca="1" si="44"/>
        <v>55</v>
      </c>
    </row>
    <row r="483" spans="1:30" ht="18.75" x14ac:dyDescent="0.25">
      <c r="A483" s="52">
        <v>436</v>
      </c>
      <c r="B483" s="3">
        <v>30</v>
      </c>
      <c r="C483" s="6">
        <v>2018</v>
      </c>
      <c r="D483" s="7">
        <v>43157</v>
      </c>
      <c r="E483" s="11" t="s">
        <v>657</v>
      </c>
      <c r="F483" s="3"/>
      <c r="G483" s="3" t="s">
        <v>608</v>
      </c>
      <c r="H483" s="3"/>
      <c r="I483" s="6" t="s">
        <v>371</v>
      </c>
      <c r="J483" s="3" t="s">
        <v>29</v>
      </c>
      <c r="K483" s="3">
        <v>4</v>
      </c>
      <c r="L483" s="3" t="s">
        <v>196</v>
      </c>
      <c r="M483" s="2"/>
      <c r="N483" s="3"/>
      <c r="O483" s="9">
        <f>0.47*Table2[[#This Row],[قيمة المحضر]]</f>
        <v>0</v>
      </c>
      <c r="P483" s="9">
        <f>0.17*Table2[[#This Row],[قيمة المحضر]]</f>
        <v>0</v>
      </c>
      <c r="Q483" s="9">
        <f t="shared" ca="1" si="47"/>
        <v>5560</v>
      </c>
      <c r="R483" s="3"/>
      <c r="S483" s="3"/>
      <c r="T483" s="9" t="str">
        <f t="shared" ref="T483:T504" si="48">IF(R483="تم الحجز",Q483+O483+N486,"-")</f>
        <v>-</v>
      </c>
      <c r="U483" s="3" t="s">
        <v>25</v>
      </c>
      <c r="V483" s="9" t="str">
        <f t="shared" ref="V483:V504" si="49">IF(OR(U483="قائم",U483="قائم و سدد مقابل انتفاع"),"-",
IF(U483="تم رد الشئ لأصله",P483+Q483,
IF(U483="ازالة جبرية",N486+O483+Q483,"")))</f>
        <v>-</v>
      </c>
      <c r="W483" s="4"/>
      <c r="X483" s="38"/>
      <c r="Y483" s="1">
        <f t="shared" ca="1" si="43"/>
        <v>46162</v>
      </c>
      <c r="Z483" s="1" cm="1">
        <f t="array" ref="Z483">IF(D483&gt;DATE(2015,5,16),0,
K483*
(
INT((MIN(Y483,DATE(2015,5,16))-D483)/365)
+
CEILING(MOD((MIN(Y483,DATE(2015,5,16))-D483)/365,1),0.25)
)
*
_xlfn.SWITCH(J483,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83" s="1" cm="1">
        <f t="array" aca="1" ref="AA483" ca="1">IF(Y483&lt;DATE(2015,5,17),0,
K483*
(
INT((MIN(Y483,DATE(2018,9,23))-MAX(D483,DATE(2015,5,17)))/365)
+
CEILING(MOD((MIN(Y483,DATE(2018,9,23))-MAX(D483,DATE(2015,5,17)))/365,1),0.25)
)
*
_xlfn.SWITCH(J483,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360</v>
      </c>
      <c r="AB483" s="1" cm="1">
        <f t="array" aca="1" ref="AB483" ca="1">IF(Y483&lt;DATE(2018,9,24),0,
IF(J483="زراعة",
K483*
(
INT((MIN(Y483,DATE(2023,4,30))-MAX(D483,DATE(2018,9,24)))/365)
+
CEILING(MOD((MIN(Y483,DATE(2023,4,30))-MAX(D483,DATE(2018,9,24)))/365,1),0.25)
)
*1,
K483*
(
DATEDIF(MAX(D483,DATE(2018,9,24)),MIN(Y483,DATE(2023,4,30)),"m")+1
)
*
_xlfn.SWITCH(J483,
"موقف/تندة",IF(D483&lt;DATE(2019,11,30),6,30),
"تشوينات",IF(D483&lt;DATE(2019,11,30),4,20),
"مشاتل",IF(D483&lt;DATE(2019,11,30),2,10),
"كافيتيريا",IF(D483&lt;DATE(2019,11,30),30,150),
"نوادي",IF(D483&lt;DATE(2019,11,30),6,30),
"رسو مراكب",IF(D483&lt;DATE(2019,11,30),2,10),
"مباني",IF(D483&lt;DATE(2018,9,24),2,10),
"عشش",IF(D483&lt;DATE(2019,11,30),2,10),
"كشك (تجاري/صناعي)",IF(D483&lt;DATE(2019,11,30),10,50),
"ردم",20,
0)))</f>
        <v>2240</v>
      </c>
      <c r="AC483" s="1" cm="1">
        <f t="array" aca="1" ref="AC483" ca="1">IF(Y483&lt;DATE(2023,5,1),0,
IF(J483="زراعة",
K483*
(
INT((Y483-MAX(DATE(2023,5,1),D483))/365)
+
CEILING(MOD((Y483-MAX(DATE(2023,5,1),D483))/365,1),0.25)
)
*3,
IF(J483="ردم",
K483*20,
K483*
(
DATEDIF(MAX(DATE(2023,5,1),D483),Y483,"m")+1
)
*
_xlfn.SWITCH(J483,
"موقف/تندة",6,
"تشوينات",4,
"مشاتل",2,
"رسو مراكب",6,
"مباني",3,
"عشش",1,
"كشك (تجاري/صناعي)",20,
"مواسير صرف صحي (&lt;1م)",16,
"مواسير صرف صحي (&gt;1م)",18,
0))))</f>
        <v>2960</v>
      </c>
      <c r="AD483" s="1">
        <f t="shared" ca="1" si="44"/>
        <v>55</v>
      </c>
    </row>
    <row r="484" spans="1:30" ht="18.75" x14ac:dyDescent="0.25">
      <c r="A484" s="52">
        <v>437</v>
      </c>
      <c r="B484" s="3">
        <v>31</v>
      </c>
      <c r="C484" s="6">
        <v>2018</v>
      </c>
      <c r="D484" s="7">
        <v>43157</v>
      </c>
      <c r="E484" s="11" t="s">
        <v>658</v>
      </c>
      <c r="F484" s="3"/>
      <c r="G484" s="3" t="s">
        <v>609</v>
      </c>
      <c r="H484" s="3"/>
      <c r="I484" s="6" t="s">
        <v>371</v>
      </c>
      <c r="J484" s="3" t="s">
        <v>579</v>
      </c>
      <c r="K484" s="3"/>
      <c r="L484" s="3" t="s">
        <v>196</v>
      </c>
      <c r="M484" s="2"/>
      <c r="N484" s="3"/>
      <c r="O484" s="9">
        <f>0.47*Table2[[#This Row],[قيمة المحضر]]</f>
        <v>0</v>
      </c>
      <c r="P484" s="9">
        <f>0.17*Table2[[#This Row],[قيمة المحضر]]</f>
        <v>0</v>
      </c>
      <c r="Q484" s="9">
        <f t="shared" ca="1" si="47"/>
        <v>0</v>
      </c>
      <c r="R484" s="3"/>
      <c r="S484" s="3"/>
      <c r="T484" s="9" t="str">
        <f t="shared" si="48"/>
        <v>-</v>
      </c>
      <c r="U484" s="3" t="s">
        <v>25</v>
      </c>
      <c r="V484" s="9" t="str">
        <f t="shared" si="49"/>
        <v>-</v>
      </c>
      <c r="W484" s="4"/>
      <c r="X484" s="38"/>
      <c r="Y484" s="1">
        <f t="shared" ca="1" si="43"/>
        <v>46162</v>
      </c>
      <c r="Z484" s="1" cm="1">
        <f t="array" ref="Z484">IF(D484&gt;DATE(2015,5,16),0,
K484*
(
INT((MIN(Y484,DATE(2015,5,16))-D484)/365)
+
CEILING(MOD((MIN(Y484,DATE(2015,5,16))-D484)/365,1),0.25)
)
*
_xlfn.SWITCH(J484,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84" s="1" cm="1">
        <f t="array" aca="1" ref="AA484" ca="1">IF(Y484&lt;DATE(2015,5,17),0,
K484*
(
INT((MIN(Y484,DATE(2018,9,23))-MAX(D484,DATE(2015,5,17)))/365)
+
CEILING(MOD((MIN(Y484,DATE(2018,9,23))-MAX(D484,DATE(2015,5,17)))/365,1),0.25)
)
*
_xlfn.SWITCH(J484,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484" s="1" cm="1">
        <f t="array" aca="1" ref="AB484" ca="1">IF(Y484&lt;DATE(2018,9,24),0,
IF(J484="زراعة",
K484*
(
INT((MIN(Y484,DATE(2023,4,30))-MAX(D484,DATE(2018,9,24)))/365)
+
CEILING(MOD((MIN(Y484,DATE(2023,4,30))-MAX(D484,DATE(2018,9,24)))/365,1),0.25)
)
*1,
K484*
(
DATEDIF(MAX(D484,DATE(2018,9,24)),MIN(Y484,DATE(2023,4,30)),"m")+1
)
*
_xlfn.SWITCH(J484,
"موقف/تندة",IF(D484&lt;DATE(2019,11,30),6,30),
"تشوينات",IF(D484&lt;DATE(2019,11,30),4,20),
"مشاتل",IF(D484&lt;DATE(2019,11,30),2,10),
"كافيتيريا",IF(D484&lt;DATE(2019,11,30),30,150),
"نوادي",IF(D484&lt;DATE(2019,11,30),6,30),
"رسو مراكب",IF(D484&lt;DATE(2019,11,30),2,10),
"مباني",IF(D484&lt;DATE(2018,9,24),2,10),
"عشش",IF(D484&lt;DATE(2019,11,30),2,10),
"كشك (تجاري/صناعي)",IF(D484&lt;DATE(2019,11,30),10,50),
"ردم",20,
0)))</f>
        <v>0</v>
      </c>
      <c r="AC484" s="1" cm="1">
        <f t="array" aca="1" ref="AC484" ca="1">IF(Y484&lt;DATE(2023,5,1),0,
IF(J484="زراعة",
K484*
(
INT((Y484-MAX(DATE(2023,5,1),D484))/365)
+
CEILING(MOD((Y484-MAX(DATE(2023,5,1),D484))/365,1),0.25)
)
*3,
IF(J484="ردم",
K484*20,
K484*
(
DATEDIF(MAX(DATE(2023,5,1),D484),Y484,"m")+1
)
*
_xlfn.SWITCH(J484,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484" s="1">
        <f t="shared" ca="1" si="44"/>
        <v>55</v>
      </c>
    </row>
    <row r="485" spans="1:30" ht="18.75" x14ac:dyDescent="0.25">
      <c r="A485" s="52">
        <v>438</v>
      </c>
      <c r="B485" s="3">
        <v>32</v>
      </c>
      <c r="C485" s="6">
        <v>2018</v>
      </c>
      <c r="D485" s="7">
        <v>43157</v>
      </c>
      <c r="E485" s="11" t="s">
        <v>659</v>
      </c>
      <c r="F485" s="3"/>
      <c r="G485" s="3" t="s">
        <v>610</v>
      </c>
      <c r="H485" s="3"/>
      <c r="I485" s="6" t="s">
        <v>371</v>
      </c>
      <c r="J485" s="3" t="s">
        <v>579</v>
      </c>
      <c r="K485" s="3"/>
      <c r="L485" s="3" t="s">
        <v>196</v>
      </c>
      <c r="M485" s="2"/>
      <c r="N485" s="3"/>
      <c r="O485" s="9">
        <f>0.47*Table2[[#This Row],[قيمة المحضر]]</f>
        <v>0</v>
      </c>
      <c r="P485" s="9">
        <f>0.17*Table2[[#This Row],[قيمة المحضر]]</f>
        <v>0</v>
      </c>
      <c r="Q485" s="9">
        <f t="shared" ca="1" si="47"/>
        <v>0</v>
      </c>
      <c r="R485" s="3"/>
      <c r="S485" s="3"/>
      <c r="T485" s="9" t="str">
        <f t="shared" si="48"/>
        <v>-</v>
      </c>
      <c r="U485" s="3" t="s">
        <v>25</v>
      </c>
      <c r="V485" s="9" t="str">
        <f t="shared" si="49"/>
        <v>-</v>
      </c>
      <c r="W485" s="4"/>
      <c r="X485" s="38"/>
      <c r="Y485" s="1">
        <f t="shared" ca="1" si="43"/>
        <v>46162</v>
      </c>
      <c r="Z485" s="1" cm="1">
        <f t="array" ref="Z485">IF(D485&gt;DATE(2015,5,16),0,
K485*
(
INT((MIN(Y485,DATE(2015,5,16))-D485)/365)
+
CEILING(MOD((MIN(Y485,DATE(2015,5,16))-D485)/365,1),0.25)
)
*
_xlfn.SWITCH(J485,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85" s="1" cm="1">
        <f t="array" aca="1" ref="AA485" ca="1">IF(Y485&lt;DATE(2015,5,17),0,
K485*
(
INT((MIN(Y485,DATE(2018,9,23))-MAX(D485,DATE(2015,5,17)))/365)
+
CEILING(MOD((MIN(Y485,DATE(2018,9,23))-MAX(D485,DATE(2015,5,17)))/365,1),0.25)
)
*
_xlfn.SWITCH(J485,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485" s="1" cm="1">
        <f t="array" aca="1" ref="AB485" ca="1">IF(Y485&lt;DATE(2018,9,24),0,
IF(J485="زراعة",
K485*
(
INT((MIN(Y485,DATE(2023,4,30))-MAX(D485,DATE(2018,9,24)))/365)
+
CEILING(MOD((MIN(Y485,DATE(2023,4,30))-MAX(D485,DATE(2018,9,24)))/365,1),0.25)
)
*1,
K485*
(
DATEDIF(MAX(D485,DATE(2018,9,24)),MIN(Y485,DATE(2023,4,30)),"m")+1
)
*
_xlfn.SWITCH(J485,
"موقف/تندة",IF(D485&lt;DATE(2019,11,30),6,30),
"تشوينات",IF(D485&lt;DATE(2019,11,30),4,20),
"مشاتل",IF(D485&lt;DATE(2019,11,30),2,10),
"كافيتيريا",IF(D485&lt;DATE(2019,11,30),30,150),
"نوادي",IF(D485&lt;DATE(2019,11,30),6,30),
"رسو مراكب",IF(D485&lt;DATE(2019,11,30),2,10),
"مباني",IF(D485&lt;DATE(2018,9,24),2,10),
"عشش",IF(D485&lt;DATE(2019,11,30),2,10),
"كشك (تجاري/صناعي)",IF(D485&lt;DATE(2019,11,30),10,50),
"ردم",20,
0)))</f>
        <v>0</v>
      </c>
      <c r="AC485" s="1" cm="1">
        <f t="array" aca="1" ref="AC485" ca="1">IF(Y485&lt;DATE(2023,5,1),0,
IF(J485="زراعة",
K485*
(
INT((Y485-MAX(DATE(2023,5,1),D485))/365)
+
CEILING(MOD((Y485-MAX(DATE(2023,5,1),D485))/365,1),0.25)
)
*3,
IF(J485="ردم",
K485*20,
K485*
(
DATEDIF(MAX(DATE(2023,5,1),D485),Y485,"m")+1
)
*
_xlfn.SWITCH(J485,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485" s="1">
        <f t="shared" ca="1" si="44"/>
        <v>55</v>
      </c>
    </row>
    <row r="486" spans="1:30" ht="18.75" x14ac:dyDescent="0.25">
      <c r="A486" s="52">
        <v>439</v>
      </c>
      <c r="B486" s="3">
        <v>33</v>
      </c>
      <c r="C486" s="6">
        <v>2018</v>
      </c>
      <c r="D486" s="7">
        <v>43157</v>
      </c>
      <c r="E486" s="11" t="s">
        <v>660</v>
      </c>
      <c r="F486" s="3"/>
      <c r="G486" s="3" t="s">
        <v>611</v>
      </c>
      <c r="H486" s="3"/>
      <c r="I486" s="6" t="s">
        <v>371</v>
      </c>
      <c r="J486" s="3" t="s">
        <v>28</v>
      </c>
      <c r="K486" s="3">
        <v>9</v>
      </c>
      <c r="L486" s="3" t="s">
        <v>196</v>
      </c>
      <c r="M486" s="2"/>
      <c r="N486" s="3"/>
      <c r="O486" s="9">
        <f>0.47*Table2[[#This Row],[قيمة المحضر]]</f>
        <v>0</v>
      </c>
      <c r="P486" s="9">
        <f>0.17*Table2[[#This Row],[قيمة المحضر]]</f>
        <v>0</v>
      </c>
      <c r="Q486" s="9">
        <f t="shared" ca="1" si="47"/>
        <v>1368</v>
      </c>
      <c r="R486" s="3"/>
      <c r="S486" s="3"/>
      <c r="T486" s="9" t="str">
        <f t="shared" si="48"/>
        <v>-</v>
      </c>
      <c r="U486" s="3" t="s">
        <v>25</v>
      </c>
      <c r="V486" s="9" t="str">
        <f t="shared" si="49"/>
        <v>-</v>
      </c>
      <c r="W486" s="4"/>
      <c r="X486" s="38"/>
      <c r="Y486" s="1">
        <f t="shared" ca="1" si="43"/>
        <v>46162</v>
      </c>
      <c r="Z486" s="1" cm="1">
        <f t="array" ref="Z486">IF(D486&gt;DATE(2015,5,16),0,
K486*
(
INT((MIN(Y486,DATE(2015,5,16))-D486)/365)
+
CEILING(MOD((MIN(Y486,DATE(2015,5,16))-D486)/365,1),0.25)
)
*
_xlfn.SWITCH(J486,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86" s="1" cm="1">
        <f t="array" aca="1" ref="AA486" ca="1">IF(Y486&lt;DATE(2015,5,17),0,
K486*
(
INT((MIN(Y486,DATE(2018,9,23))-MAX(D486,DATE(2015,5,17)))/365)
+
CEILING(MOD((MIN(Y486,DATE(2018,9,23))-MAX(D486,DATE(2015,5,17)))/365,1),0.25)
)
*
_xlfn.SWITCH(J486,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27</v>
      </c>
      <c r="AB486" s="1" cm="1">
        <f t="array" aca="1" ref="AB486" ca="1">IF(Y486&lt;DATE(2018,9,24),0,
IF(J486="زراعة",
K486*
(
INT((MIN(Y486,DATE(2023,4,30))-MAX(D486,DATE(2018,9,24)))/365)
+
CEILING(MOD((MIN(Y486,DATE(2023,4,30))-MAX(D486,DATE(2018,9,24)))/365,1),0.25)
)
*1,
K486*
(
DATEDIF(MAX(D486,DATE(2018,9,24)),MIN(Y486,DATE(2023,4,30)),"m")+1
)
*
_xlfn.SWITCH(J486,
"موقف/تندة",IF(D486&lt;DATE(2019,11,30),6,30),
"تشوينات",IF(D486&lt;DATE(2019,11,30),4,20),
"مشاتل",IF(D486&lt;DATE(2019,11,30),2,10),
"كافيتيريا",IF(D486&lt;DATE(2019,11,30),30,150),
"نوادي",IF(D486&lt;DATE(2019,11,30),6,30),
"رسو مراكب",IF(D486&lt;DATE(2019,11,30),2,10),
"مباني",IF(D486&lt;DATE(2018,9,24),2,10),
"عشش",IF(D486&lt;DATE(2019,11,30),2,10),
"كشك (تجاري/صناعي)",IF(D486&lt;DATE(2019,11,30),10,50),
"ردم",20,
0)))</f>
        <v>1008</v>
      </c>
      <c r="AC486" s="1" cm="1">
        <f t="array" aca="1" ref="AC486" ca="1">IF(Y486&lt;DATE(2023,5,1),0,
IF(J486="زراعة",
K486*
(
INT((Y486-MAX(DATE(2023,5,1),D486))/365)
+
CEILING(MOD((Y486-MAX(DATE(2023,5,1),D486))/365,1),0.25)
)
*3,
IF(J486="ردم",
K486*20,
K486*
(
DATEDIF(MAX(DATE(2023,5,1),D486),Y486,"m")+1
)
*
_xlfn.SWITCH(J486,
"موقف/تندة",6,
"تشوينات",4,
"مشاتل",2,
"رسو مراكب",6,
"مباني",3,
"عشش",1,
"كشك (تجاري/صناعي)",20,
"مواسير صرف صحي (&lt;1م)",16,
"مواسير صرف صحي (&gt;1م)",18,
0))))</f>
        <v>333</v>
      </c>
      <c r="AD486" s="1">
        <f t="shared" ca="1" si="44"/>
        <v>55</v>
      </c>
    </row>
    <row r="487" spans="1:30" ht="18.75" x14ac:dyDescent="0.25">
      <c r="A487" s="52">
        <v>440</v>
      </c>
      <c r="B487" s="3">
        <v>34</v>
      </c>
      <c r="C487" s="6">
        <v>2018</v>
      </c>
      <c r="D487" s="7">
        <v>43157</v>
      </c>
      <c r="E487" s="11" t="s">
        <v>661</v>
      </c>
      <c r="F487" s="3"/>
      <c r="G487" s="3" t="s">
        <v>632</v>
      </c>
      <c r="H487" s="3"/>
      <c r="I487" s="6" t="s">
        <v>371</v>
      </c>
      <c r="J487" s="3" t="s">
        <v>28</v>
      </c>
      <c r="K487" s="3">
        <v>9</v>
      </c>
      <c r="L487" s="3" t="s">
        <v>196</v>
      </c>
      <c r="M487" s="2"/>
      <c r="N487" s="3"/>
      <c r="O487" s="9">
        <f>0.47*Table2[[#This Row],[قيمة المحضر]]</f>
        <v>0</v>
      </c>
      <c r="P487" s="9">
        <f>0.17*Table2[[#This Row],[قيمة المحضر]]</f>
        <v>0</v>
      </c>
      <c r="Q487" s="9">
        <f t="shared" ca="1" si="47"/>
        <v>1368</v>
      </c>
      <c r="R487" s="3"/>
      <c r="S487" s="3"/>
      <c r="T487" s="9" t="str">
        <f t="shared" si="48"/>
        <v>-</v>
      </c>
      <c r="U487" s="3" t="s">
        <v>25</v>
      </c>
      <c r="V487" s="9" t="str">
        <f t="shared" si="49"/>
        <v>-</v>
      </c>
      <c r="W487" s="4"/>
      <c r="X487" s="38"/>
      <c r="Y487" s="1">
        <f t="shared" ca="1" si="43"/>
        <v>46162</v>
      </c>
      <c r="Z487" s="1" cm="1">
        <f t="array" ref="Z487">IF(D487&gt;DATE(2015,5,16),0,
K487*
(
INT((MIN(Y487,DATE(2015,5,16))-D487)/365)
+
CEILING(MOD((MIN(Y487,DATE(2015,5,16))-D487)/365,1),0.25)
)
*
_xlfn.SWITCH(J487,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87" s="1" cm="1">
        <f t="array" aca="1" ref="AA487" ca="1">IF(Y487&lt;DATE(2015,5,17),0,
K487*
(
INT((MIN(Y487,DATE(2018,9,23))-MAX(D487,DATE(2015,5,17)))/365)
+
CEILING(MOD((MIN(Y487,DATE(2018,9,23))-MAX(D487,DATE(2015,5,17)))/365,1),0.25)
)
*
_xlfn.SWITCH(J487,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27</v>
      </c>
      <c r="AB487" s="1" cm="1">
        <f t="array" aca="1" ref="AB487" ca="1">IF(Y487&lt;DATE(2018,9,24),0,
IF(J487="زراعة",
K487*
(
INT((MIN(Y487,DATE(2023,4,30))-MAX(D487,DATE(2018,9,24)))/365)
+
CEILING(MOD((MIN(Y487,DATE(2023,4,30))-MAX(D487,DATE(2018,9,24)))/365,1),0.25)
)
*1,
K487*
(
DATEDIF(MAX(D487,DATE(2018,9,24)),MIN(Y487,DATE(2023,4,30)),"m")+1
)
*
_xlfn.SWITCH(J487,
"موقف/تندة",IF(D487&lt;DATE(2019,11,30),6,30),
"تشوينات",IF(D487&lt;DATE(2019,11,30),4,20),
"مشاتل",IF(D487&lt;DATE(2019,11,30),2,10),
"كافيتيريا",IF(D487&lt;DATE(2019,11,30),30,150),
"نوادي",IF(D487&lt;DATE(2019,11,30),6,30),
"رسو مراكب",IF(D487&lt;DATE(2019,11,30),2,10),
"مباني",IF(D487&lt;DATE(2018,9,24),2,10),
"عشش",IF(D487&lt;DATE(2019,11,30),2,10),
"كشك (تجاري/صناعي)",IF(D487&lt;DATE(2019,11,30),10,50),
"ردم",20,
0)))</f>
        <v>1008</v>
      </c>
      <c r="AC487" s="1" cm="1">
        <f t="array" aca="1" ref="AC487" ca="1">IF(Y487&lt;DATE(2023,5,1),0,
IF(J487="زراعة",
K487*
(
INT((Y487-MAX(DATE(2023,5,1),D487))/365)
+
CEILING(MOD((Y487-MAX(DATE(2023,5,1),D487))/365,1),0.25)
)
*3,
IF(J487="ردم",
K487*20,
K487*
(
DATEDIF(MAX(DATE(2023,5,1),D487),Y487,"m")+1
)
*
_xlfn.SWITCH(J487,
"موقف/تندة",6,
"تشوينات",4,
"مشاتل",2,
"رسو مراكب",6,
"مباني",3,
"عشش",1,
"كشك (تجاري/صناعي)",20,
"مواسير صرف صحي (&lt;1م)",16,
"مواسير صرف صحي (&gt;1م)",18,
0))))</f>
        <v>333</v>
      </c>
      <c r="AD487" s="1">
        <f t="shared" ca="1" si="44"/>
        <v>55</v>
      </c>
    </row>
    <row r="488" spans="1:30" ht="18.75" x14ac:dyDescent="0.25">
      <c r="A488" s="52">
        <v>441</v>
      </c>
      <c r="B488" s="3">
        <v>35</v>
      </c>
      <c r="C488" s="6">
        <v>2018</v>
      </c>
      <c r="D488" s="7">
        <v>43157</v>
      </c>
      <c r="E488" s="11" t="s">
        <v>662</v>
      </c>
      <c r="F488" s="3"/>
      <c r="G488" s="3" t="s">
        <v>633</v>
      </c>
      <c r="H488" s="3"/>
      <c r="I488" s="6" t="s">
        <v>371</v>
      </c>
      <c r="J488" s="3" t="s">
        <v>28</v>
      </c>
      <c r="K488" s="3">
        <v>9</v>
      </c>
      <c r="L488" s="3" t="s">
        <v>196</v>
      </c>
      <c r="M488" s="2"/>
      <c r="N488" s="3"/>
      <c r="O488" s="9">
        <f>0.47*Table2[[#This Row],[قيمة المحضر]]</f>
        <v>0</v>
      </c>
      <c r="P488" s="9">
        <f>0.17*Table2[[#This Row],[قيمة المحضر]]</f>
        <v>0</v>
      </c>
      <c r="Q488" s="9">
        <f t="shared" ca="1" si="47"/>
        <v>1368</v>
      </c>
      <c r="R488" s="3"/>
      <c r="S488" s="3"/>
      <c r="T488" s="9" t="str">
        <f t="shared" si="48"/>
        <v>-</v>
      </c>
      <c r="U488" s="3" t="s">
        <v>25</v>
      </c>
      <c r="V488" s="9" t="str">
        <f t="shared" si="49"/>
        <v>-</v>
      </c>
      <c r="W488" s="4"/>
      <c r="X488" s="38"/>
      <c r="Y488" s="1">
        <f t="shared" ca="1" si="43"/>
        <v>46162</v>
      </c>
      <c r="Z488" s="1" cm="1">
        <f t="array" ref="Z488">IF(D488&gt;DATE(2015,5,16),0,
K488*
(
INT((MIN(Y488,DATE(2015,5,16))-D488)/365)
+
CEILING(MOD((MIN(Y488,DATE(2015,5,16))-D488)/365,1),0.25)
)
*
_xlfn.SWITCH(J488,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88" s="1" cm="1">
        <f t="array" aca="1" ref="AA488" ca="1">IF(Y488&lt;DATE(2015,5,17),0,
K488*
(
INT((MIN(Y488,DATE(2018,9,23))-MAX(D488,DATE(2015,5,17)))/365)
+
CEILING(MOD((MIN(Y488,DATE(2018,9,23))-MAX(D488,DATE(2015,5,17)))/365,1),0.25)
)
*
_xlfn.SWITCH(J488,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27</v>
      </c>
      <c r="AB488" s="1" cm="1">
        <f t="array" aca="1" ref="AB488" ca="1">IF(Y488&lt;DATE(2018,9,24),0,
IF(J488="زراعة",
K488*
(
INT((MIN(Y488,DATE(2023,4,30))-MAX(D488,DATE(2018,9,24)))/365)
+
CEILING(MOD((MIN(Y488,DATE(2023,4,30))-MAX(D488,DATE(2018,9,24)))/365,1),0.25)
)
*1,
K488*
(
DATEDIF(MAX(D488,DATE(2018,9,24)),MIN(Y488,DATE(2023,4,30)),"m")+1
)
*
_xlfn.SWITCH(J488,
"موقف/تندة",IF(D488&lt;DATE(2019,11,30),6,30),
"تشوينات",IF(D488&lt;DATE(2019,11,30),4,20),
"مشاتل",IF(D488&lt;DATE(2019,11,30),2,10),
"كافيتيريا",IF(D488&lt;DATE(2019,11,30),30,150),
"نوادي",IF(D488&lt;DATE(2019,11,30),6,30),
"رسو مراكب",IF(D488&lt;DATE(2019,11,30),2,10),
"مباني",IF(D488&lt;DATE(2018,9,24),2,10),
"عشش",IF(D488&lt;DATE(2019,11,30),2,10),
"كشك (تجاري/صناعي)",IF(D488&lt;DATE(2019,11,30),10,50),
"ردم",20,
0)))</f>
        <v>1008</v>
      </c>
      <c r="AC488" s="1" cm="1">
        <f t="array" aca="1" ref="AC488" ca="1">IF(Y488&lt;DATE(2023,5,1),0,
IF(J488="زراعة",
K488*
(
INT((Y488-MAX(DATE(2023,5,1),D488))/365)
+
CEILING(MOD((Y488-MAX(DATE(2023,5,1),D488))/365,1),0.25)
)
*3,
IF(J488="ردم",
K488*20,
K488*
(
DATEDIF(MAX(DATE(2023,5,1),D488),Y488,"m")+1
)
*
_xlfn.SWITCH(J488,
"موقف/تندة",6,
"تشوينات",4,
"مشاتل",2,
"رسو مراكب",6,
"مباني",3,
"عشش",1,
"كشك (تجاري/صناعي)",20,
"مواسير صرف صحي (&lt;1م)",16,
"مواسير صرف صحي (&gt;1م)",18,
0))))</f>
        <v>333</v>
      </c>
      <c r="AD488" s="1">
        <f t="shared" ca="1" si="44"/>
        <v>55</v>
      </c>
    </row>
    <row r="489" spans="1:30" ht="18.75" x14ac:dyDescent="0.25">
      <c r="A489" s="52">
        <v>442</v>
      </c>
      <c r="B489" s="3">
        <v>36</v>
      </c>
      <c r="C489" s="6">
        <v>2018</v>
      </c>
      <c r="D489" s="7">
        <v>43157</v>
      </c>
      <c r="E489" s="11" t="s">
        <v>663</v>
      </c>
      <c r="F489" s="3"/>
      <c r="G489" s="3" t="s">
        <v>612</v>
      </c>
      <c r="H489" s="3"/>
      <c r="I489" s="6" t="s">
        <v>371</v>
      </c>
      <c r="J489" s="3" t="s">
        <v>28</v>
      </c>
      <c r="K489" s="3">
        <v>9</v>
      </c>
      <c r="L489" s="3" t="s">
        <v>196</v>
      </c>
      <c r="M489" s="2"/>
      <c r="N489" s="3"/>
      <c r="O489" s="9">
        <f>0.47*Table2[[#This Row],[قيمة المحضر]]</f>
        <v>0</v>
      </c>
      <c r="P489" s="9">
        <f>0.17*Table2[[#This Row],[قيمة المحضر]]</f>
        <v>0</v>
      </c>
      <c r="Q489" s="9">
        <f t="shared" ca="1" si="47"/>
        <v>1368</v>
      </c>
      <c r="R489" s="3"/>
      <c r="S489" s="3"/>
      <c r="T489" s="9" t="str">
        <f t="shared" si="48"/>
        <v>-</v>
      </c>
      <c r="U489" s="3" t="s">
        <v>25</v>
      </c>
      <c r="V489" s="9" t="str">
        <f t="shared" si="49"/>
        <v>-</v>
      </c>
      <c r="W489" s="4"/>
      <c r="X489" s="38"/>
      <c r="Y489" s="1">
        <f t="shared" ca="1" si="43"/>
        <v>46162</v>
      </c>
      <c r="Z489" s="1" cm="1">
        <f t="array" ref="Z489">IF(D489&gt;DATE(2015,5,16),0,
K489*
(
INT((MIN(Y489,DATE(2015,5,16))-D489)/365)
+
CEILING(MOD((MIN(Y489,DATE(2015,5,16))-D489)/365,1),0.25)
)
*
_xlfn.SWITCH(J489,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89" s="1" cm="1">
        <f t="array" aca="1" ref="AA489" ca="1">IF(Y489&lt;DATE(2015,5,17),0,
K489*
(
INT((MIN(Y489,DATE(2018,9,23))-MAX(D489,DATE(2015,5,17)))/365)
+
CEILING(MOD((MIN(Y489,DATE(2018,9,23))-MAX(D489,DATE(2015,5,17)))/365,1),0.25)
)
*
_xlfn.SWITCH(J489,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27</v>
      </c>
      <c r="AB489" s="1" cm="1">
        <f t="array" aca="1" ref="AB489" ca="1">IF(Y489&lt;DATE(2018,9,24),0,
IF(J489="زراعة",
K489*
(
INT((MIN(Y489,DATE(2023,4,30))-MAX(D489,DATE(2018,9,24)))/365)
+
CEILING(MOD((MIN(Y489,DATE(2023,4,30))-MAX(D489,DATE(2018,9,24)))/365,1),0.25)
)
*1,
K489*
(
DATEDIF(MAX(D489,DATE(2018,9,24)),MIN(Y489,DATE(2023,4,30)),"m")+1
)
*
_xlfn.SWITCH(J489,
"موقف/تندة",IF(D489&lt;DATE(2019,11,30),6,30),
"تشوينات",IF(D489&lt;DATE(2019,11,30),4,20),
"مشاتل",IF(D489&lt;DATE(2019,11,30),2,10),
"كافيتيريا",IF(D489&lt;DATE(2019,11,30),30,150),
"نوادي",IF(D489&lt;DATE(2019,11,30),6,30),
"رسو مراكب",IF(D489&lt;DATE(2019,11,30),2,10),
"مباني",IF(D489&lt;DATE(2018,9,24),2,10),
"عشش",IF(D489&lt;DATE(2019,11,30),2,10),
"كشك (تجاري/صناعي)",IF(D489&lt;DATE(2019,11,30),10,50),
"ردم",20,
0)))</f>
        <v>1008</v>
      </c>
      <c r="AC489" s="1" cm="1">
        <f t="array" aca="1" ref="AC489" ca="1">IF(Y489&lt;DATE(2023,5,1),0,
IF(J489="زراعة",
K489*
(
INT((Y489-MAX(DATE(2023,5,1),D489))/365)
+
CEILING(MOD((Y489-MAX(DATE(2023,5,1),D489))/365,1),0.25)
)
*3,
IF(J489="ردم",
K489*20,
K489*
(
DATEDIF(MAX(DATE(2023,5,1),D489),Y489,"m")+1
)
*
_xlfn.SWITCH(J489,
"موقف/تندة",6,
"تشوينات",4,
"مشاتل",2,
"رسو مراكب",6,
"مباني",3,
"عشش",1,
"كشك (تجاري/صناعي)",20,
"مواسير صرف صحي (&lt;1م)",16,
"مواسير صرف صحي (&gt;1م)",18,
0))))</f>
        <v>333</v>
      </c>
      <c r="AD489" s="1">
        <f t="shared" ca="1" si="44"/>
        <v>55</v>
      </c>
    </row>
    <row r="490" spans="1:30" ht="18.75" x14ac:dyDescent="0.25">
      <c r="A490" s="52">
        <v>443</v>
      </c>
      <c r="B490" s="3">
        <v>37</v>
      </c>
      <c r="C490" s="6">
        <v>2018</v>
      </c>
      <c r="D490" s="7">
        <v>43157</v>
      </c>
      <c r="E490" s="11" t="s">
        <v>664</v>
      </c>
      <c r="F490" s="3"/>
      <c r="G490" s="3" t="s">
        <v>613</v>
      </c>
      <c r="H490" s="3"/>
      <c r="I490" s="3" t="s">
        <v>436</v>
      </c>
      <c r="J490" s="3" t="s">
        <v>28</v>
      </c>
      <c r="K490" s="3">
        <v>30</v>
      </c>
      <c r="L490" s="3" t="s">
        <v>90</v>
      </c>
      <c r="M490" s="2"/>
      <c r="N490" s="3"/>
      <c r="O490" s="9">
        <f>0.47*Table2[[#This Row],[قيمة المحضر]]</f>
        <v>0</v>
      </c>
      <c r="P490" s="9">
        <f>0.17*Table2[[#This Row],[قيمة المحضر]]</f>
        <v>0</v>
      </c>
      <c r="Q490" s="9">
        <f t="shared" ca="1" si="47"/>
        <v>4560</v>
      </c>
      <c r="R490" s="3"/>
      <c r="S490" s="3"/>
      <c r="T490" s="9" t="str">
        <f t="shared" si="48"/>
        <v>-</v>
      </c>
      <c r="U490" s="3" t="s">
        <v>25</v>
      </c>
      <c r="V490" s="9" t="str">
        <f t="shared" si="49"/>
        <v>-</v>
      </c>
      <c r="W490" s="4"/>
      <c r="X490" s="38"/>
      <c r="Y490" s="1">
        <f t="shared" ca="1" si="43"/>
        <v>46162</v>
      </c>
      <c r="Z490" s="1" cm="1">
        <f t="array" ref="Z490">IF(D490&gt;DATE(2015,5,16),0,
K490*
(
INT((MIN(Y490,DATE(2015,5,16))-D490)/365)
+
CEILING(MOD((MIN(Y490,DATE(2015,5,16))-D490)/365,1),0.25)
)
*
_xlfn.SWITCH(J490,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90" s="1" cm="1">
        <f t="array" aca="1" ref="AA490" ca="1">IF(Y490&lt;DATE(2015,5,17),0,
K490*
(
INT((MIN(Y490,DATE(2018,9,23))-MAX(D490,DATE(2015,5,17)))/365)
+
CEILING(MOD((MIN(Y490,DATE(2018,9,23))-MAX(D490,DATE(2015,5,17)))/365,1),0.25)
)
*
_xlfn.SWITCH(J490,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90</v>
      </c>
      <c r="AB490" s="1" cm="1">
        <f t="array" aca="1" ref="AB490" ca="1">IF(Y490&lt;DATE(2018,9,24),0,
IF(J490="زراعة",
K490*
(
INT((MIN(Y490,DATE(2023,4,30))-MAX(D490,DATE(2018,9,24)))/365)
+
CEILING(MOD((MIN(Y490,DATE(2023,4,30))-MAX(D490,DATE(2018,9,24)))/365,1),0.25)
)
*1,
K490*
(
DATEDIF(MAX(D490,DATE(2018,9,24)),MIN(Y490,DATE(2023,4,30)),"m")+1
)
*
_xlfn.SWITCH(J490,
"موقف/تندة",IF(D490&lt;DATE(2019,11,30),6,30),
"تشوينات",IF(D490&lt;DATE(2019,11,30),4,20),
"مشاتل",IF(D490&lt;DATE(2019,11,30),2,10),
"كافيتيريا",IF(D490&lt;DATE(2019,11,30),30,150),
"نوادي",IF(D490&lt;DATE(2019,11,30),6,30),
"رسو مراكب",IF(D490&lt;DATE(2019,11,30),2,10),
"مباني",IF(D490&lt;DATE(2018,9,24),2,10),
"عشش",IF(D490&lt;DATE(2019,11,30),2,10),
"كشك (تجاري/صناعي)",IF(D490&lt;DATE(2019,11,30),10,50),
"ردم",20,
0)))</f>
        <v>3360</v>
      </c>
      <c r="AC490" s="1" cm="1">
        <f t="array" aca="1" ref="AC490" ca="1">IF(Y490&lt;DATE(2023,5,1),0,
IF(J490="زراعة",
K490*
(
INT((Y490-MAX(DATE(2023,5,1),D490))/365)
+
CEILING(MOD((Y490-MAX(DATE(2023,5,1),D490))/365,1),0.25)
)
*3,
IF(J490="ردم",
K490*20,
K490*
(
DATEDIF(MAX(DATE(2023,5,1),D490),Y490,"m")+1
)
*
_xlfn.SWITCH(J490,
"موقف/تندة",6,
"تشوينات",4,
"مشاتل",2,
"رسو مراكب",6,
"مباني",3,
"عشش",1,
"كشك (تجاري/صناعي)",20,
"مواسير صرف صحي (&lt;1م)",16,
"مواسير صرف صحي (&gt;1م)",18,
0))))</f>
        <v>1110</v>
      </c>
      <c r="AD490" s="1">
        <f t="shared" ca="1" si="44"/>
        <v>55</v>
      </c>
    </row>
    <row r="491" spans="1:30" ht="18.75" x14ac:dyDescent="0.25">
      <c r="A491" s="52">
        <v>444</v>
      </c>
      <c r="B491" s="3">
        <v>38</v>
      </c>
      <c r="C491" s="6">
        <v>2018</v>
      </c>
      <c r="D491" s="7">
        <v>43157</v>
      </c>
      <c r="E491" s="11" t="s">
        <v>665</v>
      </c>
      <c r="F491" s="3"/>
      <c r="G491" s="3" t="s">
        <v>614</v>
      </c>
      <c r="H491" s="3"/>
      <c r="I491" s="3" t="s">
        <v>104</v>
      </c>
      <c r="J491" s="3" t="s">
        <v>27</v>
      </c>
      <c r="K491" s="3">
        <v>50</v>
      </c>
      <c r="L491" s="3" t="s">
        <v>89</v>
      </c>
      <c r="M491" s="2"/>
      <c r="N491" s="3"/>
      <c r="O491" s="9">
        <f>0.47*Table2[[#This Row],[قيمة المحضر]]</f>
        <v>0</v>
      </c>
      <c r="P491" s="9">
        <f>0.17*Table2[[#This Row],[قيمة المحضر]]</f>
        <v>0</v>
      </c>
      <c r="Q491" s="9">
        <f t="shared" ca="1" si="47"/>
        <v>11450</v>
      </c>
      <c r="R491" s="3"/>
      <c r="S491" s="3"/>
      <c r="T491" s="9" t="str">
        <f t="shared" si="48"/>
        <v>-</v>
      </c>
      <c r="U491" s="3" t="s">
        <v>25</v>
      </c>
      <c r="V491" s="9" t="str">
        <f t="shared" si="49"/>
        <v>-</v>
      </c>
      <c r="W491" s="4"/>
      <c r="X491" s="38"/>
      <c r="Y491" s="1">
        <f t="shared" ca="1" si="43"/>
        <v>46162</v>
      </c>
      <c r="Z491" s="1" cm="1">
        <f t="array" ref="Z491">IF(D491&gt;DATE(2015,5,16),0,
K491*
(
INT((MIN(Y491,DATE(2015,5,16))-D491)/365)
+
CEILING(MOD((MIN(Y491,DATE(2015,5,16))-D491)/365,1),0.25)
)
*
_xlfn.SWITCH(J491,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91" s="1" cm="1">
        <f t="array" aca="1" ref="AA491" ca="1">IF(Y491&lt;DATE(2015,5,17),0,
K491*
(
INT((MIN(Y491,DATE(2018,9,23))-MAX(D491,DATE(2015,5,17)))/365)
+
CEILING(MOD((MIN(Y491,DATE(2018,9,23))-MAX(D491,DATE(2015,5,17)))/365,1),0.25)
)
*
_xlfn.SWITCH(J491,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300</v>
      </c>
      <c r="AB491" s="1" cm="1">
        <f t="array" aca="1" ref="AB491" ca="1">IF(Y491&lt;DATE(2018,9,24),0,
IF(J491="زراعة",
K491*
(
INT((MIN(Y491,DATE(2023,4,30))-MAX(D491,DATE(2018,9,24)))/365)
+
CEILING(MOD((MIN(Y491,DATE(2023,4,30))-MAX(D491,DATE(2018,9,24)))/365,1),0.25)
)
*1,
K491*
(
DATEDIF(MAX(D491,DATE(2018,9,24)),MIN(Y491,DATE(2023,4,30)),"m")+1
)
*
_xlfn.SWITCH(J491,
"موقف/تندة",IF(D491&lt;DATE(2019,11,30),6,30),
"تشوينات",IF(D491&lt;DATE(2019,11,30),4,20),
"مشاتل",IF(D491&lt;DATE(2019,11,30),2,10),
"كافيتيريا",IF(D491&lt;DATE(2019,11,30),30,150),
"نوادي",IF(D491&lt;DATE(2019,11,30),6,30),
"رسو مراكب",IF(D491&lt;DATE(2019,11,30),2,10),
"مباني",IF(D491&lt;DATE(2018,9,24),2,10),
"عشش",IF(D491&lt;DATE(2019,11,30),2,10),
"كشك (تجاري/صناعي)",IF(D491&lt;DATE(2019,11,30),10,50),
"ردم",20,
0)))</f>
        <v>5600</v>
      </c>
      <c r="AC491" s="1" cm="1">
        <f t="array" aca="1" ref="AC491" ca="1">IF(Y491&lt;DATE(2023,5,1),0,
IF(J491="زراعة",
K491*
(
INT((Y491-MAX(DATE(2023,5,1),D491))/365)
+
CEILING(MOD((Y491-MAX(DATE(2023,5,1),D491))/365,1),0.25)
)
*3,
IF(J491="ردم",
K491*20,
K491*
(
DATEDIF(MAX(DATE(2023,5,1),D491),Y491,"m")+1
)
*
_xlfn.SWITCH(J491,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491" s="1">
        <f t="shared" ca="1" si="44"/>
        <v>55</v>
      </c>
    </row>
    <row r="492" spans="1:30" ht="18.75" x14ac:dyDescent="0.25">
      <c r="A492" s="52">
        <v>445</v>
      </c>
      <c r="B492" s="3">
        <v>39</v>
      </c>
      <c r="C492" s="6">
        <v>2018</v>
      </c>
      <c r="D492" s="7">
        <v>43200</v>
      </c>
      <c r="E492" s="11" t="s">
        <v>666</v>
      </c>
      <c r="F492" s="3"/>
      <c r="G492" s="3" t="s">
        <v>615</v>
      </c>
      <c r="H492" s="3"/>
      <c r="I492" s="3" t="s">
        <v>670</v>
      </c>
      <c r="J492" s="3" t="s">
        <v>579</v>
      </c>
      <c r="K492" s="3"/>
      <c r="L492" s="3" t="s">
        <v>90</v>
      </c>
      <c r="M492" s="2"/>
      <c r="N492" s="3"/>
      <c r="O492" s="9">
        <f>0.47*Table2[[#This Row],[قيمة المحضر]]</f>
        <v>0</v>
      </c>
      <c r="P492" s="9">
        <f>0.17*Table2[[#This Row],[قيمة المحضر]]</f>
        <v>0</v>
      </c>
      <c r="Q492" s="9">
        <f t="shared" ca="1" si="47"/>
        <v>0</v>
      </c>
      <c r="R492" s="3"/>
      <c r="S492" s="3"/>
      <c r="T492" s="9" t="str">
        <f t="shared" si="48"/>
        <v>-</v>
      </c>
      <c r="U492" s="3" t="s">
        <v>25</v>
      </c>
      <c r="V492" s="9" t="str">
        <f t="shared" si="49"/>
        <v>-</v>
      </c>
      <c r="W492" s="4"/>
      <c r="X492" s="38"/>
      <c r="Y492" s="1">
        <f t="shared" ca="1" si="43"/>
        <v>46162</v>
      </c>
      <c r="Z492" s="1" cm="1">
        <f t="array" ref="Z492">IF(D492&gt;DATE(2015,5,16),0,
K492*
(
INT((MIN(Y492,DATE(2015,5,16))-D492)/365)
+
CEILING(MOD((MIN(Y492,DATE(2015,5,16))-D492)/365,1),0.25)
)
*
_xlfn.SWITCH(J492,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92" s="1" cm="1">
        <f t="array" aca="1" ref="AA492" ca="1">IF(Y492&lt;DATE(2015,5,17),0,
K492*
(
INT((MIN(Y492,DATE(2018,9,23))-MAX(D492,DATE(2015,5,17)))/365)
+
CEILING(MOD((MIN(Y492,DATE(2018,9,23))-MAX(D492,DATE(2015,5,17)))/365,1),0.25)
)
*
_xlfn.SWITCH(J492,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492" s="1" cm="1">
        <f t="array" aca="1" ref="AB492" ca="1">IF(Y492&lt;DATE(2018,9,24),0,
IF(J492="زراعة",
K492*
(
INT((MIN(Y492,DATE(2023,4,30))-MAX(D492,DATE(2018,9,24)))/365)
+
CEILING(MOD((MIN(Y492,DATE(2023,4,30))-MAX(D492,DATE(2018,9,24)))/365,1),0.25)
)
*1,
K492*
(
DATEDIF(MAX(D492,DATE(2018,9,24)),MIN(Y492,DATE(2023,4,30)),"m")+1
)
*
_xlfn.SWITCH(J492,
"موقف/تندة",IF(D492&lt;DATE(2019,11,30),6,30),
"تشوينات",IF(D492&lt;DATE(2019,11,30),4,20),
"مشاتل",IF(D492&lt;DATE(2019,11,30),2,10),
"كافيتيريا",IF(D492&lt;DATE(2019,11,30),30,150),
"نوادي",IF(D492&lt;DATE(2019,11,30),6,30),
"رسو مراكب",IF(D492&lt;DATE(2019,11,30),2,10),
"مباني",IF(D492&lt;DATE(2018,9,24),2,10),
"عشش",IF(D492&lt;DATE(2019,11,30),2,10),
"كشك (تجاري/صناعي)",IF(D492&lt;DATE(2019,11,30),10,50),
"ردم",20,
0)))</f>
        <v>0</v>
      </c>
      <c r="AC492" s="1" cm="1">
        <f t="array" aca="1" ref="AC492" ca="1">IF(Y492&lt;DATE(2023,5,1),0,
IF(J492="زراعة",
K492*
(
INT((Y492-MAX(DATE(2023,5,1),D492))/365)
+
CEILING(MOD((Y492-MAX(DATE(2023,5,1),D492))/365,1),0.25)
)
*3,
IF(J492="ردم",
K492*20,
K492*
(
DATEDIF(MAX(DATE(2023,5,1),D492),Y492,"m")+1
)
*
_xlfn.SWITCH(J492,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492" s="1">
        <f t="shared" ca="1" si="44"/>
        <v>55</v>
      </c>
    </row>
    <row r="493" spans="1:30" ht="18.75" x14ac:dyDescent="0.25">
      <c r="A493" s="52">
        <v>446</v>
      </c>
      <c r="B493" s="3">
        <v>40</v>
      </c>
      <c r="C493" s="6">
        <v>2018</v>
      </c>
      <c r="D493" s="7">
        <v>43209</v>
      </c>
      <c r="E493" s="11" t="s">
        <v>667</v>
      </c>
      <c r="F493" s="3"/>
      <c r="G493" s="3" t="s">
        <v>616</v>
      </c>
      <c r="H493" s="3"/>
      <c r="I493" s="3" t="s">
        <v>378</v>
      </c>
      <c r="J493" s="3" t="s">
        <v>579</v>
      </c>
      <c r="K493" s="3"/>
      <c r="L493" s="3" t="s">
        <v>90</v>
      </c>
      <c r="M493" s="2"/>
      <c r="N493" s="3"/>
      <c r="O493" s="9">
        <f>0.47*Table2[[#This Row],[قيمة المحضر]]</f>
        <v>0</v>
      </c>
      <c r="P493" s="9">
        <f>0.17*Table2[[#This Row],[قيمة المحضر]]</f>
        <v>0</v>
      </c>
      <c r="Q493" s="9">
        <f t="shared" ca="1" si="47"/>
        <v>0</v>
      </c>
      <c r="R493" s="3"/>
      <c r="S493" s="3"/>
      <c r="T493" s="9" t="str">
        <f t="shared" si="48"/>
        <v>-</v>
      </c>
      <c r="U493" s="3" t="s">
        <v>25</v>
      </c>
      <c r="V493" s="9" t="str">
        <f t="shared" si="49"/>
        <v>-</v>
      </c>
      <c r="W493" s="4"/>
      <c r="X493" s="38"/>
      <c r="Y493" s="1">
        <f t="shared" ca="1" si="43"/>
        <v>46162</v>
      </c>
      <c r="Z493" s="1" cm="1">
        <f t="array" ref="Z493">IF(D493&gt;DATE(2015,5,16),0,
K493*
(
INT((MIN(Y493,DATE(2015,5,16))-D493)/365)
+
CEILING(MOD((MIN(Y493,DATE(2015,5,16))-D493)/365,1),0.25)
)
*
_xlfn.SWITCH(J493,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93" s="1" cm="1">
        <f t="array" aca="1" ref="AA493" ca="1">IF(Y493&lt;DATE(2015,5,17),0,
K493*
(
INT((MIN(Y493,DATE(2018,9,23))-MAX(D493,DATE(2015,5,17)))/365)
+
CEILING(MOD((MIN(Y493,DATE(2018,9,23))-MAX(D493,DATE(2015,5,17)))/365,1),0.25)
)
*
_xlfn.SWITCH(J493,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493" s="1" cm="1">
        <f t="array" aca="1" ref="AB493" ca="1">IF(Y493&lt;DATE(2018,9,24),0,
IF(J493="زراعة",
K493*
(
INT((MIN(Y493,DATE(2023,4,30))-MAX(D493,DATE(2018,9,24)))/365)
+
CEILING(MOD((MIN(Y493,DATE(2023,4,30))-MAX(D493,DATE(2018,9,24)))/365,1),0.25)
)
*1,
K493*
(
DATEDIF(MAX(D493,DATE(2018,9,24)),MIN(Y493,DATE(2023,4,30)),"m")+1
)
*
_xlfn.SWITCH(J493,
"موقف/تندة",IF(D493&lt;DATE(2019,11,30),6,30),
"تشوينات",IF(D493&lt;DATE(2019,11,30),4,20),
"مشاتل",IF(D493&lt;DATE(2019,11,30),2,10),
"كافيتيريا",IF(D493&lt;DATE(2019,11,30),30,150),
"نوادي",IF(D493&lt;DATE(2019,11,30),6,30),
"رسو مراكب",IF(D493&lt;DATE(2019,11,30),2,10),
"مباني",IF(D493&lt;DATE(2018,9,24),2,10),
"عشش",IF(D493&lt;DATE(2019,11,30),2,10),
"كشك (تجاري/صناعي)",IF(D493&lt;DATE(2019,11,30),10,50),
"ردم",20,
0)))</f>
        <v>0</v>
      </c>
      <c r="AC493" s="1" cm="1">
        <f t="array" aca="1" ref="AC493" ca="1">IF(Y493&lt;DATE(2023,5,1),0,
IF(J493="زراعة",
K493*
(
INT((Y493-MAX(DATE(2023,5,1),D493))/365)
+
CEILING(MOD((Y493-MAX(DATE(2023,5,1),D493))/365,1),0.25)
)
*3,
IF(J493="ردم",
K493*20,
K493*
(
DATEDIF(MAX(DATE(2023,5,1),D493),Y493,"m")+1
)
*
_xlfn.SWITCH(J493,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493" s="1">
        <f t="shared" ca="1" si="44"/>
        <v>55</v>
      </c>
    </row>
    <row r="494" spans="1:30" ht="18.75" x14ac:dyDescent="0.25">
      <c r="A494" s="52">
        <v>447</v>
      </c>
      <c r="B494" s="3">
        <v>41</v>
      </c>
      <c r="C494" s="6">
        <v>2018</v>
      </c>
      <c r="D494" s="7">
        <v>43219</v>
      </c>
      <c r="E494" s="11" t="s">
        <v>668</v>
      </c>
      <c r="F494" s="3"/>
      <c r="G494" s="3" t="s">
        <v>617</v>
      </c>
      <c r="H494" s="3"/>
      <c r="I494" s="3" t="s">
        <v>105</v>
      </c>
      <c r="J494" s="3" t="s">
        <v>28</v>
      </c>
      <c r="K494" s="3">
        <v>70</v>
      </c>
      <c r="L494" s="3" t="s">
        <v>90</v>
      </c>
      <c r="M494" s="2"/>
      <c r="N494" s="3"/>
      <c r="O494" s="9">
        <f>0.47*Table2[[#This Row],[قيمة المحضر]]</f>
        <v>0</v>
      </c>
      <c r="P494" s="9">
        <f>0.17*Table2[[#This Row],[قيمة المحضر]]</f>
        <v>0</v>
      </c>
      <c r="Q494" s="9">
        <f t="shared" ca="1" si="47"/>
        <v>10570</v>
      </c>
      <c r="R494" s="3"/>
      <c r="S494" s="3"/>
      <c r="T494" s="9" t="str">
        <f t="shared" si="48"/>
        <v>-</v>
      </c>
      <c r="U494" s="3" t="s">
        <v>25</v>
      </c>
      <c r="V494" s="9" t="str">
        <f t="shared" si="49"/>
        <v>-</v>
      </c>
      <c r="W494" s="4"/>
      <c r="X494" s="38"/>
      <c r="Y494" s="1">
        <f t="shared" ca="1" si="43"/>
        <v>46162</v>
      </c>
      <c r="Z494" s="1" cm="1">
        <f t="array" ref="Z494">IF(D494&gt;DATE(2015,5,16),0,
K494*
(
INT((MIN(Y494,DATE(2015,5,16))-D494)/365)
+
CEILING(MOD((MIN(Y494,DATE(2015,5,16))-D494)/365,1),0.25)
)
*
_xlfn.SWITCH(J494,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94" s="1" cm="1">
        <f t="array" aca="1" ref="AA494" ca="1">IF(Y494&lt;DATE(2015,5,17),0,
K494*
(
INT((MIN(Y494,DATE(2018,9,23))-MAX(D494,DATE(2015,5,17)))/365)
+
CEILING(MOD((MIN(Y494,DATE(2018,9,23))-MAX(D494,DATE(2015,5,17)))/365,1),0.25)
)
*
_xlfn.SWITCH(J494,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140</v>
      </c>
      <c r="AB494" s="1" cm="1">
        <f t="array" aca="1" ref="AB494" ca="1">IF(Y494&lt;DATE(2018,9,24),0,
IF(J494="زراعة",
K494*
(
INT((MIN(Y494,DATE(2023,4,30))-MAX(D494,DATE(2018,9,24)))/365)
+
CEILING(MOD((MIN(Y494,DATE(2023,4,30))-MAX(D494,DATE(2018,9,24)))/365,1),0.25)
)
*1,
K494*
(
DATEDIF(MAX(D494,DATE(2018,9,24)),MIN(Y494,DATE(2023,4,30)),"m")+1
)
*
_xlfn.SWITCH(J494,
"موقف/تندة",IF(D494&lt;DATE(2019,11,30),6,30),
"تشوينات",IF(D494&lt;DATE(2019,11,30),4,20),
"مشاتل",IF(D494&lt;DATE(2019,11,30),2,10),
"كافيتيريا",IF(D494&lt;DATE(2019,11,30),30,150),
"نوادي",IF(D494&lt;DATE(2019,11,30),6,30),
"رسو مراكب",IF(D494&lt;DATE(2019,11,30),2,10),
"مباني",IF(D494&lt;DATE(2018,9,24),2,10),
"عشش",IF(D494&lt;DATE(2019,11,30),2,10),
"كشك (تجاري/صناعي)",IF(D494&lt;DATE(2019,11,30),10,50),
"ردم",20,
0)))</f>
        <v>7840</v>
      </c>
      <c r="AC494" s="1" cm="1">
        <f t="array" aca="1" ref="AC494" ca="1">IF(Y494&lt;DATE(2023,5,1),0,
IF(J494="زراعة",
K494*
(
INT((Y494-MAX(DATE(2023,5,1),D494))/365)
+
CEILING(MOD((Y494-MAX(DATE(2023,5,1),D494))/365,1),0.25)
)
*3,
IF(J494="ردم",
K494*20,
K494*
(
DATEDIF(MAX(DATE(2023,5,1),D494),Y494,"m")+1
)
*
_xlfn.SWITCH(J494,
"موقف/تندة",6,
"تشوينات",4,
"مشاتل",2,
"رسو مراكب",6,
"مباني",3,
"عشش",1,
"كشك (تجاري/صناعي)",20,
"مواسير صرف صحي (&lt;1م)",16,
"مواسير صرف صحي (&gt;1م)",18,
0))))</f>
        <v>2590</v>
      </c>
      <c r="AD494" s="1">
        <f t="shared" ca="1" si="44"/>
        <v>55</v>
      </c>
    </row>
    <row r="495" spans="1:30" ht="18.75" x14ac:dyDescent="0.25">
      <c r="A495" s="52">
        <v>448</v>
      </c>
      <c r="B495" s="3">
        <v>42</v>
      </c>
      <c r="C495" s="6">
        <v>2018</v>
      </c>
      <c r="D495" s="7">
        <v>43276</v>
      </c>
      <c r="E495" s="11" t="s">
        <v>645</v>
      </c>
      <c r="F495" s="3"/>
      <c r="G495" s="3" t="s">
        <v>618</v>
      </c>
      <c r="H495" s="3"/>
      <c r="I495" s="3" t="s">
        <v>33</v>
      </c>
      <c r="J495" s="3" t="s">
        <v>27</v>
      </c>
      <c r="K495" s="3">
        <f>6*16</f>
        <v>96</v>
      </c>
      <c r="L495" s="3" t="s">
        <v>90</v>
      </c>
      <c r="M495" s="2"/>
      <c r="N495" s="3"/>
      <c r="O495" s="9">
        <f>0.47*Table2[[#This Row],[قيمة المحضر]]</f>
        <v>0</v>
      </c>
      <c r="P495" s="9">
        <f>0.17*Table2[[#This Row],[قيمة المحضر]]</f>
        <v>0</v>
      </c>
      <c r="Q495" s="9">
        <f t="shared" ca="1" si="47"/>
        <v>21600</v>
      </c>
      <c r="R495" s="3"/>
      <c r="S495" s="3"/>
      <c r="T495" s="9" t="str">
        <f t="shared" si="48"/>
        <v>-</v>
      </c>
      <c r="U495" s="3" t="s">
        <v>25</v>
      </c>
      <c r="V495" s="9" t="str">
        <f t="shared" si="49"/>
        <v>-</v>
      </c>
      <c r="W495" s="4"/>
      <c r="X495" s="38"/>
      <c r="Y495" s="1">
        <f t="shared" ca="1" si="43"/>
        <v>46162</v>
      </c>
      <c r="Z495" s="1" cm="1">
        <f t="array" ref="Z495">IF(D495&gt;DATE(2015,5,16),0,
K495*
(
INT((MIN(Y495,DATE(2015,5,16))-D495)/365)
+
CEILING(MOD((MIN(Y495,DATE(2015,5,16))-D495)/365,1),0.25)
)
*
_xlfn.SWITCH(J495,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95" s="1" cm="1">
        <f t="array" aca="1" ref="AA495" ca="1">IF(Y495&lt;DATE(2015,5,17),0,
K495*
(
INT((MIN(Y495,DATE(2018,9,23))-MAX(D495,DATE(2015,5,17)))/365)
+
CEILING(MOD((MIN(Y495,DATE(2018,9,23))-MAX(D495,DATE(2015,5,17)))/365,1),0.25)
)
*
_xlfn.SWITCH(J495,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192</v>
      </c>
      <c r="AB495" s="1" cm="1">
        <f t="array" aca="1" ref="AB495" ca="1">IF(Y495&lt;DATE(2018,9,24),0,
IF(J495="زراعة",
K495*
(
INT((MIN(Y495,DATE(2023,4,30))-MAX(D495,DATE(2018,9,24)))/365)
+
CEILING(MOD((MIN(Y495,DATE(2023,4,30))-MAX(D495,DATE(2018,9,24)))/365,1),0.25)
)
*1,
K495*
(
DATEDIF(MAX(D495,DATE(2018,9,24)),MIN(Y495,DATE(2023,4,30)),"m")+1
)
*
_xlfn.SWITCH(J495,
"موقف/تندة",IF(D495&lt;DATE(2019,11,30),6,30),
"تشوينات",IF(D495&lt;DATE(2019,11,30),4,20),
"مشاتل",IF(D495&lt;DATE(2019,11,30),2,10),
"كافيتيريا",IF(D495&lt;DATE(2019,11,30),30,150),
"نوادي",IF(D495&lt;DATE(2019,11,30),6,30),
"رسو مراكب",IF(D495&lt;DATE(2019,11,30),2,10),
"مباني",IF(D495&lt;DATE(2018,9,24),2,10),
"عشش",IF(D495&lt;DATE(2019,11,30),2,10),
"كشك (تجاري/صناعي)",IF(D495&lt;DATE(2019,11,30),10,50),
"ردم",20,
0)))</f>
        <v>10752</v>
      </c>
      <c r="AC495" s="1" cm="1">
        <f t="array" aca="1" ref="AC495" ca="1">IF(Y495&lt;DATE(2023,5,1),0,
IF(J495="زراعة",
K495*
(
INT((Y495-MAX(DATE(2023,5,1),D495))/365)
+
CEILING(MOD((Y495-MAX(DATE(2023,5,1),D495))/365,1),0.25)
)
*3,
IF(J495="ردم",
K495*20,
K495*
(
DATEDIF(MAX(DATE(2023,5,1),D495),Y495,"m")+1
)
*
_xlfn.SWITCH(J495,
"موقف/تندة",6,
"تشوينات",4,
"مشاتل",2,
"رسو مراكب",6,
"مباني",3,
"عشش",1,
"كشك (تجاري/صناعي)",20,
"مواسير صرف صحي (&lt;1م)",16,
"مواسير صرف صحي (&gt;1م)",18,
0))))</f>
        <v>10656</v>
      </c>
      <c r="AD495" s="1">
        <f t="shared" ca="1" si="44"/>
        <v>55</v>
      </c>
    </row>
    <row r="496" spans="1:30" ht="18.75" x14ac:dyDescent="0.25">
      <c r="A496" s="52">
        <v>449</v>
      </c>
      <c r="B496" s="3">
        <v>43</v>
      </c>
      <c r="C496" s="6">
        <v>2018</v>
      </c>
      <c r="D496" s="7">
        <v>43276</v>
      </c>
      <c r="E496" s="11"/>
      <c r="F496" s="3"/>
      <c r="G496" s="3" t="s">
        <v>619</v>
      </c>
      <c r="H496" s="3"/>
      <c r="I496" s="3" t="s">
        <v>670</v>
      </c>
      <c r="J496" s="3" t="s">
        <v>579</v>
      </c>
      <c r="K496" s="3"/>
      <c r="L496" s="3" t="s">
        <v>191</v>
      </c>
      <c r="M496" s="2"/>
      <c r="N496" s="3"/>
      <c r="O496" s="9">
        <f>0.47*Table2[[#This Row],[قيمة المحضر]]</f>
        <v>0</v>
      </c>
      <c r="P496" s="9">
        <f>0.17*Table2[[#This Row],[قيمة المحضر]]</f>
        <v>0</v>
      </c>
      <c r="Q496" s="9">
        <f t="shared" ca="1" si="47"/>
        <v>0</v>
      </c>
      <c r="R496" s="3"/>
      <c r="S496" s="3"/>
      <c r="T496" s="9" t="str">
        <f t="shared" si="48"/>
        <v>-</v>
      </c>
      <c r="U496" s="3" t="s">
        <v>25</v>
      </c>
      <c r="V496" s="9" t="str">
        <f t="shared" si="49"/>
        <v>-</v>
      </c>
      <c r="W496" s="4"/>
      <c r="X496" s="38"/>
      <c r="Y496" s="1">
        <f t="shared" ca="1" si="43"/>
        <v>46162</v>
      </c>
      <c r="Z496" s="1" cm="1">
        <f t="array" ref="Z496">IF(D496&gt;DATE(2015,5,16),0,
K496*
(
INT((MIN(Y496,DATE(2015,5,16))-D496)/365)
+
CEILING(MOD((MIN(Y496,DATE(2015,5,16))-D496)/365,1),0.25)
)
*
_xlfn.SWITCH(J496,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96" s="1" cm="1">
        <f t="array" aca="1" ref="AA496" ca="1">IF(Y496&lt;DATE(2015,5,17),0,
K496*
(
INT((MIN(Y496,DATE(2018,9,23))-MAX(D496,DATE(2015,5,17)))/365)
+
CEILING(MOD((MIN(Y496,DATE(2018,9,23))-MAX(D496,DATE(2015,5,17)))/365,1),0.25)
)
*
_xlfn.SWITCH(J496,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496" s="1" cm="1">
        <f t="array" aca="1" ref="AB496" ca="1">IF(Y496&lt;DATE(2018,9,24),0,
IF(J496="زراعة",
K496*
(
INT((MIN(Y496,DATE(2023,4,30))-MAX(D496,DATE(2018,9,24)))/365)
+
CEILING(MOD((MIN(Y496,DATE(2023,4,30))-MAX(D496,DATE(2018,9,24)))/365,1),0.25)
)
*1,
K496*
(
DATEDIF(MAX(D496,DATE(2018,9,24)),MIN(Y496,DATE(2023,4,30)),"m")+1
)
*
_xlfn.SWITCH(J496,
"موقف/تندة",IF(D496&lt;DATE(2019,11,30),6,30),
"تشوينات",IF(D496&lt;DATE(2019,11,30),4,20),
"مشاتل",IF(D496&lt;DATE(2019,11,30),2,10),
"كافيتيريا",IF(D496&lt;DATE(2019,11,30),30,150),
"نوادي",IF(D496&lt;DATE(2019,11,30),6,30),
"رسو مراكب",IF(D496&lt;DATE(2019,11,30),2,10),
"مباني",IF(D496&lt;DATE(2018,9,24),2,10),
"عشش",IF(D496&lt;DATE(2019,11,30),2,10),
"كشك (تجاري/صناعي)",IF(D496&lt;DATE(2019,11,30),10,50),
"ردم",20,
0)))</f>
        <v>0</v>
      </c>
      <c r="AC496" s="1" cm="1">
        <f t="array" aca="1" ref="AC496" ca="1">IF(Y496&lt;DATE(2023,5,1),0,
IF(J496="زراعة",
K496*
(
INT((Y496-MAX(DATE(2023,5,1),D496))/365)
+
CEILING(MOD((Y496-MAX(DATE(2023,5,1),D496))/365,1),0.25)
)
*3,
IF(J496="ردم",
K496*20,
K496*
(
DATEDIF(MAX(DATE(2023,5,1),D496),Y496,"m")+1
)
*
_xlfn.SWITCH(J496,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496" s="1">
        <f t="shared" ca="1" si="44"/>
        <v>55</v>
      </c>
    </row>
    <row r="497" spans="1:30" ht="18.75" x14ac:dyDescent="0.25">
      <c r="A497" s="52">
        <v>450</v>
      </c>
      <c r="B497" s="3">
        <v>44</v>
      </c>
      <c r="C497" s="6">
        <v>2018</v>
      </c>
      <c r="D497" s="7">
        <v>43276</v>
      </c>
      <c r="E497" s="11"/>
      <c r="F497" s="3"/>
      <c r="G497" s="3" t="s">
        <v>620</v>
      </c>
      <c r="H497" s="3"/>
      <c r="I497" s="3" t="s">
        <v>670</v>
      </c>
      <c r="J497" s="3" t="s">
        <v>579</v>
      </c>
      <c r="K497" s="3"/>
      <c r="L497" s="3" t="s">
        <v>191</v>
      </c>
      <c r="M497" s="2"/>
      <c r="N497" s="3"/>
      <c r="O497" s="9">
        <f>0.47*Table2[[#This Row],[قيمة المحضر]]</f>
        <v>0</v>
      </c>
      <c r="P497" s="9">
        <f>0.17*Table2[[#This Row],[قيمة المحضر]]</f>
        <v>0</v>
      </c>
      <c r="Q497" s="9">
        <f t="shared" ca="1" si="47"/>
        <v>0</v>
      </c>
      <c r="R497" s="3"/>
      <c r="S497" s="3"/>
      <c r="T497" s="9" t="str">
        <f t="shared" si="48"/>
        <v>-</v>
      </c>
      <c r="U497" s="3" t="s">
        <v>25</v>
      </c>
      <c r="V497" s="9" t="str">
        <f t="shared" si="49"/>
        <v>-</v>
      </c>
      <c r="W497" s="4"/>
      <c r="X497" s="38"/>
      <c r="Y497" s="1">
        <f t="shared" ca="1" si="43"/>
        <v>46162</v>
      </c>
      <c r="Z497" s="1" cm="1">
        <f t="array" ref="Z497">IF(D497&gt;DATE(2015,5,16),0,
K497*
(
INT((MIN(Y497,DATE(2015,5,16))-D497)/365)
+
CEILING(MOD((MIN(Y497,DATE(2015,5,16))-D497)/365,1),0.25)
)
*
_xlfn.SWITCH(J497,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97" s="1" cm="1">
        <f t="array" aca="1" ref="AA497" ca="1">IF(Y497&lt;DATE(2015,5,17),0,
K497*
(
INT((MIN(Y497,DATE(2018,9,23))-MAX(D497,DATE(2015,5,17)))/365)
+
CEILING(MOD((MIN(Y497,DATE(2018,9,23))-MAX(D497,DATE(2015,5,17)))/365,1),0.25)
)
*
_xlfn.SWITCH(J497,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497" s="1" cm="1">
        <f t="array" aca="1" ref="AB497" ca="1">IF(Y497&lt;DATE(2018,9,24),0,
IF(J497="زراعة",
K497*
(
INT((MIN(Y497,DATE(2023,4,30))-MAX(D497,DATE(2018,9,24)))/365)
+
CEILING(MOD((MIN(Y497,DATE(2023,4,30))-MAX(D497,DATE(2018,9,24)))/365,1),0.25)
)
*1,
K497*
(
DATEDIF(MAX(D497,DATE(2018,9,24)),MIN(Y497,DATE(2023,4,30)),"m")+1
)
*
_xlfn.SWITCH(J497,
"موقف/تندة",IF(D497&lt;DATE(2019,11,30),6,30),
"تشوينات",IF(D497&lt;DATE(2019,11,30),4,20),
"مشاتل",IF(D497&lt;DATE(2019,11,30),2,10),
"كافيتيريا",IF(D497&lt;DATE(2019,11,30),30,150),
"نوادي",IF(D497&lt;DATE(2019,11,30),6,30),
"رسو مراكب",IF(D497&lt;DATE(2019,11,30),2,10),
"مباني",IF(D497&lt;DATE(2018,9,24),2,10),
"عشش",IF(D497&lt;DATE(2019,11,30),2,10),
"كشك (تجاري/صناعي)",IF(D497&lt;DATE(2019,11,30),10,50),
"ردم",20,
0)))</f>
        <v>0</v>
      </c>
      <c r="AC497" s="1" cm="1">
        <f t="array" aca="1" ref="AC497" ca="1">IF(Y497&lt;DATE(2023,5,1),0,
IF(J497="زراعة",
K497*
(
INT((Y497-MAX(DATE(2023,5,1),D497))/365)
+
CEILING(MOD((Y497-MAX(DATE(2023,5,1),D497))/365,1),0.25)
)
*3,
IF(J497="ردم",
K497*20,
K497*
(
DATEDIF(MAX(DATE(2023,5,1),D497),Y497,"m")+1
)
*
_xlfn.SWITCH(J497,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497" s="1">
        <f t="shared" ca="1" si="44"/>
        <v>55</v>
      </c>
    </row>
    <row r="498" spans="1:30" ht="18.75" x14ac:dyDescent="0.25">
      <c r="A498" s="52">
        <v>451</v>
      </c>
      <c r="B498" s="3">
        <v>45</v>
      </c>
      <c r="C498" s="6">
        <v>2018</v>
      </c>
      <c r="D498" s="7">
        <v>43276</v>
      </c>
      <c r="E498" s="11"/>
      <c r="F498" s="3"/>
      <c r="G498" s="3" t="s">
        <v>621</v>
      </c>
      <c r="H498" s="3"/>
      <c r="I498" s="3" t="s">
        <v>670</v>
      </c>
      <c r="J498" s="3" t="s">
        <v>579</v>
      </c>
      <c r="K498" s="3"/>
      <c r="L498" s="3" t="s">
        <v>191</v>
      </c>
      <c r="M498" s="2"/>
      <c r="N498" s="3"/>
      <c r="O498" s="9">
        <f>0.47*Table2[[#This Row],[قيمة المحضر]]</f>
        <v>0</v>
      </c>
      <c r="P498" s="9">
        <f>0.17*Table2[[#This Row],[قيمة المحضر]]</f>
        <v>0</v>
      </c>
      <c r="Q498" s="9">
        <f t="shared" ca="1" si="47"/>
        <v>0</v>
      </c>
      <c r="R498" s="3"/>
      <c r="S498" s="3"/>
      <c r="T498" s="9" t="str">
        <f t="shared" si="48"/>
        <v>-</v>
      </c>
      <c r="U498" s="3" t="s">
        <v>25</v>
      </c>
      <c r="V498" s="9" t="str">
        <f t="shared" si="49"/>
        <v>-</v>
      </c>
      <c r="W498" s="4"/>
      <c r="X498" s="38"/>
      <c r="Y498" s="1">
        <f t="shared" ca="1" si="43"/>
        <v>46162</v>
      </c>
      <c r="Z498" s="1" cm="1">
        <f t="array" ref="Z498">IF(D498&gt;DATE(2015,5,16),0,
K498*
(
INT((MIN(Y498,DATE(2015,5,16))-D498)/365)
+
CEILING(MOD((MIN(Y498,DATE(2015,5,16))-D498)/365,1),0.25)
)
*
_xlfn.SWITCH(J498,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98" s="1" cm="1">
        <f t="array" aca="1" ref="AA498" ca="1">IF(Y498&lt;DATE(2015,5,17),0,
K498*
(
INT((MIN(Y498,DATE(2018,9,23))-MAX(D498,DATE(2015,5,17)))/365)
+
CEILING(MOD((MIN(Y498,DATE(2018,9,23))-MAX(D498,DATE(2015,5,17)))/365,1),0.25)
)
*
_xlfn.SWITCH(J498,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498" s="1" cm="1">
        <f t="array" aca="1" ref="AB498" ca="1">IF(Y498&lt;DATE(2018,9,24),0,
IF(J498="زراعة",
K498*
(
INT((MIN(Y498,DATE(2023,4,30))-MAX(D498,DATE(2018,9,24)))/365)
+
CEILING(MOD((MIN(Y498,DATE(2023,4,30))-MAX(D498,DATE(2018,9,24)))/365,1),0.25)
)
*1,
K498*
(
DATEDIF(MAX(D498,DATE(2018,9,24)),MIN(Y498,DATE(2023,4,30)),"m")+1
)
*
_xlfn.SWITCH(J498,
"موقف/تندة",IF(D498&lt;DATE(2019,11,30),6,30),
"تشوينات",IF(D498&lt;DATE(2019,11,30),4,20),
"مشاتل",IF(D498&lt;DATE(2019,11,30),2,10),
"كافيتيريا",IF(D498&lt;DATE(2019,11,30),30,150),
"نوادي",IF(D498&lt;DATE(2019,11,30),6,30),
"رسو مراكب",IF(D498&lt;DATE(2019,11,30),2,10),
"مباني",IF(D498&lt;DATE(2018,9,24),2,10),
"عشش",IF(D498&lt;DATE(2019,11,30),2,10),
"كشك (تجاري/صناعي)",IF(D498&lt;DATE(2019,11,30),10,50),
"ردم",20,
0)))</f>
        <v>0</v>
      </c>
      <c r="AC498" s="1" cm="1">
        <f t="array" aca="1" ref="AC498" ca="1">IF(Y498&lt;DATE(2023,5,1),0,
IF(J498="زراعة",
K498*
(
INT((Y498-MAX(DATE(2023,5,1),D498))/365)
+
CEILING(MOD((Y498-MAX(DATE(2023,5,1),D498))/365,1),0.25)
)
*3,
IF(J498="ردم",
K498*20,
K498*
(
DATEDIF(MAX(DATE(2023,5,1),D498),Y498,"m")+1
)
*
_xlfn.SWITCH(J498,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498" s="1">
        <f t="shared" ca="1" si="44"/>
        <v>55</v>
      </c>
    </row>
    <row r="499" spans="1:30" ht="18.75" x14ac:dyDescent="0.25">
      <c r="A499" s="52">
        <v>452</v>
      </c>
      <c r="B499" s="3">
        <v>46</v>
      </c>
      <c r="C499" s="6">
        <v>2018</v>
      </c>
      <c r="D499" s="7">
        <v>43276</v>
      </c>
      <c r="E499" s="19"/>
      <c r="F499" s="14"/>
      <c r="G499" s="14" t="s">
        <v>510</v>
      </c>
      <c r="H499" s="14"/>
      <c r="I499" s="3" t="s">
        <v>670</v>
      </c>
      <c r="J499" s="14" t="s">
        <v>579</v>
      </c>
      <c r="K499" s="14"/>
      <c r="L499" s="3" t="s">
        <v>191</v>
      </c>
      <c r="M499" s="15"/>
      <c r="N499" s="14"/>
      <c r="O499" s="9">
        <f>0.47*Table2[[#This Row],[قيمة المحضر]]</f>
        <v>0</v>
      </c>
      <c r="P499" s="9">
        <f>0.17*Table2[[#This Row],[قيمة المحضر]]</f>
        <v>0</v>
      </c>
      <c r="Q499" s="9">
        <f t="shared" ca="1" si="47"/>
        <v>0</v>
      </c>
      <c r="R499" s="3"/>
      <c r="S499" s="3"/>
      <c r="T499" s="9" t="str">
        <f t="shared" si="48"/>
        <v>-</v>
      </c>
      <c r="U499" s="3" t="s">
        <v>25</v>
      </c>
      <c r="V499" s="9" t="str">
        <f t="shared" si="49"/>
        <v>-</v>
      </c>
      <c r="W499" s="4"/>
      <c r="X499" s="38"/>
      <c r="Y499" s="1">
        <f t="shared" ca="1" si="43"/>
        <v>46162</v>
      </c>
      <c r="Z499" s="1" cm="1">
        <f t="array" ref="Z499">IF(D499&gt;DATE(2015,5,16),0,
K499*
(
INT((MIN(Y499,DATE(2015,5,16))-D499)/365)
+
CEILING(MOD((MIN(Y499,DATE(2015,5,16))-D499)/365,1),0.25)
)
*
_xlfn.SWITCH(J499,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499" s="1" cm="1">
        <f t="array" aca="1" ref="AA499" ca="1">IF(Y499&lt;DATE(2015,5,17),0,
K499*
(
INT((MIN(Y499,DATE(2018,9,23))-MAX(D499,DATE(2015,5,17)))/365)
+
CEILING(MOD((MIN(Y499,DATE(2018,9,23))-MAX(D499,DATE(2015,5,17)))/365,1),0.25)
)
*
_xlfn.SWITCH(J499,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499" s="1" cm="1">
        <f t="array" aca="1" ref="AB499" ca="1">IF(Y499&lt;DATE(2018,9,24),0,
IF(J499="زراعة",
K499*
(
INT((MIN(Y499,DATE(2023,4,30))-MAX(D499,DATE(2018,9,24)))/365)
+
CEILING(MOD((MIN(Y499,DATE(2023,4,30))-MAX(D499,DATE(2018,9,24)))/365,1),0.25)
)
*1,
K499*
(
DATEDIF(MAX(D499,DATE(2018,9,24)),MIN(Y499,DATE(2023,4,30)),"m")+1
)
*
_xlfn.SWITCH(J499,
"موقف/تندة",IF(D499&lt;DATE(2019,11,30),6,30),
"تشوينات",IF(D499&lt;DATE(2019,11,30),4,20),
"مشاتل",IF(D499&lt;DATE(2019,11,30),2,10),
"كافيتيريا",IF(D499&lt;DATE(2019,11,30),30,150),
"نوادي",IF(D499&lt;DATE(2019,11,30),6,30),
"رسو مراكب",IF(D499&lt;DATE(2019,11,30),2,10),
"مباني",IF(D499&lt;DATE(2018,9,24),2,10),
"عشش",IF(D499&lt;DATE(2019,11,30),2,10),
"كشك (تجاري/صناعي)",IF(D499&lt;DATE(2019,11,30),10,50),
"ردم",20,
0)))</f>
        <v>0</v>
      </c>
      <c r="AC499" s="1" cm="1">
        <f t="array" aca="1" ref="AC499" ca="1">IF(Y499&lt;DATE(2023,5,1),0,
IF(J499="زراعة",
K499*
(
INT((Y499-MAX(DATE(2023,5,1),D499))/365)
+
CEILING(MOD((Y499-MAX(DATE(2023,5,1),D499))/365,1),0.25)
)
*3,
IF(J499="ردم",
K499*20,
K499*
(
DATEDIF(MAX(DATE(2023,5,1),D499),Y499,"m")+1
)
*
_xlfn.SWITCH(J499,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499" s="1">
        <f t="shared" ca="1" si="44"/>
        <v>55</v>
      </c>
    </row>
    <row r="500" spans="1:30" ht="18.75" x14ac:dyDescent="0.25">
      <c r="A500" s="52">
        <v>453</v>
      </c>
      <c r="B500" s="3">
        <v>47</v>
      </c>
      <c r="C500" s="6">
        <v>2018</v>
      </c>
      <c r="D500" s="7">
        <v>43276</v>
      </c>
      <c r="E500" s="19"/>
      <c r="F500" s="14"/>
      <c r="G500" s="14" t="s">
        <v>622</v>
      </c>
      <c r="H500" s="14"/>
      <c r="I500" s="3" t="s">
        <v>670</v>
      </c>
      <c r="J500" s="14" t="s">
        <v>579</v>
      </c>
      <c r="K500" s="14"/>
      <c r="L500" s="3" t="s">
        <v>191</v>
      </c>
      <c r="M500" s="15"/>
      <c r="N500" s="14"/>
      <c r="O500" s="9">
        <f>0.47*Table2[[#This Row],[قيمة المحضر]]</f>
        <v>0</v>
      </c>
      <c r="P500" s="9">
        <f>0.17*Table2[[#This Row],[قيمة المحضر]]</f>
        <v>0</v>
      </c>
      <c r="Q500" s="9">
        <f t="shared" ca="1" si="47"/>
        <v>0</v>
      </c>
      <c r="R500" s="3"/>
      <c r="S500" s="3"/>
      <c r="T500" s="9" t="str">
        <f t="shared" si="48"/>
        <v>-</v>
      </c>
      <c r="U500" s="3" t="s">
        <v>25</v>
      </c>
      <c r="V500" s="9" t="str">
        <f t="shared" si="49"/>
        <v>-</v>
      </c>
      <c r="W500" s="4"/>
      <c r="X500" s="38"/>
      <c r="Y500" s="1">
        <f t="shared" ca="1" si="43"/>
        <v>46162</v>
      </c>
      <c r="Z500" s="1" cm="1">
        <f t="array" ref="Z500">IF(D500&gt;DATE(2015,5,16),0,
K500*
(
INT((MIN(Y500,DATE(2015,5,16))-D500)/365)
+
CEILING(MOD((MIN(Y500,DATE(2015,5,16))-D500)/365,1),0.25)
)
*
_xlfn.SWITCH(J500,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00" s="1" cm="1">
        <f t="array" aca="1" ref="AA500" ca="1">IF(Y500&lt;DATE(2015,5,17),0,
K500*
(
INT((MIN(Y500,DATE(2018,9,23))-MAX(D500,DATE(2015,5,17)))/365)
+
CEILING(MOD((MIN(Y500,DATE(2018,9,23))-MAX(D500,DATE(2015,5,17)))/365,1),0.25)
)
*
_xlfn.SWITCH(J500,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00" s="1" cm="1">
        <f t="array" aca="1" ref="AB500" ca="1">IF(Y500&lt;DATE(2018,9,24),0,
IF(J500="زراعة",
K500*
(
INT((MIN(Y500,DATE(2023,4,30))-MAX(D500,DATE(2018,9,24)))/365)
+
CEILING(MOD((MIN(Y500,DATE(2023,4,30))-MAX(D500,DATE(2018,9,24)))/365,1),0.25)
)
*1,
K500*
(
DATEDIF(MAX(D500,DATE(2018,9,24)),MIN(Y500,DATE(2023,4,30)),"m")+1
)
*
_xlfn.SWITCH(J500,
"موقف/تندة",IF(D500&lt;DATE(2019,11,30),6,30),
"تشوينات",IF(D500&lt;DATE(2019,11,30),4,20),
"مشاتل",IF(D500&lt;DATE(2019,11,30),2,10),
"كافيتيريا",IF(D500&lt;DATE(2019,11,30),30,150),
"نوادي",IF(D500&lt;DATE(2019,11,30),6,30),
"رسو مراكب",IF(D500&lt;DATE(2019,11,30),2,10),
"مباني",IF(D500&lt;DATE(2018,9,24),2,10),
"عشش",IF(D500&lt;DATE(2019,11,30),2,10),
"كشك (تجاري/صناعي)",IF(D500&lt;DATE(2019,11,30),10,50),
"ردم",20,
0)))</f>
        <v>0</v>
      </c>
      <c r="AC500" s="1" cm="1">
        <f t="array" aca="1" ref="AC500" ca="1">IF(Y500&lt;DATE(2023,5,1),0,
IF(J500="زراعة",
K500*
(
INT((Y500-MAX(DATE(2023,5,1),D500))/365)
+
CEILING(MOD((Y500-MAX(DATE(2023,5,1),D500))/365,1),0.25)
)
*3,
IF(J500="ردم",
K500*20,
K500*
(
DATEDIF(MAX(DATE(2023,5,1),D500),Y500,"m")+1
)
*
_xlfn.SWITCH(J500,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00" s="1">
        <f t="shared" ca="1" si="44"/>
        <v>55</v>
      </c>
    </row>
    <row r="501" spans="1:30" ht="18.75" x14ac:dyDescent="0.25">
      <c r="A501" s="52">
        <v>454</v>
      </c>
      <c r="B501" s="14">
        <v>48</v>
      </c>
      <c r="C501" s="17">
        <v>2018</v>
      </c>
      <c r="D501" s="18">
        <v>43276</v>
      </c>
      <c r="E501" s="11"/>
      <c r="F501" s="3"/>
      <c r="G501" s="3" t="s">
        <v>623</v>
      </c>
      <c r="H501" s="3"/>
      <c r="I501" s="3" t="s">
        <v>297</v>
      </c>
      <c r="J501" s="3" t="s">
        <v>146</v>
      </c>
      <c r="K501" s="14">
        <v>250</v>
      </c>
      <c r="L501" s="3" t="s">
        <v>88</v>
      </c>
      <c r="M501" s="2"/>
      <c r="N501" s="3"/>
      <c r="O501" s="9">
        <f>0.47*Table2[[#This Row],[قيمة المحضر]]</f>
        <v>0</v>
      </c>
      <c r="P501" s="9">
        <f>0.17*Table2[[#This Row],[قيمة المحضر]]</f>
        <v>0</v>
      </c>
      <c r="Q501" s="9">
        <f t="shared" ca="1" si="47"/>
        <v>3643.75</v>
      </c>
      <c r="R501" s="3"/>
      <c r="S501" s="3"/>
      <c r="T501" s="9" t="str">
        <f t="shared" si="48"/>
        <v>-</v>
      </c>
      <c r="U501" s="3" t="s">
        <v>25</v>
      </c>
      <c r="V501" s="9" t="str">
        <f t="shared" si="49"/>
        <v>-</v>
      </c>
      <c r="W501" s="4"/>
      <c r="X501" s="38"/>
      <c r="Y501" s="1">
        <f t="shared" ca="1" si="43"/>
        <v>46162</v>
      </c>
      <c r="Z501" s="1" cm="1">
        <f t="array" ref="Z501">IF(D501&gt;DATE(2015,5,16),0,
K501*
(
INT((MIN(Y501,DATE(2015,5,16))-D501)/365)
+
CEILING(MOD((MIN(Y501,DATE(2015,5,16))-D501)/365,1),0.25)
)
*
_xlfn.SWITCH(J501,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01" s="1" cm="1">
        <f t="array" aca="1" ref="AA501" ca="1">IF(Y501&lt;DATE(2015,5,17),0,
K501*
(
INT((MIN(Y501,DATE(2018,9,23))-MAX(D501,DATE(2015,5,17)))/365)
+
CEILING(MOD((MIN(Y501,DATE(2018,9,23))-MAX(D501,DATE(2015,5,17)))/365,1),0.25)
)
*
_xlfn.SWITCH(J501,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18.75</v>
      </c>
      <c r="AB501" s="1" cm="1">
        <f t="array" aca="1" ref="AB501" ca="1">IF(Y501&lt;DATE(2018,9,24),0,
IF(J501="زراعة",
K501*
(
INT((MIN(Y501,DATE(2023,4,30))-MAX(D501,DATE(2018,9,24)))/365)
+
CEILING(MOD((MIN(Y501,DATE(2023,4,30))-MAX(D501,DATE(2018,9,24)))/365,1),0.25)
)
*1,
K501*
(
DATEDIF(MAX(D501,DATE(2018,9,24)),MIN(Y501,DATE(2023,4,30)),"m")+1
)
*
_xlfn.SWITCH(J501,
"موقف/تندة",IF(D501&lt;DATE(2019,11,30),6,30),
"تشوينات",IF(D501&lt;DATE(2019,11,30),4,20),
"مشاتل",IF(D501&lt;DATE(2019,11,30),2,10),
"كافيتيريا",IF(D501&lt;DATE(2019,11,30),30,150),
"نوادي",IF(D501&lt;DATE(2019,11,30),6,30),
"رسو مراكب",IF(D501&lt;DATE(2019,11,30),2,10),
"مباني",IF(D501&lt;DATE(2018,9,24),2,10),
"عشش",IF(D501&lt;DATE(2019,11,30),2,10),
"كشك (تجاري/صناعي)",IF(D501&lt;DATE(2019,11,30),10,50),
"ردم",20,
0)))</f>
        <v>1187.5</v>
      </c>
      <c r="AC501" s="1" cm="1">
        <f t="array" aca="1" ref="AC501" ca="1">IF(Y501&lt;DATE(2023,5,1),0,
IF(J501="زراعة",
K501*
(
INT((Y501-MAX(DATE(2023,5,1),D501))/365)
+
CEILING(MOD((Y501-MAX(DATE(2023,5,1),D501))/365,1),0.25)
)
*3,
IF(J501="ردم",
K501*20,
K501*
(
DATEDIF(MAX(DATE(2023,5,1),D501),Y501,"m")+1
)
*
_xlfn.SWITCH(J501,
"موقف/تندة",6,
"تشوينات",4,
"مشاتل",2,
"رسو مراكب",6,
"مباني",3,
"عشش",1,
"كشك (تجاري/صناعي)",20,
"مواسير صرف صحي (&lt;1م)",16,
"مواسير صرف صحي (&gt;1م)",18,
0))))</f>
        <v>2437.5</v>
      </c>
      <c r="AD501" s="1">
        <f t="shared" ca="1" si="44"/>
        <v>55</v>
      </c>
    </row>
    <row r="502" spans="1:30" ht="18.75" x14ac:dyDescent="0.25">
      <c r="A502" s="52">
        <v>455</v>
      </c>
      <c r="B502" s="3">
        <v>49</v>
      </c>
      <c r="C502" s="6">
        <v>2018</v>
      </c>
      <c r="D502" s="7">
        <v>43276</v>
      </c>
      <c r="E502" s="11"/>
      <c r="F502" s="3"/>
      <c r="G502" s="3" t="s">
        <v>624</v>
      </c>
      <c r="H502" s="3"/>
      <c r="I502" s="3" t="s">
        <v>670</v>
      </c>
      <c r="J502" s="3" t="s">
        <v>579</v>
      </c>
      <c r="K502" s="3"/>
      <c r="L502" s="3" t="s">
        <v>191</v>
      </c>
      <c r="M502" s="2"/>
      <c r="N502" s="3"/>
      <c r="O502" s="9">
        <f>0.47*Table2[[#This Row],[قيمة المحضر]]</f>
        <v>0</v>
      </c>
      <c r="P502" s="9">
        <f>0.17*Table2[[#This Row],[قيمة المحضر]]</f>
        <v>0</v>
      </c>
      <c r="Q502" s="9">
        <f t="shared" ca="1" si="47"/>
        <v>0</v>
      </c>
      <c r="R502" s="3"/>
      <c r="S502" s="3"/>
      <c r="T502" s="9" t="str">
        <f t="shared" si="48"/>
        <v>-</v>
      </c>
      <c r="U502" s="3" t="s">
        <v>25</v>
      </c>
      <c r="V502" s="9" t="str">
        <f t="shared" si="49"/>
        <v>-</v>
      </c>
      <c r="W502" s="4"/>
      <c r="X502" s="38"/>
      <c r="Y502" s="1">
        <f t="shared" ca="1" si="43"/>
        <v>46162</v>
      </c>
      <c r="Z502" s="1" cm="1">
        <f t="array" ref="Z502">IF(D502&gt;DATE(2015,5,16),0,
K502*
(
INT((MIN(Y502,DATE(2015,5,16))-D502)/365)
+
CEILING(MOD((MIN(Y502,DATE(2015,5,16))-D502)/365,1),0.25)
)
*
_xlfn.SWITCH(J502,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02" s="1" cm="1">
        <f t="array" aca="1" ref="AA502" ca="1">IF(Y502&lt;DATE(2015,5,17),0,
K502*
(
INT((MIN(Y502,DATE(2018,9,23))-MAX(D502,DATE(2015,5,17)))/365)
+
CEILING(MOD((MIN(Y502,DATE(2018,9,23))-MAX(D502,DATE(2015,5,17)))/365,1),0.25)
)
*
_xlfn.SWITCH(J502,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02" s="1" cm="1">
        <f t="array" aca="1" ref="AB502" ca="1">IF(Y502&lt;DATE(2018,9,24),0,
IF(J502="زراعة",
K502*
(
INT((MIN(Y502,DATE(2023,4,30))-MAX(D502,DATE(2018,9,24)))/365)
+
CEILING(MOD((MIN(Y502,DATE(2023,4,30))-MAX(D502,DATE(2018,9,24)))/365,1),0.25)
)
*1,
K502*
(
DATEDIF(MAX(D502,DATE(2018,9,24)),MIN(Y502,DATE(2023,4,30)),"m")+1
)
*
_xlfn.SWITCH(J502,
"موقف/تندة",IF(D502&lt;DATE(2019,11,30),6,30),
"تشوينات",IF(D502&lt;DATE(2019,11,30),4,20),
"مشاتل",IF(D502&lt;DATE(2019,11,30),2,10),
"كافيتيريا",IF(D502&lt;DATE(2019,11,30),30,150),
"نوادي",IF(D502&lt;DATE(2019,11,30),6,30),
"رسو مراكب",IF(D502&lt;DATE(2019,11,30),2,10),
"مباني",IF(D502&lt;DATE(2018,9,24),2,10),
"عشش",IF(D502&lt;DATE(2019,11,30),2,10),
"كشك (تجاري/صناعي)",IF(D502&lt;DATE(2019,11,30),10,50),
"ردم",20,
0)))</f>
        <v>0</v>
      </c>
      <c r="AC502" s="1" cm="1">
        <f t="array" aca="1" ref="AC502" ca="1">IF(Y502&lt;DATE(2023,5,1),0,
IF(J502="زراعة",
K502*
(
INT((Y502-MAX(DATE(2023,5,1),D502))/365)
+
CEILING(MOD((Y502-MAX(DATE(2023,5,1),D502))/365,1),0.25)
)
*3,
IF(J502="ردم",
K502*20,
K502*
(
DATEDIF(MAX(DATE(2023,5,1),D502),Y502,"m")+1
)
*
_xlfn.SWITCH(J502,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02" s="1">
        <f t="shared" ca="1" si="44"/>
        <v>55</v>
      </c>
    </row>
    <row r="503" spans="1:30" ht="18.75" x14ac:dyDescent="0.25">
      <c r="A503" s="52">
        <v>456</v>
      </c>
      <c r="B503" s="3">
        <v>50</v>
      </c>
      <c r="C503" s="6">
        <v>2018</v>
      </c>
      <c r="D503" s="7">
        <v>43276</v>
      </c>
      <c r="E503" s="11"/>
      <c r="F503" s="3"/>
      <c r="G503" s="3" t="s">
        <v>625</v>
      </c>
      <c r="H503" s="3"/>
      <c r="I503" s="3" t="s">
        <v>670</v>
      </c>
      <c r="J503" s="3" t="s">
        <v>579</v>
      </c>
      <c r="K503" s="3"/>
      <c r="L503" s="3" t="s">
        <v>191</v>
      </c>
      <c r="M503" s="2"/>
      <c r="N503" s="3"/>
      <c r="O503" s="9">
        <f>0.47*Table2[[#This Row],[قيمة المحضر]]</f>
        <v>0</v>
      </c>
      <c r="P503" s="9">
        <f>0.17*Table2[[#This Row],[قيمة المحضر]]</f>
        <v>0</v>
      </c>
      <c r="Q503" s="9">
        <f t="shared" ca="1" si="47"/>
        <v>0</v>
      </c>
      <c r="R503" s="3"/>
      <c r="S503" s="3"/>
      <c r="T503" s="9" t="str">
        <f t="shared" si="48"/>
        <v>-</v>
      </c>
      <c r="U503" s="3" t="s">
        <v>25</v>
      </c>
      <c r="V503" s="9" t="str">
        <f t="shared" si="49"/>
        <v>-</v>
      </c>
      <c r="W503" s="4"/>
      <c r="X503" s="38"/>
      <c r="Y503" s="1">
        <f t="shared" ca="1" si="43"/>
        <v>46162</v>
      </c>
      <c r="Z503" s="1" cm="1">
        <f t="array" ref="Z503">IF(D503&gt;DATE(2015,5,16),0,
K503*
(
INT((MIN(Y503,DATE(2015,5,16))-D503)/365)
+
CEILING(MOD((MIN(Y503,DATE(2015,5,16))-D503)/365,1),0.25)
)
*
_xlfn.SWITCH(J503,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03" s="1" cm="1">
        <f t="array" aca="1" ref="AA503" ca="1">IF(Y503&lt;DATE(2015,5,17),0,
K503*
(
INT((MIN(Y503,DATE(2018,9,23))-MAX(D503,DATE(2015,5,17)))/365)
+
CEILING(MOD((MIN(Y503,DATE(2018,9,23))-MAX(D503,DATE(2015,5,17)))/365,1),0.25)
)
*
_xlfn.SWITCH(J503,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03" s="1" cm="1">
        <f t="array" aca="1" ref="AB503" ca="1">IF(Y503&lt;DATE(2018,9,24),0,
IF(J503="زراعة",
K503*
(
INT((MIN(Y503,DATE(2023,4,30))-MAX(D503,DATE(2018,9,24)))/365)
+
CEILING(MOD((MIN(Y503,DATE(2023,4,30))-MAX(D503,DATE(2018,9,24)))/365,1),0.25)
)
*1,
K503*
(
DATEDIF(MAX(D503,DATE(2018,9,24)),MIN(Y503,DATE(2023,4,30)),"m")+1
)
*
_xlfn.SWITCH(J503,
"موقف/تندة",IF(D503&lt;DATE(2019,11,30),6,30),
"تشوينات",IF(D503&lt;DATE(2019,11,30),4,20),
"مشاتل",IF(D503&lt;DATE(2019,11,30),2,10),
"كافيتيريا",IF(D503&lt;DATE(2019,11,30),30,150),
"نوادي",IF(D503&lt;DATE(2019,11,30),6,30),
"رسو مراكب",IF(D503&lt;DATE(2019,11,30),2,10),
"مباني",IF(D503&lt;DATE(2018,9,24),2,10),
"عشش",IF(D503&lt;DATE(2019,11,30),2,10),
"كشك (تجاري/صناعي)",IF(D503&lt;DATE(2019,11,30),10,50),
"ردم",20,
0)))</f>
        <v>0</v>
      </c>
      <c r="AC503" s="1" cm="1">
        <f t="array" aca="1" ref="AC503" ca="1">IF(Y503&lt;DATE(2023,5,1),0,
IF(J503="زراعة",
K503*
(
INT((Y503-MAX(DATE(2023,5,1),D503))/365)
+
CEILING(MOD((Y503-MAX(DATE(2023,5,1),D503))/365,1),0.25)
)
*3,
IF(J503="ردم",
K503*20,
K503*
(
DATEDIF(MAX(DATE(2023,5,1),D503),Y503,"m")+1
)
*
_xlfn.SWITCH(J503,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03" s="1">
        <f t="shared" ca="1" si="44"/>
        <v>55</v>
      </c>
    </row>
    <row r="504" spans="1:30" ht="18.75" x14ac:dyDescent="0.25">
      <c r="A504" s="52">
        <v>457</v>
      </c>
      <c r="B504" s="3">
        <v>51</v>
      </c>
      <c r="C504" s="6">
        <v>2018</v>
      </c>
      <c r="D504" s="7">
        <v>43276</v>
      </c>
      <c r="E504" s="11"/>
      <c r="F504" s="3"/>
      <c r="G504" s="3" t="s">
        <v>626</v>
      </c>
      <c r="H504" s="3"/>
      <c r="I504" s="3" t="s">
        <v>670</v>
      </c>
      <c r="J504" s="3" t="s">
        <v>579</v>
      </c>
      <c r="K504" s="3"/>
      <c r="L504" s="3" t="s">
        <v>191</v>
      </c>
      <c r="M504" s="2"/>
      <c r="N504" s="3"/>
      <c r="O504" s="9">
        <f>0.47*Table2[[#This Row],[قيمة المحضر]]</f>
        <v>0</v>
      </c>
      <c r="P504" s="9">
        <f>0.17*Table2[[#This Row],[قيمة المحضر]]</f>
        <v>0</v>
      </c>
      <c r="Q504" s="9">
        <f t="shared" ca="1" si="47"/>
        <v>0</v>
      </c>
      <c r="R504" s="3"/>
      <c r="S504" s="3"/>
      <c r="T504" s="9" t="str">
        <f t="shared" si="48"/>
        <v>-</v>
      </c>
      <c r="U504" s="3" t="s">
        <v>25</v>
      </c>
      <c r="V504" s="9" t="str">
        <f t="shared" si="49"/>
        <v>-</v>
      </c>
      <c r="W504" s="4"/>
      <c r="X504" s="38"/>
      <c r="Y504" s="1">
        <f t="shared" ca="1" si="43"/>
        <v>46162</v>
      </c>
      <c r="Z504" s="1" cm="1">
        <f t="array" ref="Z504">IF(D504&gt;DATE(2015,5,16),0,
K504*
(
INT((MIN(Y504,DATE(2015,5,16))-D504)/365)
+
CEILING(MOD((MIN(Y504,DATE(2015,5,16))-D504)/365,1),0.25)
)
*
_xlfn.SWITCH(J504,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04" s="1" cm="1">
        <f t="array" aca="1" ref="AA504" ca="1">IF(Y504&lt;DATE(2015,5,17),0,
K504*
(
INT((MIN(Y504,DATE(2018,9,23))-MAX(D504,DATE(2015,5,17)))/365)
+
CEILING(MOD((MIN(Y504,DATE(2018,9,23))-MAX(D504,DATE(2015,5,17)))/365,1),0.25)
)
*
_xlfn.SWITCH(J504,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04" s="1" cm="1">
        <f t="array" aca="1" ref="AB504" ca="1">IF(Y504&lt;DATE(2018,9,24),0,
IF(J504="زراعة",
K504*
(
INT((MIN(Y504,DATE(2023,4,30))-MAX(D504,DATE(2018,9,24)))/365)
+
CEILING(MOD((MIN(Y504,DATE(2023,4,30))-MAX(D504,DATE(2018,9,24)))/365,1),0.25)
)
*1,
K504*
(
DATEDIF(MAX(D504,DATE(2018,9,24)),MIN(Y504,DATE(2023,4,30)),"m")+1
)
*
_xlfn.SWITCH(J504,
"موقف/تندة",IF(D504&lt;DATE(2019,11,30),6,30),
"تشوينات",IF(D504&lt;DATE(2019,11,30),4,20),
"مشاتل",IF(D504&lt;DATE(2019,11,30),2,10),
"كافيتيريا",IF(D504&lt;DATE(2019,11,30),30,150),
"نوادي",IF(D504&lt;DATE(2019,11,30),6,30),
"رسو مراكب",IF(D504&lt;DATE(2019,11,30),2,10),
"مباني",IF(D504&lt;DATE(2018,9,24),2,10),
"عشش",IF(D504&lt;DATE(2019,11,30),2,10),
"كشك (تجاري/صناعي)",IF(D504&lt;DATE(2019,11,30),10,50),
"ردم",20,
0)))</f>
        <v>0</v>
      </c>
      <c r="AC504" s="1" cm="1">
        <f t="array" aca="1" ref="AC504" ca="1">IF(Y504&lt;DATE(2023,5,1),0,
IF(J504="زراعة",
K504*
(
INT((Y504-MAX(DATE(2023,5,1),D504))/365)
+
CEILING(MOD((Y504-MAX(DATE(2023,5,1),D504))/365,1),0.25)
)
*3,
IF(J504="ردم",
K504*20,
K504*
(
DATEDIF(MAX(DATE(2023,5,1),D504),Y504,"m")+1
)
*
_xlfn.SWITCH(J504,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04" s="1">
        <f t="shared" ca="1" si="44"/>
        <v>55</v>
      </c>
    </row>
    <row r="505" spans="1:30" ht="18.75" x14ac:dyDescent="0.25">
      <c r="A505" s="52">
        <v>458</v>
      </c>
      <c r="B505" s="3">
        <v>52</v>
      </c>
      <c r="C505" s="6">
        <v>2018</v>
      </c>
      <c r="D505" s="7">
        <v>43337</v>
      </c>
      <c r="E505" s="19"/>
      <c r="F505" s="14"/>
      <c r="G505" s="14" t="s">
        <v>627</v>
      </c>
      <c r="H505" s="14"/>
      <c r="I505" s="3" t="s">
        <v>670</v>
      </c>
      <c r="J505" s="3" t="s">
        <v>579</v>
      </c>
      <c r="K505" s="14"/>
      <c r="L505" s="3" t="s">
        <v>191</v>
      </c>
      <c r="M505" s="15"/>
      <c r="N505" s="14"/>
      <c r="O505" s="9">
        <f>0.47*Table2[[#This Row],[قيمة المحضر]]</f>
        <v>0</v>
      </c>
      <c r="P505" s="9">
        <f>0.17*Table2[[#This Row],[قيمة المحضر]]</f>
        <v>0</v>
      </c>
      <c r="Q505" s="9">
        <f t="shared" ca="1" si="47"/>
        <v>0</v>
      </c>
      <c r="R505" s="3"/>
      <c r="S505" s="3"/>
      <c r="T505" s="9" t="str">
        <f>IF(R505="تم الحجز",Q505+O505+#REF!,"-")</f>
        <v>-</v>
      </c>
      <c r="U505" s="3" t="s">
        <v>25</v>
      </c>
      <c r="V505" s="9" t="str">
        <f>IF(OR(U505="قائم",U505="قائم و سدد مقابل انتفاع"),"-",
IF(U505="تم رد الشئ لأصله",P505+Q505,
IF(U505="ازالة جبرية",#REF!+O505+Q505,"")))</f>
        <v>-</v>
      </c>
      <c r="W505" s="4"/>
      <c r="X505" s="38"/>
      <c r="Y505" s="1">
        <f t="shared" ca="1" si="43"/>
        <v>46162</v>
      </c>
      <c r="Z505" s="1" cm="1">
        <f t="array" ref="Z505">IF(D505&gt;DATE(2015,5,16),0,
K505*
(
INT((MIN(Y505,DATE(2015,5,16))-D505)/365)
+
CEILING(MOD((MIN(Y505,DATE(2015,5,16))-D505)/365,1),0.25)
)
*
_xlfn.SWITCH(J505,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05" s="1" cm="1">
        <f t="array" aca="1" ref="AA505" ca="1">IF(Y505&lt;DATE(2015,5,17),0,
K505*
(
INT((MIN(Y505,DATE(2018,9,23))-MAX(D505,DATE(2015,5,17)))/365)
+
CEILING(MOD((MIN(Y505,DATE(2018,9,23))-MAX(D505,DATE(2015,5,17)))/365,1),0.25)
)
*
_xlfn.SWITCH(J505,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05" s="1" cm="1">
        <f t="array" aca="1" ref="AB505" ca="1">IF(Y505&lt;DATE(2018,9,24),0,
IF(J505="زراعة",
K505*
(
INT((MIN(Y505,DATE(2023,4,30))-MAX(D505,DATE(2018,9,24)))/365)
+
CEILING(MOD((MIN(Y505,DATE(2023,4,30))-MAX(D505,DATE(2018,9,24)))/365,1),0.25)
)
*1,
K505*
(
DATEDIF(MAX(D505,DATE(2018,9,24)),MIN(Y505,DATE(2023,4,30)),"m")+1
)
*
_xlfn.SWITCH(J505,
"موقف/تندة",IF(D505&lt;DATE(2019,11,30),6,30),
"تشوينات",IF(D505&lt;DATE(2019,11,30),4,20),
"مشاتل",IF(D505&lt;DATE(2019,11,30),2,10),
"كافيتيريا",IF(D505&lt;DATE(2019,11,30),30,150),
"نوادي",IF(D505&lt;DATE(2019,11,30),6,30),
"رسو مراكب",IF(D505&lt;DATE(2019,11,30),2,10),
"مباني",IF(D505&lt;DATE(2018,9,24),2,10),
"عشش",IF(D505&lt;DATE(2019,11,30),2,10),
"كشك (تجاري/صناعي)",IF(D505&lt;DATE(2019,11,30),10,50),
"ردم",20,
0)))</f>
        <v>0</v>
      </c>
      <c r="AC505" s="1" cm="1">
        <f t="array" aca="1" ref="AC505" ca="1">IF(Y505&lt;DATE(2023,5,1),0,
IF(J505="زراعة",
K505*
(
INT((Y505-MAX(DATE(2023,5,1),D505))/365)
+
CEILING(MOD((Y505-MAX(DATE(2023,5,1),D505))/365,1),0.25)
)
*3,
IF(J505="ردم",
K505*20,
K505*
(
DATEDIF(MAX(DATE(2023,5,1),D505),Y505,"m")+1
)
*
_xlfn.SWITCH(J505,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05" s="1">
        <f t="shared" ca="1" si="44"/>
        <v>55</v>
      </c>
    </row>
    <row r="506" spans="1:30" ht="18.75" x14ac:dyDescent="0.25">
      <c r="A506" s="52">
        <v>459</v>
      </c>
      <c r="B506" s="3">
        <v>53</v>
      </c>
      <c r="C506" s="6">
        <v>2018</v>
      </c>
      <c r="D506" s="7">
        <v>43337</v>
      </c>
      <c r="E506" s="11"/>
      <c r="F506" s="3"/>
      <c r="G506" s="3" t="s">
        <v>628</v>
      </c>
      <c r="H506" s="3"/>
      <c r="I506" s="3" t="s">
        <v>670</v>
      </c>
      <c r="J506" s="3" t="s">
        <v>579</v>
      </c>
      <c r="K506" s="3"/>
      <c r="L506" s="3" t="s">
        <v>191</v>
      </c>
      <c r="M506" s="2"/>
      <c r="N506" s="3"/>
      <c r="O506" s="9">
        <f>0.47*Table2[[#This Row],[قيمة المحضر]]</f>
        <v>0</v>
      </c>
      <c r="P506" s="9">
        <f>0.17*Table2[[#This Row],[قيمة المحضر]]</f>
        <v>0</v>
      </c>
      <c r="Q506" s="9">
        <f t="shared" ca="1" si="47"/>
        <v>0</v>
      </c>
      <c r="R506" s="3"/>
      <c r="S506" s="3"/>
      <c r="T506" s="9" t="str">
        <f>IF(R506="تم الحجز",Q506+O506+#REF!,"-")</f>
        <v>-</v>
      </c>
      <c r="U506" s="3" t="s">
        <v>25</v>
      </c>
      <c r="V506" s="9" t="str">
        <f>IF(OR(U506="قائم",U506="قائم و سدد مقابل انتفاع"),"-",
IF(U506="تم رد الشئ لأصله",P506+Q506,
IF(U506="ازالة جبرية",#REF!+O506+Q506,"")))</f>
        <v>-</v>
      </c>
      <c r="W506" s="4"/>
      <c r="X506" s="38"/>
      <c r="Y506" s="1">
        <f t="shared" ca="1" si="43"/>
        <v>46162</v>
      </c>
      <c r="Z506" s="1" cm="1">
        <f t="array" ref="Z506">IF(D506&gt;DATE(2015,5,16),0,
K506*
(
INT((MIN(Y506,DATE(2015,5,16))-D506)/365)
+
CEILING(MOD((MIN(Y506,DATE(2015,5,16))-D506)/365,1),0.25)
)
*
_xlfn.SWITCH(J506,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06" s="1" cm="1">
        <f t="array" aca="1" ref="AA506" ca="1">IF(Y506&lt;DATE(2015,5,17),0,
K506*
(
INT((MIN(Y506,DATE(2018,9,23))-MAX(D506,DATE(2015,5,17)))/365)
+
CEILING(MOD((MIN(Y506,DATE(2018,9,23))-MAX(D506,DATE(2015,5,17)))/365,1),0.25)
)
*
_xlfn.SWITCH(J506,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06" s="1" cm="1">
        <f t="array" aca="1" ref="AB506" ca="1">IF(Y506&lt;DATE(2018,9,24),0,
IF(J506="زراعة",
K506*
(
INT((MIN(Y506,DATE(2023,4,30))-MAX(D506,DATE(2018,9,24)))/365)
+
CEILING(MOD((MIN(Y506,DATE(2023,4,30))-MAX(D506,DATE(2018,9,24)))/365,1),0.25)
)
*1,
K506*
(
DATEDIF(MAX(D506,DATE(2018,9,24)),MIN(Y506,DATE(2023,4,30)),"m")+1
)
*
_xlfn.SWITCH(J506,
"موقف/تندة",IF(D506&lt;DATE(2019,11,30),6,30),
"تشوينات",IF(D506&lt;DATE(2019,11,30),4,20),
"مشاتل",IF(D506&lt;DATE(2019,11,30),2,10),
"كافيتيريا",IF(D506&lt;DATE(2019,11,30),30,150),
"نوادي",IF(D506&lt;DATE(2019,11,30),6,30),
"رسو مراكب",IF(D506&lt;DATE(2019,11,30),2,10),
"مباني",IF(D506&lt;DATE(2018,9,24),2,10),
"عشش",IF(D506&lt;DATE(2019,11,30),2,10),
"كشك (تجاري/صناعي)",IF(D506&lt;DATE(2019,11,30),10,50),
"ردم",20,
0)))</f>
        <v>0</v>
      </c>
      <c r="AC506" s="1" cm="1">
        <f t="array" aca="1" ref="AC506" ca="1">IF(Y506&lt;DATE(2023,5,1),0,
IF(J506="زراعة",
K506*
(
INT((Y506-MAX(DATE(2023,5,1),D506))/365)
+
CEILING(MOD((Y506-MAX(DATE(2023,5,1),D506))/365,1),0.25)
)
*3,
IF(J506="ردم",
K506*20,
K506*
(
DATEDIF(MAX(DATE(2023,5,1),D506),Y506,"m")+1
)
*
_xlfn.SWITCH(J506,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06" s="1">
        <f t="shared" ca="1" si="44"/>
        <v>55</v>
      </c>
    </row>
    <row r="507" spans="1:30" ht="18.75" x14ac:dyDescent="0.25">
      <c r="A507" s="52">
        <v>460</v>
      </c>
      <c r="B507" s="3">
        <v>54</v>
      </c>
      <c r="C507" s="6">
        <v>2018</v>
      </c>
      <c r="D507" s="7">
        <v>43416</v>
      </c>
      <c r="E507" s="11"/>
      <c r="F507" s="3"/>
      <c r="G507" s="3" t="s">
        <v>629</v>
      </c>
      <c r="H507" s="3"/>
      <c r="I507" s="3" t="s">
        <v>105</v>
      </c>
      <c r="J507" s="3" t="s">
        <v>27</v>
      </c>
      <c r="K507" s="3">
        <f>8*9</f>
        <v>72</v>
      </c>
      <c r="L507" s="3" t="s">
        <v>90</v>
      </c>
      <c r="M507" s="2"/>
      <c r="N507" s="3"/>
      <c r="O507" s="9">
        <f>0.47*Table2[[#This Row],[قيمة المحضر]]</f>
        <v>0</v>
      </c>
      <c r="P507" s="9">
        <f>0.17*Table2[[#This Row],[قيمة المحضر]]</f>
        <v>0</v>
      </c>
      <c r="Q507" s="9">
        <f t="shared" ca="1" si="47"/>
        <v>46872</v>
      </c>
      <c r="R507" s="3"/>
      <c r="S507" s="3"/>
      <c r="T507" s="9" t="str">
        <f>IF(R507="تم الحجز",Q507+O507+#REF!,"-")</f>
        <v>-</v>
      </c>
      <c r="U507" s="3" t="s">
        <v>25</v>
      </c>
      <c r="V507" s="9" t="str">
        <f>IF(OR(U507="قائم",U507="قائم و سدد مقابل انتفاع"),"-",
IF(U507="تم رد الشئ لأصله",P507+Q507,
IF(U507="ازالة جبرية",#REF!+O507+Q507,"")))</f>
        <v>-</v>
      </c>
      <c r="W507" s="4"/>
      <c r="X507" s="38"/>
      <c r="Y507" s="1">
        <f t="shared" ca="1" si="43"/>
        <v>46162</v>
      </c>
      <c r="Z507" s="1" cm="1">
        <f t="array" ref="Z507">IF(D507&gt;DATE(2015,5,16),0,
K507*
(
INT((MIN(Y507,DATE(2015,5,16))-D507)/365)
+
CEILING(MOD((MIN(Y507,DATE(2015,5,16))-D507)/365,1),0.25)
)
*
_xlfn.SWITCH(J507,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07" s="1" cm="1">
        <f t="array" aca="1" ref="AA507" ca="1">IF(Y507&lt;DATE(2015,5,17),0,
K507*
(
INT((MIN(Y507,DATE(2018,9,23))-MAX(D507,DATE(2015,5,17)))/365)
+
CEILING(MOD((MIN(Y507,DATE(2018,9,23))-MAX(D507,DATE(2015,5,17)))/365,1),0.25)
)
*
_xlfn.SWITCH(J507,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07" s="1" cm="1">
        <f t="array" aca="1" ref="AB507" ca="1">IF(Y507&lt;DATE(2018,9,24),0,
IF(J507="زراعة",
K507*
(
INT((MIN(Y507,DATE(2023,4,30))-MAX(D507,DATE(2018,9,24)))/365)
+
CEILING(MOD((MIN(Y507,DATE(2023,4,30))-MAX(D507,DATE(2018,9,24)))/365,1),0.25)
)
*1,
K507*
(
DATEDIF(MAX(D507,DATE(2018,9,24)),MIN(Y507,DATE(2023,4,30)),"m")+1
)
*
_xlfn.SWITCH(J507,
"موقف/تندة",IF(D507&lt;DATE(2019,11,30),6,30),
"تشوينات",IF(D507&lt;DATE(2019,11,30),4,20),
"مشاتل",IF(D507&lt;DATE(2019,11,30),2,10),
"كافيتيريا",IF(D507&lt;DATE(2019,11,30),30,150),
"نوادي",IF(D507&lt;DATE(2019,11,30),6,30),
"رسو مراكب",IF(D507&lt;DATE(2019,11,30),2,10),
"مباني",IF(D507&lt;DATE(2018,9,24),2,10),
"عشش",IF(D507&lt;DATE(2019,11,30),2,10),
"كشك (تجاري/صناعي)",IF(D507&lt;DATE(2019,11,30),10,50),
"ردم",20,
0)))</f>
        <v>38880</v>
      </c>
      <c r="AC507" s="1" cm="1">
        <f t="array" aca="1" ref="AC507" ca="1">IF(Y507&lt;DATE(2023,5,1),0,
IF(J507="زراعة",
K507*
(
INT((Y507-MAX(DATE(2023,5,1),D507))/365)
+
CEILING(MOD((Y507-MAX(DATE(2023,5,1),D507))/365,1),0.25)
)
*3,
IF(J507="ردم",
K507*20,
K507*
(
DATEDIF(MAX(DATE(2023,5,1),D507),Y507,"m")+1
)
*
_xlfn.SWITCH(J507,
"موقف/تندة",6,
"تشوينات",4,
"مشاتل",2,
"رسو مراكب",6,
"مباني",3,
"عشش",1,
"كشك (تجاري/صناعي)",20,
"مواسير صرف صحي (&lt;1م)",16,
"مواسير صرف صحي (&gt;1م)",18,
0))))</f>
        <v>7992</v>
      </c>
      <c r="AD507" s="1">
        <f t="shared" ca="1" si="44"/>
        <v>53</v>
      </c>
    </row>
    <row r="508" spans="1:30" ht="18.75" x14ac:dyDescent="0.25">
      <c r="A508" s="52">
        <v>461</v>
      </c>
      <c r="B508" s="3">
        <v>55</v>
      </c>
      <c r="C508" s="6">
        <v>2018</v>
      </c>
      <c r="D508" s="7">
        <v>43416</v>
      </c>
      <c r="E508" s="11"/>
      <c r="F508" s="3"/>
      <c r="G508" s="3" t="s">
        <v>630</v>
      </c>
      <c r="H508" s="3"/>
      <c r="I508" s="3" t="s">
        <v>105</v>
      </c>
      <c r="J508" s="3" t="s">
        <v>27</v>
      </c>
      <c r="K508" s="3">
        <v>25</v>
      </c>
      <c r="L508" s="3" t="s">
        <v>89</v>
      </c>
      <c r="M508" s="2"/>
      <c r="N508" s="3"/>
      <c r="O508" s="9">
        <f>0.47*Table2[[#This Row],[قيمة المحضر]]</f>
        <v>0</v>
      </c>
      <c r="P508" s="9">
        <f>0.17*Table2[[#This Row],[قيمة المحضر]]</f>
        <v>0</v>
      </c>
      <c r="Q508" s="9">
        <f t="shared" ca="1" si="47"/>
        <v>16275</v>
      </c>
      <c r="R508" s="3"/>
      <c r="S508" s="3"/>
      <c r="T508" s="9" t="str">
        <f>IF(R508="تم الحجز",Q508+O508+N508,"-")</f>
        <v>-</v>
      </c>
      <c r="U508" s="3" t="s">
        <v>25</v>
      </c>
      <c r="V508" s="9" t="str">
        <f>IF(OR(U508="قائم",U508="قائم و سدد مقابل انتفاع"),"-",
IF(U508="تم رد الشئ لأصله",P508+Q508,
IF(U508="ازالة جبرية",N508+O508+Q508,"")))</f>
        <v>-</v>
      </c>
      <c r="W508" s="4"/>
      <c r="X508" s="38"/>
      <c r="Y508" s="1">
        <f t="shared" ca="1" si="43"/>
        <v>46162</v>
      </c>
      <c r="Z508" s="1" cm="1">
        <f t="array" ref="Z508">IF(D508&gt;DATE(2015,5,16),0,
K508*
(
INT((MIN(Y508,DATE(2015,5,16))-D508)/365)
+
CEILING(MOD((MIN(Y508,DATE(2015,5,16))-D508)/365,1),0.25)
)
*
_xlfn.SWITCH(J508,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08" s="1" cm="1">
        <f t="array" aca="1" ref="AA508" ca="1">IF(Y508&lt;DATE(2015,5,17),0,
K508*
(
INT((MIN(Y508,DATE(2018,9,23))-MAX(D508,DATE(2015,5,17)))/365)
+
CEILING(MOD((MIN(Y508,DATE(2018,9,23))-MAX(D508,DATE(2015,5,17)))/365,1),0.25)
)
*
_xlfn.SWITCH(J508,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08" s="1" cm="1">
        <f t="array" aca="1" ref="AB508" ca="1">IF(Y508&lt;DATE(2018,9,24),0,
IF(J508="زراعة",
K508*
(
INT((MIN(Y508,DATE(2023,4,30))-MAX(D508,DATE(2018,9,24)))/365)
+
CEILING(MOD((MIN(Y508,DATE(2023,4,30))-MAX(D508,DATE(2018,9,24)))/365,1),0.25)
)
*1,
K508*
(
DATEDIF(MAX(D508,DATE(2018,9,24)),MIN(Y508,DATE(2023,4,30)),"m")+1
)
*
_xlfn.SWITCH(J508,
"موقف/تندة",IF(D508&lt;DATE(2019,11,30),6,30),
"تشوينات",IF(D508&lt;DATE(2019,11,30),4,20),
"مشاتل",IF(D508&lt;DATE(2019,11,30),2,10),
"كافيتيريا",IF(D508&lt;DATE(2019,11,30),30,150),
"نوادي",IF(D508&lt;DATE(2019,11,30),6,30),
"رسو مراكب",IF(D508&lt;DATE(2019,11,30),2,10),
"مباني",IF(D508&lt;DATE(2018,9,24),2,10),
"عشش",IF(D508&lt;DATE(2019,11,30),2,10),
"كشك (تجاري/صناعي)",IF(D508&lt;DATE(2019,11,30),10,50),
"ردم",20,
0)))</f>
        <v>13500</v>
      </c>
      <c r="AC508" s="1" cm="1">
        <f t="array" aca="1" ref="AC508" ca="1">IF(Y508&lt;DATE(2023,5,1),0,
IF(J508="زراعة",
K508*
(
INT((Y508-MAX(DATE(2023,5,1),D508))/365)
+
CEILING(MOD((Y508-MAX(DATE(2023,5,1),D508))/365,1),0.25)
)
*3,
IF(J508="ردم",
K508*20,
K508*
(
DATEDIF(MAX(DATE(2023,5,1),D508),Y508,"m")+1
)
*
_xlfn.SWITCH(J508,
"موقف/تندة",6,
"تشوينات",4,
"مشاتل",2,
"رسو مراكب",6,
"مباني",3,
"عشش",1,
"كشك (تجاري/صناعي)",20,
"مواسير صرف صحي (&lt;1م)",16,
"مواسير صرف صحي (&gt;1م)",18,
0))))</f>
        <v>2775</v>
      </c>
      <c r="AD508" s="1">
        <f t="shared" ca="1" si="44"/>
        <v>53</v>
      </c>
    </row>
    <row r="509" spans="1:30" ht="18.75" x14ac:dyDescent="0.25">
      <c r="A509" s="52">
        <v>462</v>
      </c>
      <c r="B509" s="3">
        <v>56</v>
      </c>
      <c r="C509" s="6">
        <v>2018</v>
      </c>
      <c r="D509" s="7">
        <v>43440</v>
      </c>
      <c r="E509" s="11"/>
      <c r="F509" s="3"/>
      <c r="G509" s="3" t="s">
        <v>585</v>
      </c>
      <c r="H509" s="3"/>
      <c r="I509" s="3" t="s">
        <v>105</v>
      </c>
      <c r="J509" s="3" t="s">
        <v>29</v>
      </c>
      <c r="K509" s="3">
        <v>9</v>
      </c>
      <c r="L509" s="3" t="s">
        <v>368</v>
      </c>
      <c r="M509" s="2"/>
      <c r="N509" s="3"/>
      <c r="O509" s="9">
        <f>0.47*Table2[[#This Row],[قيمة المحضر]]</f>
        <v>0</v>
      </c>
      <c r="P509" s="9">
        <f>0.17*Table2[[#This Row],[قيمة المحضر]]</f>
        <v>0</v>
      </c>
      <c r="Q509" s="9">
        <f t="shared" ca="1" si="47"/>
        <v>11430</v>
      </c>
      <c r="R509" s="3"/>
      <c r="S509" s="3"/>
      <c r="T509" s="9" t="str">
        <f t="shared" ref="T509:T538" si="50">IF(R509="تم الحجز",Q509+O509+N509,"-")</f>
        <v>-</v>
      </c>
      <c r="U509" s="3" t="s">
        <v>25</v>
      </c>
      <c r="V509" s="9" t="str">
        <f t="shared" ref="V509:V538" si="51">IF(OR(U509="قائم",U509="قائم و سدد مقابل انتفاع"),"-",
IF(U509="تم رد الشئ لأصله",P509+Q509,
IF(U509="ازالة جبرية",N509+O509+Q509,"")))</f>
        <v>-</v>
      </c>
      <c r="W509" s="4"/>
      <c r="X509" s="38"/>
      <c r="Y509" s="1">
        <f t="shared" ca="1" si="43"/>
        <v>46162</v>
      </c>
      <c r="Z509" s="1" cm="1">
        <f t="array" ref="Z509">IF(D509&gt;DATE(2015,5,16),0,
K509*
(
INT((MIN(Y509,DATE(2015,5,16))-D509)/365)
+
CEILING(MOD((MIN(Y509,DATE(2015,5,16))-D509)/365,1),0.25)
)
*
_xlfn.SWITCH(J509,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09" s="1" cm="1">
        <f t="array" aca="1" ref="AA509" ca="1">IF(Y509&lt;DATE(2015,5,17),0,
K509*
(
INT((MIN(Y509,DATE(2018,9,23))-MAX(D509,DATE(2015,5,17)))/365)
+
CEILING(MOD((MIN(Y509,DATE(2018,9,23))-MAX(D509,DATE(2015,5,17)))/365,1),0.25)
)
*
_xlfn.SWITCH(J509,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09" s="1" cm="1">
        <f t="array" aca="1" ref="AB509" ca="1">IF(Y509&lt;DATE(2018,9,24),0,
IF(J509="زراعة",
K509*
(
INT((MIN(Y509,DATE(2023,4,30))-MAX(D509,DATE(2018,9,24)))/365)
+
CEILING(MOD((MIN(Y509,DATE(2023,4,30))-MAX(D509,DATE(2018,9,24)))/365,1),0.25)
)
*1,
K509*
(
DATEDIF(MAX(D509,DATE(2018,9,24)),MIN(Y509,DATE(2023,4,30)),"m")+1
)
*
_xlfn.SWITCH(J509,
"موقف/تندة",IF(D509&lt;DATE(2019,11,30),6,30),
"تشوينات",IF(D509&lt;DATE(2019,11,30),4,20),
"مشاتل",IF(D509&lt;DATE(2019,11,30),2,10),
"كافيتيريا",IF(D509&lt;DATE(2019,11,30),30,150),
"نوادي",IF(D509&lt;DATE(2019,11,30),6,30),
"رسو مراكب",IF(D509&lt;DATE(2019,11,30),2,10),
"مباني",IF(D509&lt;DATE(2018,9,24),2,10),
"عشش",IF(D509&lt;DATE(2019,11,30),2,10),
"كشك (تجاري/صناعي)",IF(D509&lt;DATE(2019,11,30),10,50),
"ردم",20,
0)))</f>
        <v>4770</v>
      </c>
      <c r="AC509" s="1" cm="1">
        <f t="array" aca="1" ref="AC509" ca="1">IF(Y509&lt;DATE(2023,5,1),0,
IF(J509="زراعة",
K509*
(
INT((Y509-MAX(DATE(2023,5,1),D509))/365)
+
CEILING(MOD((Y509-MAX(DATE(2023,5,1),D509))/365,1),0.25)
)
*3,
IF(J509="ردم",
K509*20,
K509*
(
DATEDIF(MAX(DATE(2023,5,1),D509),Y509,"m")+1
)
*
_xlfn.SWITCH(J509,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509" s="1">
        <f t="shared" ca="1" si="44"/>
        <v>52</v>
      </c>
    </row>
    <row r="510" spans="1:30" ht="19.5" thickBot="1" x14ac:dyDescent="0.3">
      <c r="A510" s="52">
        <v>463</v>
      </c>
      <c r="B510" s="40">
        <v>57</v>
      </c>
      <c r="C510" s="40">
        <v>2018</v>
      </c>
      <c r="D510" s="41">
        <v>43440</v>
      </c>
      <c r="E510" s="59"/>
      <c r="F510" s="60"/>
      <c r="G510" s="60" t="s">
        <v>590</v>
      </c>
      <c r="H510" s="60"/>
      <c r="I510" s="40" t="s">
        <v>105</v>
      </c>
      <c r="J510" s="60" t="s">
        <v>28</v>
      </c>
      <c r="K510" s="60">
        <v>9</v>
      </c>
      <c r="L510" s="60" t="s">
        <v>368</v>
      </c>
      <c r="M510" s="50"/>
      <c r="N510" s="60"/>
      <c r="O510" s="43">
        <f>0.47*Table2[[#This Row],[قيمة المحضر]]</f>
        <v>0</v>
      </c>
      <c r="P510" s="43">
        <f>0.17*Table2[[#This Row],[قيمة المحضر]]</f>
        <v>0</v>
      </c>
      <c r="Q510" s="43">
        <f t="shared" ca="1" si="47"/>
        <v>1287</v>
      </c>
      <c r="R510" s="40"/>
      <c r="S510" s="40"/>
      <c r="T510" s="43" t="str">
        <f t="shared" si="50"/>
        <v>-</v>
      </c>
      <c r="U510" s="40" t="s">
        <v>25</v>
      </c>
      <c r="V510" s="43" t="str">
        <f t="shared" si="51"/>
        <v>-</v>
      </c>
      <c r="W510" s="44"/>
      <c r="X510" s="45"/>
      <c r="Y510" s="1">
        <f t="shared" ca="1" si="43"/>
        <v>46162</v>
      </c>
      <c r="Z510" s="1" cm="1">
        <f t="array" ref="Z510">IF(D510&gt;DATE(2015,5,16),0,
K510*
(
INT((MIN(Y510,DATE(2015,5,16))-D510)/365)
+
CEILING(MOD((MIN(Y510,DATE(2015,5,16))-D510)/365,1),0.25)
)
*
_xlfn.SWITCH(J510,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10" s="1" cm="1">
        <f t="array" aca="1" ref="AA510" ca="1">IF(Y510&lt;DATE(2015,5,17),0,
K510*
(
INT((MIN(Y510,DATE(2018,9,23))-MAX(D510,DATE(2015,5,17)))/365)
+
CEILING(MOD((MIN(Y510,DATE(2018,9,23))-MAX(D510,DATE(2015,5,17)))/365,1),0.25)
)
*
_xlfn.SWITCH(J510,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10" s="1" cm="1">
        <f t="array" aca="1" ref="AB510" ca="1">IF(Y510&lt;DATE(2018,9,24),0,
IF(J510="زراعة",
K510*
(
INT((MIN(Y510,DATE(2023,4,30))-MAX(D510,DATE(2018,9,24)))/365)
+
CEILING(MOD((MIN(Y510,DATE(2023,4,30))-MAX(D510,DATE(2018,9,24)))/365,1),0.25)
)
*1,
K510*
(
DATEDIF(MAX(D510,DATE(2018,9,24)),MIN(Y510,DATE(2023,4,30)),"m")+1
)
*
_xlfn.SWITCH(J510,
"موقف/تندة",IF(D510&lt;DATE(2019,11,30),6,30),
"تشوينات",IF(D510&lt;DATE(2019,11,30),4,20),
"مشاتل",IF(D510&lt;DATE(2019,11,30),2,10),
"كافيتيريا",IF(D510&lt;DATE(2019,11,30),30,150),
"نوادي",IF(D510&lt;DATE(2019,11,30),6,30),
"رسو مراكب",IF(D510&lt;DATE(2019,11,30),2,10),
"مباني",IF(D510&lt;DATE(2018,9,24),2,10),
"عشش",IF(D510&lt;DATE(2019,11,30),2,10),
"كشك (تجاري/صناعي)",IF(D510&lt;DATE(2019,11,30),10,50),
"ردم",20,
0)))</f>
        <v>954</v>
      </c>
      <c r="AC510" s="1" cm="1">
        <f t="array" aca="1" ref="AC510" ca="1">IF(Y510&lt;DATE(2023,5,1),0,
IF(J510="زراعة",
K510*
(
INT((Y510-MAX(DATE(2023,5,1),D510))/365)
+
CEILING(MOD((Y510-MAX(DATE(2023,5,1),D510))/365,1),0.25)
)
*3,
IF(J510="ردم",
K510*20,
K510*
(
DATEDIF(MAX(DATE(2023,5,1),D510),Y510,"m")+1
)
*
_xlfn.SWITCH(J510,
"موقف/تندة",6,
"تشوينات",4,
"مشاتل",2,
"رسو مراكب",6,
"مباني",3,
"عشش",1,
"كشك (تجاري/صناعي)",20,
"مواسير صرف صحي (&lt;1م)",16,
"مواسير صرف صحي (&gt;1م)",18,
0))))</f>
        <v>333</v>
      </c>
      <c r="AD510" s="1">
        <f t="shared" ca="1" si="44"/>
        <v>52</v>
      </c>
    </row>
    <row r="511" spans="1:30" ht="18.75" x14ac:dyDescent="0.25">
      <c r="A511" s="46">
        <v>464</v>
      </c>
      <c r="B511" s="47">
        <v>1</v>
      </c>
      <c r="C511" s="47">
        <v>2019</v>
      </c>
      <c r="D511" s="48">
        <v>43492</v>
      </c>
      <c r="E511" s="49" t="s">
        <v>745</v>
      </c>
      <c r="F511" s="47"/>
      <c r="G511" s="47" t="s">
        <v>673</v>
      </c>
      <c r="H511" s="47"/>
      <c r="I511" s="47" t="s">
        <v>103</v>
      </c>
      <c r="J511" s="55" t="s">
        <v>27</v>
      </c>
      <c r="K511" s="47">
        <v>12</v>
      </c>
      <c r="L511" s="31"/>
      <c r="M511" s="48"/>
      <c r="N511" s="47"/>
      <c r="O511" s="34">
        <f>0.47*Table2[[#This Row],[قيمة المحضر]]</f>
        <v>0</v>
      </c>
      <c r="P511" s="34">
        <f>0.17*Table2[[#This Row],[قيمة المحضر]]</f>
        <v>0</v>
      </c>
      <c r="Q511" s="34">
        <f t="shared" ca="1" si="47"/>
        <v>7548</v>
      </c>
      <c r="R511" s="31"/>
      <c r="S511" s="31"/>
      <c r="T511" s="34" t="str">
        <f t="shared" si="50"/>
        <v>-</v>
      </c>
      <c r="U511" s="31" t="s">
        <v>25</v>
      </c>
      <c r="V511" s="34" t="str">
        <f t="shared" si="51"/>
        <v>-</v>
      </c>
      <c r="W511" s="35"/>
      <c r="X511" s="36"/>
      <c r="Y511" s="1">
        <f t="shared" ca="1" si="43"/>
        <v>46162</v>
      </c>
      <c r="Z511" s="1" cm="1">
        <f t="array" ref="Z511">IF(D511&gt;DATE(2015,5,16),0,
K511*
(
INT((MIN(Y511,DATE(2015,5,16))-D511)/365)
+
CEILING(MOD((MIN(Y511,DATE(2015,5,16))-D511)/365,1),0.25)
)
*
_xlfn.SWITCH(J511,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11" s="1" cm="1">
        <f t="array" aca="1" ref="AA511" ca="1">IF(Y511&lt;DATE(2015,5,17),0,
K511*
(
INT((MIN(Y511,DATE(2018,9,23))-MAX(D511,DATE(2015,5,17)))/365)
+
CEILING(MOD((MIN(Y511,DATE(2018,9,23))-MAX(D511,DATE(2015,5,17)))/365,1),0.25)
)
*
_xlfn.SWITCH(J511,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-24</v>
      </c>
      <c r="AB511" s="1" cm="1">
        <f t="array" aca="1" ref="AB511" ca="1">IF(Y511&lt;DATE(2018,9,24),0,
IF(J511="زراعة",
K511*
(
INT((MIN(Y511,DATE(2023,4,30))-MAX(D511,DATE(2018,9,24)))/365)
+
CEILING(MOD((MIN(Y511,DATE(2023,4,30))-MAX(D511,DATE(2018,9,24)))/365,1),0.25)
)
*1,
K511*
(
DATEDIF(MAX(D511,DATE(2018,9,24)),MIN(Y511,DATE(2023,4,30)),"m")+1
)
*
_xlfn.SWITCH(J511,
"موقف/تندة",IF(D511&lt;DATE(2019,11,30),6,30),
"تشوينات",IF(D511&lt;DATE(2019,11,30),4,20),
"مشاتل",IF(D511&lt;DATE(2019,11,30),2,10),
"كافيتيريا",IF(D511&lt;DATE(2019,11,30),30,150),
"نوادي",IF(D511&lt;DATE(2019,11,30),6,30),
"رسو مراكب",IF(D511&lt;DATE(2019,11,30),2,10),
"مباني",IF(D511&lt;DATE(2018,9,24),2,10),
"عشش",IF(D511&lt;DATE(2019,11,30),2,10),
"كشك (تجاري/صناعي)",IF(D511&lt;DATE(2019,11,30),10,50),
"ردم",20,
0)))</f>
        <v>6240</v>
      </c>
      <c r="AC511" s="1" cm="1">
        <f t="array" aca="1" ref="AC511" ca="1">IF(Y511&lt;DATE(2023,5,1),0,
IF(J511="زراعة",
K511*
(
INT((Y511-MAX(DATE(2023,5,1),D511))/365)
+
CEILING(MOD((Y511-MAX(DATE(2023,5,1),D511))/365,1),0.25)
)
*3,
IF(J511="ردم",
K511*20,
K511*
(
DATEDIF(MAX(DATE(2023,5,1),D511),Y511,"m")+1
)
*
_xlfn.SWITCH(J511,
"موقف/تندة",6,
"تشوينات",4,
"مشاتل",2,
"رسو مراكب",6,
"مباني",3,
"عشش",1,
"كشك (تجاري/صناعي)",20,
"مواسير صرف صحي (&lt;1م)",16,
"مواسير صرف صحي (&gt;1م)",18,
0))))</f>
        <v>1332</v>
      </c>
      <c r="AD511" s="1">
        <f t="shared" ca="1" si="44"/>
        <v>51</v>
      </c>
    </row>
    <row r="512" spans="1:30" ht="18.75" x14ac:dyDescent="0.25">
      <c r="A512" s="52">
        <v>465</v>
      </c>
      <c r="B512" s="6">
        <v>2</v>
      </c>
      <c r="C512" s="6">
        <v>2019</v>
      </c>
      <c r="D512" s="7">
        <v>43492</v>
      </c>
      <c r="E512" s="12" t="s">
        <v>746</v>
      </c>
      <c r="F512" s="6"/>
      <c r="G512" s="6" t="s">
        <v>673</v>
      </c>
      <c r="H512" s="6"/>
      <c r="I512" s="6"/>
      <c r="J512" s="3" t="s">
        <v>28</v>
      </c>
      <c r="K512" s="6">
        <v>12</v>
      </c>
      <c r="L512" s="3"/>
      <c r="M512" s="7"/>
      <c r="N512" s="6"/>
      <c r="O512" s="9">
        <f>0.47*Table2[[#This Row],[قيمة المحضر]]</f>
        <v>0</v>
      </c>
      <c r="P512" s="9">
        <f>0.17*Table2[[#This Row],[قيمة المحضر]]</f>
        <v>0</v>
      </c>
      <c r="Q512" s="9">
        <f t="shared" ca="1" si="47"/>
        <v>1680</v>
      </c>
      <c r="R512" s="3"/>
      <c r="S512" s="3"/>
      <c r="T512" s="9" t="str">
        <f t="shared" si="50"/>
        <v>-</v>
      </c>
      <c r="U512" s="3" t="s">
        <v>25</v>
      </c>
      <c r="V512" s="9" t="str">
        <f t="shared" si="51"/>
        <v>-</v>
      </c>
      <c r="W512" s="4"/>
      <c r="X512" s="38"/>
      <c r="Y512" s="1">
        <f t="shared" ca="1" si="43"/>
        <v>46162</v>
      </c>
      <c r="Z512" s="1" cm="1">
        <f t="array" ref="Z512">IF(D512&gt;DATE(2015,5,16),0,
K512*
(
INT((MIN(Y512,DATE(2015,5,16))-D512)/365)
+
CEILING(MOD((MIN(Y512,DATE(2015,5,16))-D512)/365,1),0.25)
)
*
_xlfn.SWITCH(J512,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12" s="1" cm="1">
        <f t="array" aca="1" ref="AA512" ca="1">IF(Y512&lt;DATE(2015,5,17),0,
K512*
(
INT((MIN(Y512,DATE(2018,9,23))-MAX(D512,DATE(2015,5,17)))/365)
+
CEILING(MOD((MIN(Y512,DATE(2018,9,23))-MAX(D512,DATE(2015,5,17)))/365,1),0.25)
)
*
_xlfn.SWITCH(J512,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-12</v>
      </c>
      <c r="AB512" s="1" cm="1">
        <f t="array" aca="1" ref="AB512" ca="1">IF(Y512&lt;DATE(2018,9,24),0,
IF(J512="زراعة",
K512*
(
INT((MIN(Y512,DATE(2023,4,30))-MAX(D512,DATE(2018,9,24)))/365)
+
CEILING(MOD((MIN(Y512,DATE(2023,4,30))-MAX(D512,DATE(2018,9,24)))/365,1),0.25)
)
*1,
K512*
(
DATEDIF(MAX(D512,DATE(2018,9,24)),MIN(Y512,DATE(2023,4,30)),"m")+1
)
*
_xlfn.SWITCH(J512,
"موقف/تندة",IF(D512&lt;DATE(2019,11,30),6,30),
"تشوينات",IF(D512&lt;DATE(2019,11,30),4,20),
"مشاتل",IF(D512&lt;DATE(2019,11,30),2,10),
"كافيتيريا",IF(D512&lt;DATE(2019,11,30),30,150),
"نوادي",IF(D512&lt;DATE(2019,11,30),6,30),
"رسو مراكب",IF(D512&lt;DATE(2019,11,30),2,10),
"مباني",IF(D512&lt;DATE(2018,9,24),2,10),
"عشش",IF(D512&lt;DATE(2019,11,30),2,10),
"كشك (تجاري/صناعي)",IF(D512&lt;DATE(2019,11,30),10,50),
"ردم",20,
0)))</f>
        <v>1248</v>
      </c>
      <c r="AC512" s="1" cm="1">
        <f t="array" aca="1" ref="AC512" ca="1">IF(Y512&lt;DATE(2023,5,1),0,
IF(J512="زراعة",
K512*
(
INT((Y512-MAX(DATE(2023,5,1),D512))/365)
+
CEILING(MOD((Y512-MAX(DATE(2023,5,1),D512))/365,1),0.25)
)
*3,
IF(J512="ردم",
K512*20,
K512*
(
DATEDIF(MAX(DATE(2023,5,1),D512),Y512,"m")+1
)
*
_xlfn.SWITCH(J512,
"موقف/تندة",6,
"تشوينات",4,
"مشاتل",2,
"رسو مراكب",6,
"مباني",3,
"عشش",1,
"كشك (تجاري/صناعي)",20,
"مواسير صرف صحي (&lt;1م)",16,
"مواسير صرف صحي (&gt;1م)",18,
0))))</f>
        <v>444</v>
      </c>
      <c r="AD512" s="1">
        <f t="shared" ca="1" si="44"/>
        <v>51</v>
      </c>
    </row>
    <row r="513" spans="1:30" ht="18.75" x14ac:dyDescent="0.25">
      <c r="A513" s="52">
        <v>466</v>
      </c>
      <c r="B513" s="6">
        <v>3</v>
      </c>
      <c r="C513" s="6">
        <v>2019</v>
      </c>
      <c r="D513" s="7">
        <v>43492</v>
      </c>
      <c r="E513" s="12" t="s">
        <v>747</v>
      </c>
      <c r="F513" s="6"/>
      <c r="G513" s="6" t="s">
        <v>674</v>
      </c>
      <c r="H513" s="6"/>
      <c r="I513" s="6" t="s">
        <v>103</v>
      </c>
      <c r="J513" s="14" t="s">
        <v>27</v>
      </c>
      <c r="K513" s="6">
        <v>70</v>
      </c>
      <c r="L513" s="3"/>
      <c r="M513" s="7"/>
      <c r="N513" s="6"/>
      <c r="O513" s="9">
        <f>0.47*Table2[[#This Row],[قيمة المحضر]]</f>
        <v>0</v>
      </c>
      <c r="P513" s="9">
        <f>0.17*Table2[[#This Row],[قيمة المحضر]]</f>
        <v>0</v>
      </c>
      <c r="Q513" s="9">
        <f t="shared" ca="1" si="47"/>
        <v>44030</v>
      </c>
      <c r="R513" s="3"/>
      <c r="S513" s="3"/>
      <c r="T513" s="9" t="str">
        <f t="shared" si="50"/>
        <v>-</v>
      </c>
      <c r="U513" s="3" t="s">
        <v>25</v>
      </c>
      <c r="V513" s="9" t="str">
        <f t="shared" si="51"/>
        <v>-</v>
      </c>
      <c r="W513" s="4"/>
      <c r="X513" s="38"/>
      <c r="Y513" s="1">
        <f t="shared" ca="1" si="43"/>
        <v>46162</v>
      </c>
      <c r="Z513" s="1" cm="1">
        <f t="array" ref="Z513">IF(D513&gt;DATE(2015,5,16),0,
K513*
(
INT((MIN(Y513,DATE(2015,5,16))-D513)/365)
+
CEILING(MOD((MIN(Y513,DATE(2015,5,16))-D513)/365,1),0.25)
)
*
_xlfn.SWITCH(J513,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13" s="1" cm="1">
        <f t="array" aca="1" ref="AA513" ca="1">IF(Y513&lt;DATE(2015,5,17),0,
K513*
(
INT((MIN(Y513,DATE(2018,9,23))-MAX(D513,DATE(2015,5,17)))/365)
+
CEILING(MOD((MIN(Y513,DATE(2018,9,23))-MAX(D513,DATE(2015,5,17)))/365,1),0.25)
)
*
_xlfn.SWITCH(J513,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-140</v>
      </c>
      <c r="AB513" s="1" cm="1">
        <f t="array" aca="1" ref="AB513" ca="1">IF(Y513&lt;DATE(2018,9,24),0,
IF(J513="زراعة",
K513*
(
INT((MIN(Y513,DATE(2023,4,30))-MAX(D513,DATE(2018,9,24)))/365)
+
CEILING(MOD((MIN(Y513,DATE(2023,4,30))-MAX(D513,DATE(2018,9,24)))/365,1),0.25)
)
*1,
K513*
(
DATEDIF(MAX(D513,DATE(2018,9,24)),MIN(Y513,DATE(2023,4,30)),"m")+1
)
*
_xlfn.SWITCH(J513,
"موقف/تندة",IF(D513&lt;DATE(2019,11,30),6,30),
"تشوينات",IF(D513&lt;DATE(2019,11,30),4,20),
"مشاتل",IF(D513&lt;DATE(2019,11,30),2,10),
"كافيتيريا",IF(D513&lt;DATE(2019,11,30),30,150),
"نوادي",IF(D513&lt;DATE(2019,11,30),6,30),
"رسو مراكب",IF(D513&lt;DATE(2019,11,30),2,10),
"مباني",IF(D513&lt;DATE(2018,9,24),2,10),
"عشش",IF(D513&lt;DATE(2019,11,30),2,10),
"كشك (تجاري/صناعي)",IF(D513&lt;DATE(2019,11,30),10,50),
"ردم",20,
0)))</f>
        <v>36400</v>
      </c>
      <c r="AC513" s="1" cm="1">
        <f t="array" aca="1" ref="AC513" ca="1">IF(Y513&lt;DATE(2023,5,1),0,
IF(J513="زراعة",
K513*
(
INT((Y513-MAX(DATE(2023,5,1),D513))/365)
+
CEILING(MOD((Y513-MAX(DATE(2023,5,1),D513))/365,1),0.25)
)
*3,
IF(J513="ردم",
K513*20,
K513*
(
DATEDIF(MAX(DATE(2023,5,1),D513),Y513,"m")+1
)
*
_xlfn.SWITCH(J513,
"موقف/تندة",6,
"تشوينات",4,
"مشاتل",2,
"رسو مراكب",6,
"مباني",3,
"عشش",1,
"كشك (تجاري/صناعي)",20,
"مواسير صرف صحي (&lt;1م)",16,
"مواسير صرف صحي (&gt;1م)",18,
0))))</f>
        <v>7770</v>
      </c>
      <c r="AD513" s="1">
        <f t="shared" ca="1" si="44"/>
        <v>51</v>
      </c>
    </row>
    <row r="514" spans="1:30" ht="18.75" x14ac:dyDescent="0.25">
      <c r="A514" s="52">
        <v>467</v>
      </c>
      <c r="B514" s="6">
        <v>4</v>
      </c>
      <c r="C514" s="6">
        <v>2019</v>
      </c>
      <c r="D514" s="7">
        <v>43492</v>
      </c>
      <c r="E514" s="12"/>
      <c r="F514" s="6"/>
      <c r="G514" s="6" t="s">
        <v>675</v>
      </c>
      <c r="H514" s="6"/>
      <c r="I514" s="6" t="s">
        <v>377</v>
      </c>
      <c r="J514" s="3" t="s">
        <v>145</v>
      </c>
      <c r="K514" s="6"/>
      <c r="L514" s="3"/>
      <c r="M514" s="7"/>
      <c r="N514" s="6"/>
      <c r="O514" s="9">
        <f>0.47*Table2[[#This Row],[قيمة المحضر]]</f>
        <v>0</v>
      </c>
      <c r="P514" s="9">
        <f>0.17*Table2[[#This Row],[قيمة المحضر]]</f>
        <v>0</v>
      </c>
      <c r="Q514" s="9">
        <f t="shared" ca="1" si="47"/>
        <v>0</v>
      </c>
      <c r="R514" s="3"/>
      <c r="S514" s="3"/>
      <c r="T514" s="9" t="str">
        <f t="shared" si="50"/>
        <v>-</v>
      </c>
      <c r="U514" s="3" t="s">
        <v>25</v>
      </c>
      <c r="V514" s="9" t="str">
        <f t="shared" si="51"/>
        <v>-</v>
      </c>
      <c r="W514" s="4"/>
      <c r="X514" s="38"/>
      <c r="Y514" s="1">
        <f t="shared" ca="1" si="43"/>
        <v>46162</v>
      </c>
      <c r="Z514" s="1" cm="1">
        <f t="array" ref="Z514">IF(D514&gt;DATE(2015,5,16),0,
K514*
(
INT((MIN(Y514,DATE(2015,5,16))-D514)/365)
+
CEILING(MOD((MIN(Y514,DATE(2015,5,16))-D514)/365,1),0.25)
)
*
_xlfn.SWITCH(J514,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14" s="1" cm="1">
        <f t="array" aca="1" ref="AA514" ca="1">IF(Y514&lt;DATE(2015,5,17),0,
K514*
(
INT((MIN(Y514,DATE(2018,9,23))-MAX(D514,DATE(2015,5,17)))/365)
+
CEILING(MOD((MIN(Y514,DATE(2018,9,23))-MAX(D514,DATE(2015,5,17)))/365,1),0.25)
)
*
_xlfn.SWITCH(J514,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14" s="1" cm="1">
        <f t="array" aca="1" ref="AB514" ca="1">IF(Y514&lt;DATE(2018,9,24),0,
IF(J514="زراعة",
K514*
(
INT((MIN(Y514,DATE(2023,4,30))-MAX(D514,DATE(2018,9,24)))/365)
+
CEILING(MOD((MIN(Y514,DATE(2023,4,30))-MAX(D514,DATE(2018,9,24)))/365,1),0.25)
)
*1,
K514*
(
DATEDIF(MAX(D514,DATE(2018,9,24)),MIN(Y514,DATE(2023,4,30)),"m")+1
)
*
_xlfn.SWITCH(J514,
"موقف/تندة",IF(D514&lt;DATE(2019,11,30),6,30),
"تشوينات",IF(D514&lt;DATE(2019,11,30),4,20),
"مشاتل",IF(D514&lt;DATE(2019,11,30),2,10),
"كافيتيريا",IF(D514&lt;DATE(2019,11,30),30,150),
"نوادي",IF(D514&lt;DATE(2019,11,30),6,30),
"رسو مراكب",IF(D514&lt;DATE(2019,11,30),2,10),
"مباني",IF(D514&lt;DATE(2018,9,24),2,10),
"عشش",IF(D514&lt;DATE(2019,11,30),2,10),
"كشك (تجاري/صناعي)",IF(D514&lt;DATE(2019,11,30),10,50),
"ردم",20,
0)))</f>
        <v>0</v>
      </c>
      <c r="AC514" s="1" cm="1">
        <f t="array" aca="1" ref="AC514" ca="1">IF(Y514&lt;DATE(2023,5,1),0,
IF(J514="زراعة",
K514*
(
INT((Y514-MAX(DATE(2023,5,1),D514))/365)
+
CEILING(MOD((Y514-MAX(DATE(2023,5,1),D514))/365,1),0.25)
)
*3,
IF(J514="ردم",
K514*20,
K514*
(
DATEDIF(MAX(DATE(2023,5,1),D514),Y514,"m")+1
)
*
_xlfn.SWITCH(J514,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14" s="1">
        <f t="shared" ca="1" si="44"/>
        <v>51</v>
      </c>
    </row>
    <row r="515" spans="1:30" ht="18.75" x14ac:dyDescent="0.25">
      <c r="A515" s="52">
        <v>468</v>
      </c>
      <c r="B515" s="6">
        <v>5</v>
      </c>
      <c r="C515" s="6">
        <v>2019</v>
      </c>
      <c r="D515" s="7">
        <v>43492</v>
      </c>
      <c r="E515" s="12" t="s">
        <v>748</v>
      </c>
      <c r="F515" s="6"/>
      <c r="G515" s="6" t="s">
        <v>676</v>
      </c>
      <c r="H515" s="6"/>
      <c r="I515" s="6" t="s">
        <v>103</v>
      </c>
      <c r="J515" s="3" t="s">
        <v>28</v>
      </c>
      <c r="K515" s="6">
        <v>70</v>
      </c>
      <c r="L515" s="3"/>
      <c r="M515" s="7"/>
      <c r="N515" s="6"/>
      <c r="O515" s="9">
        <f>0.47*Table2[[#This Row],[قيمة المحضر]]</f>
        <v>0</v>
      </c>
      <c r="P515" s="9">
        <f>0.17*Table2[[#This Row],[قيمة المحضر]]</f>
        <v>0</v>
      </c>
      <c r="Q515" s="9">
        <f t="shared" ca="1" si="47"/>
        <v>9800</v>
      </c>
      <c r="R515" s="3"/>
      <c r="S515" s="3"/>
      <c r="T515" s="9" t="str">
        <f t="shared" si="50"/>
        <v>-</v>
      </c>
      <c r="U515" s="3" t="s">
        <v>25</v>
      </c>
      <c r="V515" s="9" t="str">
        <f t="shared" si="51"/>
        <v>-</v>
      </c>
      <c r="W515" s="4"/>
      <c r="X515" s="38"/>
      <c r="Y515" s="1">
        <f t="shared" ref="Y515:Y578" ca="1" si="52">IF(M515="",TODAY(),M515)</f>
        <v>46162</v>
      </c>
      <c r="Z515" s="1" cm="1">
        <f t="array" ref="Z515">IF(D515&gt;DATE(2015,5,16),0,
K515*
(
INT((MIN(Y515,DATE(2015,5,16))-D515)/365)
+
CEILING(MOD((MIN(Y515,DATE(2015,5,16))-D515)/365,1),0.25)
)
*
_xlfn.SWITCH(J515,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15" s="1" cm="1">
        <f t="array" aca="1" ref="AA515" ca="1">IF(Y515&lt;DATE(2015,5,17),0,
K515*
(
INT((MIN(Y515,DATE(2018,9,23))-MAX(D515,DATE(2015,5,17)))/365)
+
CEILING(MOD((MIN(Y515,DATE(2018,9,23))-MAX(D515,DATE(2015,5,17)))/365,1),0.25)
)
*
_xlfn.SWITCH(J515,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-70</v>
      </c>
      <c r="AB515" s="1" cm="1">
        <f t="array" aca="1" ref="AB515" ca="1">IF(Y515&lt;DATE(2018,9,24),0,
IF(J515="زراعة",
K515*
(
INT((MIN(Y515,DATE(2023,4,30))-MAX(D515,DATE(2018,9,24)))/365)
+
CEILING(MOD((MIN(Y515,DATE(2023,4,30))-MAX(D515,DATE(2018,9,24)))/365,1),0.25)
)
*1,
K515*
(
DATEDIF(MAX(D515,DATE(2018,9,24)),MIN(Y515,DATE(2023,4,30)),"m")+1
)
*
_xlfn.SWITCH(J515,
"موقف/تندة",IF(D515&lt;DATE(2019,11,30),6,30),
"تشوينات",IF(D515&lt;DATE(2019,11,30),4,20),
"مشاتل",IF(D515&lt;DATE(2019,11,30),2,10),
"كافيتيريا",IF(D515&lt;DATE(2019,11,30),30,150),
"نوادي",IF(D515&lt;DATE(2019,11,30),6,30),
"رسو مراكب",IF(D515&lt;DATE(2019,11,30),2,10),
"مباني",IF(D515&lt;DATE(2018,9,24),2,10),
"عشش",IF(D515&lt;DATE(2019,11,30),2,10),
"كشك (تجاري/صناعي)",IF(D515&lt;DATE(2019,11,30),10,50),
"ردم",20,
0)))</f>
        <v>7280</v>
      </c>
      <c r="AC515" s="1" cm="1">
        <f t="array" aca="1" ref="AC515" ca="1">IF(Y515&lt;DATE(2023,5,1),0,
IF(J515="زراعة",
K515*
(
INT((Y515-MAX(DATE(2023,5,1),D515))/365)
+
CEILING(MOD((Y515-MAX(DATE(2023,5,1),D515))/365,1),0.25)
)
*3,
IF(J515="ردم",
K515*20,
K515*
(
DATEDIF(MAX(DATE(2023,5,1),D515),Y515,"m")+1
)
*
_xlfn.SWITCH(J515,
"موقف/تندة",6,
"تشوينات",4,
"مشاتل",2,
"رسو مراكب",6,
"مباني",3,
"عشش",1,
"كشك (تجاري/صناعي)",20,
"مواسير صرف صحي (&lt;1م)",16,
"مواسير صرف صحي (&gt;1م)",18,
0))))</f>
        <v>2590</v>
      </c>
      <c r="AD515" s="1">
        <f t="shared" ref="AD515:AD578" ca="1" si="53">DATEDIF(MAX(D515,DATE(2018,9,24)),MIN(Y515,DATE(2023,4,30)),"m")</f>
        <v>51</v>
      </c>
    </row>
    <row r="516" spans="1:30" ht="18.75" x14ac:dyDescent="0.25">
      <c r="A516" s="52">
        <v>469</v>
      </c>
      <c r="B516" s="6">
        <v>6</v>
      </c>
      <c r="C516" s="6">
        <v>2019</v>
      </c>
      <c r="D516" s="7">
        <v>43492</v>
      </c>
      <c r="E516" s="12" t="s">
        <v>749</v>
      </c>
      <c r="F516" s="6"/>
      <c r="G516" s="6" t="s">
        <v>677</v>
      </c>
      <c r="H516" s="6"/>
      <c r="I516" s="6" t="s">
        <v>103</v>
      </c>
      <c r="J516" s="3" t="s">
        <v>28</v>
      </c>
      <c r="K516" s="6">
        <v>70</v>
      </c>
      <c r="L516" s="3"/>
      <c r="M516" s="7"/>
      <c r="N516" s="6"/>
      <c r="O516" s="9">
        <f>0.47*Table2[[#This Row],[قيمة المحضر]]</f>
        <v>0</v>
      </c>
      <c r="P516" s="9">
        <f>0.17*Table2[[#This Row],[قيمة المحضر]]</f>
        <v>0</v>
      </c>
      <c r="Q516" s="9">
        <f t="shared" ca="1" si="47"/>
        <v>9800</v>
      </c>
      <c r="R516" s="3"/>
      <c r="S516" s="3"/>
      <c r="T516" s="9" t="str">
        <f t="shared" si="50"/>
        <v>-</v>
      </c>
      <c r="U516" s="3" t="s">
        <v>25</v>
      </c>
      <c r="V516" s="9" t="str">
        <f t="shared" si="51"/>
        <v>-</v>
      </c>
      <c r="W516" s="4"/>
      <c r="X516" s="38"/>
      <c r="Y516" s="1">
        <f t="shared" ca="1" si="52"/>
        <v>46162</v>
      </c>
      <c r="Z516" s="1" cm="1">
        <f t="array" ref="Z516">IF(D516&gt;DATE(2015,5,16),0,
K516*
(
INT((MIN(Y516,DATE(2015,5,16))-D516)/365)
+
CEILING(MOD((MIN(Y516,DATE(2015,5,16))-D516)/365,1),0.25)
)
*
_xlfn.SWITCH(J516,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16" s="1" cm="1">
        <f t="array" aca="1" ref="AA516" ca="1">IF(Y516&lt;DATE(2015,5,17),0,
K516*
(
INT((MIN(Y516,DATE(2018,9,23))-MAX(D516,DATE(2015,5,17)))/365)
+
CEILING(MOD((MIN(Y516,DATE(2018,9,23))-MAX(D516,DATE(2015,5,17)))/365,1),0.25)
)
*
_xlfn.SWITCH(J516,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-70</v>
      </c>
      <c r="AB516" s="1" cm="1">
        <f t="array" aca="1" ref="AB516" ca="1">IF(Y516&lt;DATE(2018,9,24),0,
IF(J516="زراعة",
K516*
(
INT((MIN(Y516,DATE(2023,4,30))-MAX(D516,DATE(2018,9,24)))/365)
+
CEILING(MOD((MIN(Y516,DATE(2023,4,30))-MAX(D516,DATE(2018,9,24)))/365,1),0.25)
)
*1,
K516*
(
DATEDIF(MAX(D516,DATE(2018,9,24)),MIN(Y516,DATE(2023,4,30)),"m")+1
)
*
_xlfn.SWITCH(J516,
"موقف/تندة",IF(D516&lt;DATE(2019,11,30),6,30),
"تشوينات",IF(D516&lt;DATE(2019,11,30),4,20),
"مشاتل",IF(D516&lt;DATE(2019,11,30),2,10),
"كافيتيريا",IF(D516&lt;DATE(2019,11,30),30,150),
"نوادي",IF(D516&lt;DATE(2019,11,30),6,30),
"رسو مراكب",IF(D516&lt;DATE(2019,11,30),2,10),
"مباني",IF(D516&lt;DATE(2018,9,24),2,10),
"عشش",IF(D516&lt;DATE(2019,11,30),2,10),
"كشك (تجاري/صناعي)",IF(D516&lt;DATE(2019,11,30),10,50),
"ردم",20,
0)))</f>
        <v>7280</v>
      </c>
      <c r="AC516" s="1" cm="1">
        <f t="array" aca="1" ref="AC516" ca="1">IF(Y516&lt;DATE(2023,5,1),0,
IF(J516="زراعة",
K516*
(
INT((Y516-MAX(DATE(2023,5,1),D516))/365)
+
CEILING(MOD((Y516-MAX(DATE(2023,5,1),D516))/365,1),0.25)
)
*3,
IF(J516="ردم",
K516*20,
K516*
(
DATEDIF(MAX(DATE(2023,5,1),D516),Y516,"m")+1
)
*
_xlfn.SWITCH(J516,
"موقف/تندة",6,
"تشوينات",4,
"مشاتل",2,
"رسو مراكب",6,
"مباني",3,
"عشش",1,
"كشك (تجاري/صناعي)",20,
"مواسير صرف صحي (&lt;1م)",16,
"مواسير صرف صحي (&gt;1م)",18,
0))))</f>
        <v>2590</v>
      </c>
      <c r="AD516" s="1">
        <f t="shared" ca="1" si="53"/>
        <v>51</v>
      </c>
    </row>
    <row r="517" spans="1:30" ht="18.75" x14ac:dyDescent="0.25">
      <c r="A517" s="52">
        <v>470</v>
      </c>
      <c r="B517" s="6">
        <v>7</v>
      </c>
      <c r="C517" s="6">
        <v>2019</v>
      </c>
      <c r="D517" s="7">
        <v>43492</v>
      </c>
      <c r="E517" s="12" t="s">
        <v>750</v>
      </c>
      <c r="F517" s="6"/>
      <c r="G517" s="6" t="s">
        <v>678</v>
      </c>
      <c r="H517" s="6"/>
      <c r="I517" s="6" t="s">
        <v>103</v>
      </c>
      <c r="J517" s="3" t="s">
        <v>77</v>
      </c>
      <c r="K517" s="6">
        <f>7*12</f>
        <v>84</v>
      </c>
      <c r="L517" s="3"/>
      <c r="M517" s="7"/>
      <c r="N517" s="6"/>
      <c r="O517" s="9">
        <f>0.47*Table2[[#This Row],[قيمة المحضر]]</f>
        <v>0</v>
      </c>
      <c r="P517" s="9">
        <f>0.17*Table2[[#This Row],[قيمة المحضر]]</f>
        <v>0</v>
      </c>
      <c r="Q517" s="9">
        <f t="shared" ca="1" si="47"/>
        <v>88620</v>
      </c>
      <c r="R517" s="3"/>
      <c r="S517" s="3"/>
      <c r="T517" s="9" t="str">
        <f t="shared" si="50"/>
        <v>-</v>
      </c>
      <c r="U517" s="3" t="s">
        <v>25</v>
      </c>
      <c r="V517" s="9" t="str">
        <f t="shared" si="51"/>
        <v>-</v>
      </c>
      <c r="W517" s="4"/>
      <c r="X517" s="38"/>
      <c r="Y517" s="1">
        <f t="shared" ca="1" si="52"/>
        <v>46162</v>
      </c>
      <c r="Z517" s="1" cm="1">
        <f t="array" ref="Z517">IF(D517&gt;DATE(2015,5,16),0,
K517*
(
INT((MIN(Y517,DATE(2015,5,16))-D517)/365)
+
CEILING(MOD((MIN(Y517,DATE(2015,5,16))-D517)/365,1),0.25)
)
*
_xlfn.SWITCH(J517,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17" s="1" cm="1">
        <f t="array" aca="1" ref="AA517" ca="1">IF(Y517&lt;DATE(2015,5,17),0,
K517*
(
INT((MIN(Y517,DATE(2018,9,23))-MAX(D517,DATE(2015,5,17)))/365)
+
CEILING(MOD((MIN(Y517,DATE(2018,9,23))-MAX(D517,DATE(2015,5,17)))/365,1),0.25)
)
*
_xlfn.SWITCH(J517,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-420</v>
      </c>
      <c r="AB517" s="1" cm="1">
        <f t="array" aca="1" ref="AB517" ca="1">IF(Y517&lt;DATE(2018,9,24),0,
IF(J517="زراعة",
K517*
(
INT((MIN(Y517,DATE(2023,4,30))-MAX(D517,DATE(2018,9,24)))/365)
+
CEILING(MOD((MIN(Y517,DATE(2023,4,30))-MAX(D517,DATE(2018,9,24)))/365,1),0.25)
)
*1,
K517*
(
DATEDIF(MAX(D517,DATE(2018,9,24)),MIN(Y517,DATE(2023,4,30)),"m")+1
)
*
_xlfn.SWITCH(J517,
"موقف/تندة",IF(D517&lt;DATE(2019,11,30),6,30),
"تشوينات",IF(D517&lt;DATE(2019,11,30),4,20),
"مشاتل",IF(D517&lt;DATE(2019,11,30),2,10),
"كافيتيريا",IF(D517&lt;DATE(2019,11,30),30,150),
"نوادي",IF(D517&lt;DATE(2019,11,30),6,30),
"رسو مراكب",IF(D517&lt;DATE(2019,11,30),2,10),
"مباني",IF(D517&lt;DATE(2018,9,24),2,10),
"عشش",IF(D517&lt;DATE(2019,11,30),2,10),
"كشك (تجاري/صناعي)",IF(D517&lt;DATE(2019,11,30),10,50),
"ردم",20,
0)))</f>
        <v>87360</v>
      </c>
      <c r="AC517" s="1" cm="1">
        <f t="array" aca="1" ref="AC517" ca="1">IF(Y517&lt;DATE(2023,5,1),0,
IF(J517="زراعة",
K517*
(
INT((Y517-MAX(DATE(2023,5,1),D517))/365)
+
CEILING(MOD((Y517-MAX(DATE(2023,5,1),D517))/365,1),0.25)
)
*3,
IF(J517="ردم",
K517*20,
K517*
(
DATEDIF(MAX(DATE(2023,5,1),D517),Y517,"m")+1
)
*
_xlfn.SWITCH(J517,
"موقف/تندة",6,
"تشوينات",4,
"مشاتل",2,
"رسو مراكب",6,
"مباني",3,
"عشش",1,
"كشك (تجاري/صناعي)",20,
"مواسير صرف صحي (&lt;1م)",16,
"مواسير صرف صحي (&gt;1م)",18,
0))))</f>
        <v>1680</v>
      </c>
      <c r="AD517" s="1">
        <f t="shared" ca="1" si="53"/>
        <v>51</v>
      </c>
    </row>
    <row r="518" spans="1:30" ht="18.75" x14ac:dyDescent="0.25">
      <c r="A518" s="52">
        <v>471</v>
      </c>
      <c r="B518" s="6">
        <v>8</v>
      </c>
      <c r="C518" s="6">
        <v>2019</v>
      </c>
      <c r="D518" s="7">
        <v>43501</v>
      </c>
      <c r="E518" s="12"/>
      <c r="F518" s="6"/>
      <c r="G518" s="6" t="s">
        <v>679</v>
      </c>
      <c r="H518" s="6"/>
      <c r="I518" s="6" t="s">
        <v>142</v>
      </c>
      <c r="J518" s="3" t="s">
        <v>145</v>
      </c>
      <c r="K518" s="6"/>
      <c r="L518" s="3"/>
      <c r="M518" s="7"/>
      <c r="N518" s="6"/>
      <c r="O518" s="9">
        <f>0.47*Table2[[#This Row],[قيمة المحضر]]</f>
        <v>0</v>
      </c>
      <c r="P518" s="9">
        <f>0.17*Table2[[#This Row],[قيمة المحضر]]</f>
        <v>0</v>
      </c>
      <c r="Q518" s="9">
        <f t="shared" ca="1" si="47"/>
        <v>0</v>
      </c>
      <c r="R518" s="3"/>
      <c r="S518" s="3"/>
      <c r="T518" s="9" t="str">
        <f t="shared" si="50"/>
        <v>-</v>
      </c>
      <c r="U518" s="3" t="s">
        <v>25</v>
      </c>
      <c r="V518" s="9" t="str">
        <f t="shared" si="51"/>
        <v>-</v>
      </c>
      <c r="W518" s="4"/>
      <c r="X518" s="38"/>
      <c r="Y518" s="1">
        <f t="shared" ca="1" si="52"/>
        <v>46162</v>
      </c>
      <c r="Z518" s="1" cm="1">
        <f t="array" ref="Z518">IF(D518&gt;DATE(2015,5,16),0,
K518*
(
INT((MIN(Y518,DATE(2015,5,16))-D518)/365)
+
CEILING(MOD((MIN(Y518,DATE(2015,5,16))-D518)/365,1),0.25)
)
*
_xlfn.SWITCH(J518,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18" s="1" cm="1">
        <f t="array" aca="1" ref="AA518" ca="1">IF(Y518&lt;DATE(2015,5,17),0,
K518*
(
INT((MIN(Y518,DATE(2018,9,23))-MAX(D518,DATE(2015,5,17)))/365)
+
CEILING(MOD((MIN(Y518,DATE(2018,9,23))-MAX(D518,DATE(2015,5,17)))/365,1),0.25)
)
*
_xlfn.SWITCH(J518,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18" s="1" cm="1">
        <f t="array" aca="1" ref="AB518" ca="1">IF(Y518&lt;DATE(2018,9,24),0,
IF(J518="زراعة",
K518*
(
INT((MIN(Y518,DATE(2023,4,30))-MAX(D518,DATE(2018,9,24)))/365)
+
CEILING(MOD((MIN(Y518,DATE(2023,4,30))-MAX(D518,DATE(2018,9,24)))/365,1),0.25)
)
*1,
K518*
(
DATEDIF(MAX(D518,DATE(2018,9,24)),MIN(Y518,DATE(2023,4,30)),"m")+1
)
*
_xlfn.SWITCH(J518,
"موقف/تندة",IF(D518&lt;DATE(2019,11,30),6,30),
"تشوينات",IF(D518&lt;DATE(2019,11,30),4,20),
"مشاتل",IF(D518&lt;DATE(2019,11,30),2,10),
"كافيتيريا",IF(D518&lt;DATE(2019,11,30),30,150),
"نوادي",IF(D518&lt;DATE(2019,11,30),6,30),
"رسو مراكب",IF(D518&lt;DATE(2019,11,30),2,10),
"مباني",IF(D518&lt;DATE(2018,9,24),2,10),
"عشش",IF(D518&lt;DATE(2019,11,30),2,10),
"كشك (تجاري/صناعي)",IF(D518&lt;DATE(2019,11,30),10,50),
"ردم",20,
0)))</f>
        <v>0</v>
      </c>
      <c r="AC518" s="1" cm="1">
        <f t="array" aca="1" ref="AC518" ca="1">IF(Y518&lt;DATE(2023,5,1),0,
IF(J518="زراعة",
K518*
(
INT((Y518-MAX(DATE(2023,5,1),D518))/365)
+
CEILING(MOD((Y518-MAX(DATE(2023,5,1),D518))/365,1),0.25)
)
*3,
IF(J518="ردم",
K518*20,
K518*
(
DATEDIF(MAX(DATE(2023,5,1),D518),Y518,"m")+1
)
*
_xlfn.SWITCH(J518,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18" s="1">
        <f t="shared" ca="1" si="53"/>
        <v>50</v>
      </c>
    </row>
    <row r="519" spans="1:30" ht="18.75" x14ac:dyDescent="0.25">
      <c r="A519" s="52">
        <v>472</v>
      </c>
      <c r="B519" s="6">
        <v>9</v>
      </c>
      <c r="C519" s="6">
        <v>2019</v>
      </c>
      <c r="D519" s="7">
        <v>43501</v>
      </c>
      <c r="E519" s="12"/>
      <c r="F519" s="6"/>
      <c r="G519" s="6" t="s">
        <v>681</v>
      </c>
      <c r="H519" s="6"/>
      <c r="I519" s="6" t="s">
        <v>142</v>
      </c>
      <c r="J519" s="3" t="s">
        <v>145</v>
      </c>
      <c r="K519" s="6"/>
      <c r="L519" s="3"/>
      <c r="M519" s="7"/>
      <c r="N519" s="6"/>
      <c r="O519" s="9">
        <f>0.47*Table2[[#This Row],[قيمة المحضر]]</f>
        <v>0</v>
      </c>
      <c r="P519" s="9">
        <f>0.17*Table2[[#This Row],[قيمة المحضر]]</f>
        <v>0</v>
      </c>
      <c r="Q519" s="9">
        <f t="shared" ca="1" si="47"/>
        <v>0</v>
      </c>
      <c r="R519" s="3"/>
      <c r="S519" s="3"/>
      <c r="T519" s="9" t="str">
        <f t="shared" si="50"/>
        <v>-</v>
      </c>
      <c r="U519" s="3" t="s">
        <v>25</v>
      </c>
      <c r="V519" s="9" t="str">
        <f t="shared" si="51"/>
        <v>-</v>
      </c>
      <c r="W519" s="4"/>
      <c r="X519" s="38"/>
      <c r="Y519" s="1">
        <f t="shared" ca="1" si="52"/>
        <v>46162</v>
      </c>
      <c r="Z519" s="1" cm="1">
        <f t="array" ref="Z519">IF(D519&gt;DATE(2015,5,16),0,
K519*
(
INT((MIN(Y519,DATE(2015,5,16))-D519)/365)
+
CEILING(MOD((MIN(Y519,DATE(2015,5,16))-D519)/365,1),0.25)
)
*
_xlfn.SWITCH(J519,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19" s="1" cm="1">
        <f t="array" aca="1" ref="AA519" ca="1">IF(Y519&lt;DATE(2015,5,17),0,
K519*
(
INT((MIN(Y519,DATE(2018,9,23))-MAX(D519,DATE(2015,5,17)))/365)
+
CEILING(MOD((MIN(Y519,DATE(2018,9,23))-MAX(D519,DATE(2015,5,17)))/365,1),0.25)
)
*
_xlfn.SWITCH(J519,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19" s="1" cm="1">
        <f t="array" aca="1" ref="AB519" ca="1">IF(Y519&lt;DATE(2018,9,24),0,
IF(J519="زراعة",
K519*
(
INT((MIN(Y519,DATE(2023,4,30))-MAX(D519,DATE(2018,9,24)))/365)
+
CEILING(MOD((MIN(Y519,DATE(2023,4,30))-MAX(D519,DATE(2018,9,24)))/365,1),0.25)
)
*1,
K519*
(
DATEDIF(MAX(D519,DATE(2018,9,24)),MIN(Y519,DATE(2023,4,30)),"m")+1
)
*
_xlfn.SWITCH(J519,
"موقف/تندة",IF(D519&lt;DATE(2019,11,30),6,30),
"تشوينات",IF(D519&lt;DATE(2019,11,30),4,20),
"مشاتل",IF(D519&lt;DATE(2019,11,30),2,10),
"كافيتيريا",IF(D519&lt;DATE(2019,11,30),30,150),
"نوادي",IF(D519&lt;DATE(2019,11,30),6,30),
"رسو مراكب",IF(D519&lt;DATE(2019,11,30),2,10),
"مباني",IF(D519&lt;DATE(2018,9,24),2,10),
"عشش",IF(D519&lt;DATE(2019,11,30),2,10),
"كشك (تجاري/صناعي)",IF(D519&lt;DATE(2019,11,30),10,50),
"ردم",20,
0)))</f>
        <v>0</v>
      </c>
      <c r="AC519" s="1" cm="1">
        <f t="array" aca="1" ref="AC519" ca="1">IF(Y519&lt;DATE(2023,5,1),0,
IF(J519="زراعة",
K519*
(
INT((Y519-MAX(DATE(2023,5,1),D519))/365)
+
CEILING(MOD((Y519-MAX(DATE(2023,5,1),D519))/365,1),0.25)
)
*3,
IF(J519="ردم",
K519*20,
K519*
(
DATEDIF(MAX(DATE(2023,5,1),D519),Y519,"m")+1
)
*
_xlfn.SWITCH(J519,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19" s="1">
        <f t="shared" ca="1" si="53"/>
        <v>50</v>
      </c>
    </row>
    <row r="520" spans="1:30" ht="18.75" x14ac:dyDescent="0.25">
      <c r="A520" s="52">
        <v>473</v>
      </c>
      <c r="B520" s="6">
        <v>10</v>
      </c>
      <c r="C520" s="6">
        <v>2019</v>
      </c>
      <c r="D520" s="7">
        <v>43501</v>
      </c>
      <c r="E520" s="12"/>
      <c r="F520" s="6"/>
      <c r="G520" s="6" t="s">
        <v>680</v>
      </c>
      <c r="H520" s="6"/>
      <c r="I520" s="6" t="s">
        <v>142</v>
      </c>
      <c r="J520" s="3" t="s">
        <v>145</v>
      </c>
      <c r="K520" s="6"/>
      <c r="L520" s="3"/>
      <c r="M520" s="7"/>
      <c r="N520" s="6"/>
      <c r="O520" s="9">
        <f>0.47*Table2[[#This Row],[قيمة المحضر]]</f>
        <v>0</v>
      </c>
      <c r="P520" s="9">
        <f>0.17*Table2[[#This Row],[قيمة المحضر]]</f>
        <v>0</v>
      </c>
      <c r="Q520" s="9">
        <f t="shared" ca="1" si="47"/>
        <v>0</v>
      </c>
      <c r="R520" s="3"/>
      <c r="S520" s="3"/>
      <c r="T520" s="9" t="str">
        <f t="shared" si="50"/>
        <v>-</v>
      </c>
      <c r="U520" s="3" t="s">
        <v>25</v>
      </c>
      <c r="V520" s="9" t="str">
        <f t="shared" si="51"/>
        <v>-</v>
      </c>
      <c r="W520" s="4"/>
      <c r="X520" s="38"/>
      <c r="Y520" s="1">
        <f t="shared" ca="1" si="52"/>
        <v>46162</v>
      </c>
      <c r="Z520" s="1" cm="1">
        <f t="array" ref="Z520">IF(D520&gt;DATE(2015,5,16),0,
K520*
(
INT((MIN(Y520,DATE(2015,5,16))-D520)/365)
+
CEILING(MOD((MIN(Y520,DATE(2015,5,16))-D520)/365,1),0.25)
)
*
_xlfn.SWITCH(J520,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20" s="1" cm="1">
        <f t="array" aca="1" ref="AA520" ca="1">IF(Y520&lt;DATE(2015,5,17),0,
K520*
(
INT((MIN(Y520,DATE(2018,9,23))-MAX(D520,DATE(2015,5,17)))/365)
+
CEILING(MOD((MIN(Y520,DATE(2018,9,23))-MAX(D520,DATE(2015,5,17)))/365,1),0.25)
)
*
_xlfn.SWITCH(J520,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20" s="1" cm="1">
        <f t="array" aca="1" ref="AB520" ca="1">IF(Y520&lt;DATE(2018,9,24),0,
IF(J520="زراعة",
K520*
(
INT((MIN(Y520,DATE(2023,4,30))-MAX(D520,DATE(2018,9,24)))/365)
+
CEILING(MOD((MIN(Y520,DATE(2023,4,30))-MAX(D520,DATE(2018,9,24)))/365,1),0.25)
)
*1,
K520*
(
DATEDIF(MAX(D520,DATE(2018,9,24)),MIN(Y520,DATE(2023,4,30)),"m")+1
)
*
_xlfn.SWITCH(J520,
"موقف/تندة",IF(D520&lt;DATE(2019,11,30),6,30),
"تشوينات",IF(D520&lt;DATE(2019,11,30),4,20),
"مشاتل",IF(D520&lt;DATE(2019,11,30),2,10),
"كافيتيريا",IF(D520&lt;DATE(2019,11,30),30,150),
"نوادي",IF(D520&lt;DATE(2019,11,30),6,30),
"رسو مراكب",IF(D520&lt;DATE(2019,11,30),2,10),
"مباني",IF(D520&lt;DATE(2018,9,24),2,10),
"عشش",IF(D520&lt;DATE(2019,11,30),2,10),
"كشك (تجاري/صناعي)",IF(D520&lt;DATE(2019,11,30),10,50),
"ردم",20,
0)))</f>
        <v>0</v>
      </c>
      <c r="AC520" s="1" cm="1">
        <f t="array" aca="1" ref="AC520" ca="1">IF(Y520&lt;DATE(2023,5,1),0,
IF(J520="زراعة",
K520*
(
INT((Y520-MAX(DATE(2023,5,1),D520))/365)
+
CEILING(MOD((Y520-MAX(DATE(2023,5,1),D520))/365,1),0.25)
)
*3,
IF(J520="ردم",
K520*20,
K520*
(
DATEDIF(MAX(DATE(2023,5,1),D520),Y520,"m")+1
)
*
_xlfn.SWITCH(J520,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20" s="1">
        <f t="shared" ca="1" si="53"/>
        <v>50</v>
      </c>
    </row>
    <row r="521" spans="1:30" ht="18.75" x14ac:dyDescent="0.25">
      <c r="A521" s="52">
        <v>474</v>
      </c>
      <c r="B521" s="6">
        <v>11</v>
      </c>
      <c r="C521" s="6">
        <v>2019</v>
      </c>
      <c r="D521" s="7">
        <v>43501</v>
      </c>
      <c r="E521" s="12"/>
      <c r="F521" s="6"/>
      <c r="G521" s="6" t="s">
        <v>682</v>
      </c>
      <c r="H521" s="6"/>
      <c r="I521" s="6" t="s">
        <v>142</v>
      </c>
      <c r="J521" s="3" t="s">
        <v>145</v>
      </c>
      <c r="K521" s="6"/>
      <c r="L521" s="3"/>
      <c r="M521" s="7"/>
      <c r="N521" s="6"/>
      <c r="O521" s="9">
        <f>0.47*Table2[[#This Row],[قيمة المحضر]]</f>
        <v>0</v>
      </c>
      <c r="P521" s="9">
        <f>0.17*Table2[[#This Row],[قيمة المحضر]]</f>
        <v>0</v>
      </c>
      <c r="Q521" s="9">
        <f t="shared" ca="1" si="47"/>
        <v>0</v>
      </c>
      <c r="R521" s="3"/>
      <c r="S521" s="3"/>
      <c r="T521" s="9" t="str">
        <f t="shared" si="50"/>
        <v>-</v>
      </c>
      <c r="U521" s="3" t="s">
        <v>25</v>
      </c>
      <c r="V521" s="9" t="str">
        <f t="shared" si="51"/>
        <v>-</v>
      </c>
      <c r="W521" s="4"/>
      <c r="X521" s="38"/>
      <c r="Y521" s="1">
        <f t="shared" ca="1" si="52"/>
        <v>46162</v>
      </c>
      <c r="Z521" s="1" cm="1">
        <f t="array" ref="Z521">IF(D521&gt;DATE(2015,5,16),0,
K521*
(
INT((MIN(Y521,DATE(2015,5,16))-D521)/365)
+
CEILING(MOD((MIN(Y521,DATE(2015,5,16))-D521)/365,1),0.25)
)
*
_xlfn.SWITCH(J521,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21" s="1" cm="1">
        <f t="array" aca="1" ref="AA521" ca="1">IF(Y521&lt;DATE(2015,5,17),0,
K521*
(
INT((MIN(Y521,DATE(2018,9,23))-MAX(D521,DATE(2015,5,17)))/365)
+
CEILING(MOD((MIN(Y521,DATE(2018,9,23))-MAX(D521,DATE(2015,5,17)))/365,1),0.25)
)
*
_xlfn.SWITCH(J521,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21" s="1" cm="1">
        <f t="array" aca="1" ref="AB521" ca="1">IF(Y521&lt;DATE(2018,9,24),0,
IF(J521="زراعة",
K521*
(
INT((MIN(Y521,DATE(2023,4,30))-MAX(D521,DATE(2018,9,24)))/365)
+
CEILING(MOD((MIN(Y521,DATE(2023,4,30))-MAX(D521,DATE(2018,9,24)))/365,1),0.25)
)
*1,
K521*
(
DATEDIF(MAX(D521,DATE(2018,9,24)),MIN(Y521,DATE(2023,4,30)),"m")+1
)
*
_xlfn.SWITCH(J521,
"موقف/تندة",IF(D521&lt;DATE(2019,11,30),6,30),
"تشوينات",IF(D521&lt;DATE(2019,11,30),4,20),
"مشاتل",IF(D521&lt;DATE(2019,11,30),2,10),
"كافيتيريا",IF(D521&lt;DATE(2019,11,30),30,150),
"نوادي",IF(D521&lt;DATE(2019,11,30),6,30),
"رسو مراكب",IF(D521&lt;DATE(2019,11,30),2,10),
"مباني",IF(D521&lt;DATE(2018,9,24),2,10),
"عشش",IF(D521&lt;DATE(2019,11,30),2,10),
"كشك (تجاري/صناعي)",IF(D521&lt;DATE(2019,11,30),10,50),
"ردم",20,
0)))</f>
        <v>0</v>
      </c>
      <c r="AC521" s="1" cm="1">
        <f t="array" aca="1" ref="AC521" ca="1">IF(Y521&lt;DATE(2023,5,1),0,
IF(J521="زراعة",
K521*
(
INT((Y521-MAX(DATE(2023,5,1),D521))/365)
+
CEILING(MOD((Y521-MAX(DATE(2023,5,1),D521))/365,1),0.25)
)
*3,
IF(J521="ردم",
K521*20,
K521*
(
DATEDIF(MAX(DATE(2023,5,1),D521),Y521,"m")+1
)
*
_xlfn.SWITCH(J521,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21" s="1">
        <f t="shared" ca="1" si="53"/>
        <v>50</v>
      </c>
    </row>
    <row r="522" spans="1:30" ht="18.75" x14ac:dyDescent="0.25">
      <c r="A522" s="52">
        <v>475</v>
      </c>
      <c r="B522" s="6">
        <v>12</v>
      </c>
      <c r="C522" s="6">
        <v>2019</v>
      </c>
      <c r="D522" s="7">
        <v>43501</v>
      </c>
      <c r="E522" s="12"/>
      <c r="F522" s="6"/>
      <c r="G522" s="6" t="s">
        <v>683</v>
      </c>
      <c r="H522" s="6"/>
      <c r="I522" s="6" t="s">
        <v>142</v>
      </c>
      <c r="J522" s="3" t="s">
        <v>145</v>
      </c>
      <c r="K522" s="6"/>
      <c r="L522" s="3"/>
      <c r="M522" s="7"/>
      <c r="N522" s="6"/>
      <c r="O522" s="9">
        <f>0.47*Table2[[#This Row],[قيمة المحضر]]</f>
        <v>0</v>
      </c>
      <c r="P522" s="9">
        <f>0.17*Table2[[#This Row],[قيمة المحضر]]</f>
        <v>0</v>
      </c>
      <c r="Q522" s="9">
        <f t="shared" ca="1" si="47"/>
        <v>0</v>
      </c>
      <c r="R522" s="3"/>
      <c r="S522" s="3"/>
      <c r="T522" s="9" t="str">
        <f t="shared" si="50"/>
        <v>-</v>
      </c>
      <c r="U522" s="3" t="s">
        <v>25</v>
      </c>
      <c r="V522" s="9" t="str">
        <f t="shared" si="51"/>
        <v>-</v>
      </c>
      <c r="W522" s="4"/>
      <c r="X522" s="38"/>
      <c r="Y522" s="1">
        <f t="shared" ca="1" si="52"/>
        <v>46162</v>
      </c>
      <c r="Z522" s="1" cm="1">
        <f t="array" ref="Z522">IF(D522&gt;DATE(2015,5,16),0,
K522*
(
INT((MIN(Y522,DATE(2015,5,16))-D522)/365)
+
CEILING(MOD((MIN(Y522,DATE(2015,5,16))-D522)/365,1),0.25)
)
*
_xlfn.SWITCH(J522,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22" s="1" cm="1">
        <f t="array" aca="1" ref="AA522" ca="1">IF(Y522&lt;DATE(2015,5,17),0,
K522*
(
INT((MIN(Y522,DATE(2018,9,23))-MAX(D522,DATE(2015,5,17)))/365)
+
CEILING(MOD((MIN(Y522,DATE(2018,9,23))-MAX(D522,DATE(2015,5,17)))/365,1),0.25)
)
*
_xlfn.SWITCH(J522,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22" s="1" cm="1">
        <f t="array" aca="1" ref="AB522" ca="1">IF(Y522&lt;DATE(2018,9,24),0,
IF(J522="زراعة",
K522*
(
INT((MIN(Y522,DATE(2023,4,30))-MAX(D522,DATE(2018,9,24)))/365)
+
CEILING(MOD((MIN(Y522,DATE(2023,4,30))-MAX(D522,DATE(2018,9,24)))/365,1),0.25)
)
*1,
K522*
(
DATEDIF(MAX(D522,DATE(2018,9,24)),MIN(Y522,DATE(2023,4,30)),"m")+1
)
*
_xlfn.SWITCH(J522,
"موقف/تندة",IF(D522&lt;DATE(2019,11,30),6,30),
"تشوينات",IF(D522&lt;DATE(2019,11,30),4,20),
"مشاتل",IF(D522&lt;DATE(2019,11,30),2,10),
"كافيتيريا",IF(D522&lt;DATE(2019,11,30),30,150),
"نوادي",IF(D522&lt;DATE(2019,11,30),6,30),
"رسو مراكب",IF(D522&lt;DATE(2019,11,30),2,10),
"مباني",IF(D522&lt;DATE(2018,9,24),2,10),
"عشش",IF(D522&lt;DATE(2019,11,30),2,10),
"كشك (تجاري/صناعي)",IF(D522&lt;DATE(2019,11,30),10,50),
"ردم",20,
0)))</f>
        <v>0</v>
      </c>
      <c r="AC522" s="1" cm="1">
        <f t="array" aca="1" ref="AC522" ca="1">IF(Y522&lt;DATE(2023,5,1),0,
IF(J522="زراعة",
K522*
(
INT((Y522-MAX(DATE(2023,5,1),D522))/365)
+
CEILING(MOD((Y522-MAX(DATE(2023,5,1),D522))/365,1),0.25)
)
*3,
IF(J522="ردم",
K522*20,
K522*
(
DATEDIF(MAX(DATE(2023,5,1),D522),Y522,"m")+1
)
*
_xlfn.SWITCH(J522,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22" s="1">
        <f t="shared" ca="1" si="53"/>
        <v>50</v>
      </c>
    </row>
    <row r="523" spans="1:30" ht="18.75" x14ac:dyDescent="0.25">
      <c r="A523" s="52">
        <v>476</v>
      </c>
      <c r="B523" s="6">
        <v>13</v>
      </c>
      <c r="C523" s="6">
        <v>2019</v>
      </c>
      <c r="D523" s="7">
        <v>43501</v>
      </c>
      <c r="E523" s="12"/>
      <c r="F523" s="6"/>
      <c r="G523" s="6" t="s">
        <v>684</v>
      </c>
      <c r="H523" s="6"/>
      <c r="I523" s="6" t="s">
        <v>142</v>
      </c>
      <c r="J523" s="3" t="s">
        <v>145</v>
      </c>
      <c r="K523" s="6"/>
      <c r="L523" s="3"/>
      <c r="M523" s="7"/>
      <c r="N523" s="6"/>
      <c r="O523" s="9">
        <f>0.47*Table2[[#This Row],[قيمة المحضر]]</f>
        <v>0</v>
      </c>
      <c r="P523" s="9">
        <f>0.17*Table2[[#This Row],[قيمة المحضر]]</f>
        <v>0</v>
      </c>
      <c r="Q523" s="9">
        <f t="shared" ca="1" si="47"/>
        <v>0</v>
      </c>
      <c r="R523" s="3"/>
      <c r="S523" s="3"/>
      <c r="T523" s="9" t="str">
        <f t="shared" si="50"/>
        <v>-</v>
      </c>
      <c r="U523" s="3" t="s">
        <v>25</v>
      </c>
      <c r="V523" s="9" t="str">
        <f t="shared" si="51"/>
        <v>-</v>
      </c>
      <c r="W523" s="4"/>
      <c r="X523" s="38"/>
      <c r="Y523" s="1">
        <f t="shared" ca="1" si="52"/>
        <v>46162</v>
      </c>
      <c r="Z523" s="1" cm="1">
        <f t="array" ref="Z523">IF(D523&gt;DATE(2015,5,16),0,
K523*
(
INT((MIN(Y523,DATE(2015,5,16))-D523)/365)
+
CEILING(MOD((MIN(Y523,DATE(2015,5,16))-D523)/365,1),0.25)
)
*
_xlfn.SWITCH(J523,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23" s="1" cm="1">
        <f t="array" aca="1" ref="AA523" ca="1">IF(Y523&lt;DATE(2015,5,17),0,
K523*
(
INT((MIN(Y523,DATE(2018,9,23))-MAX(D523,DATE(2015,5,17)))/365)
+
CEILING(MOD((MIN(Y523,DATE(2018,9,23))-MAX(D523,DATE(2015,5,17)))/365,1),0.25)
)
*
_xlfn.SWITCH(J523,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23" s="1" cm="1">
        <f t="array" aca="1" ref="AB523" ca="1">IF(Y523&lt;DATE(2018,9,24),0,
IF(J523="زراعة",
K523*
(
INT((MIN(Y523,DATE(2023,4,30))-MAX(D523,DATE(2018,9,24)))/365)
+
CEILING(MOD((MIN(Y523,DATE(2023,4,30))-MAX(D523,DATE(2018,9,24)))/365,1),0.25)
)
*1,
K523*
(
DATEDIF(MAX(D523,DATE(2018,9,24)),MIN(Y523,DATE(2023,4,30)),"m")+1
)
*
_xlfn.SWITCH(J523,
"موقف/تندة",IF(D523&lt;DATE(2019,11,30),6,30),
"تشوينات",IF(D523&lt;DATE(2019,11,30),4,20),
"مشاتل",IF(D523&lt;DATE(2019,11,30),2,10),
"كافيتيريا",IF(D523&lt;DATE(2019,11,30),30,150),
"نوادي",IF(D523&lt;DATE(2019,11,30),6,30),
"رسو مراكب",IF(D523&lt;DATE(2019,11,30),2,10),
"مباني",IF(D523&lt;DATE(2018,9,24),2,10),
"عشش",IF(D523&lt;DATE(2019,11,30),2,10),
"كشك (تجاري/صناعي)",IF(D523&lt;DATE(2019,11,30),10,50),
"ردم",20,
0)))</f>
        <v>0</v>
      </c>
      <c r="AC523" s="1" cm="1">
        <f t="array" aca="1" ref="AC523" ca="1">IF(Y523&lt;DATE(2023,5,1),0,
IF(J523="زراعة",
K523*
(
INT((Y523-MAX(DATE(2023,5,1),D523))/365)
+
CEILING(MOD((Y523-MAX(DATE(2023,5,1),D523))/365,1),0.25)
)
*3,
IF(J523="ردم",
K523*20,
K523*
(
DATEDIF(MAX(DATE(2023,5,1),D523),Y523,"m")+1
)
*
_xlfn.SWITCH(J523,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23" s="1">
        <f t="shared" ca="1" si="53"/>
        <v>50</v>
      </c>
    </row>
    <row r="524" spans="1:30" ht="18.75" x14ac:dyDescent="0.25">
      <c r="A524" s="52">
        <v>477</v>
      </c>
      <c r="B524" s="6">
        <v>14</v>
      </c>
      <c r="C524" s="6">
        <v>2019</v>
      </c>
      <c r="D524" s="7">
        <v>43501</v>
      </c>
      <c r="E524" s="12"/>
      <c r="F524" s="6"/>
      <c r="G524" s="6" t="s">
        <v>685</v>
      </c>
      <c r="H524" s="6"/>
      <c r="I524" s="6" t="s">
        <v>142</v>
      </c>
      <c r="J524" s="3" t="s">
        <v>145</v>
      </c>
      <c r="K524" s="6"/>
      <c r="L524" s="3"/>
      <c r="M524" s="7"/>
      <c r="N524" s="6"/>
      <c r="O524" s="9">
        <f>0.47*Table2[[#This Row],[قيمة المحضر]]</f>
        <v>0</v>
      </c>
      <c r="P524" s="9">
        <f>0.17*Table2[[#This Row],[قيمة المحضر]]</f>
        <v>0</v>
      </c>
      <c r="Q524" s="9">
        <f t="shared" ca="1" si="47"/>
        <v>0</v>
      </c>
      <c r="R524" s="3"/>
      <c r="S524" s="3"/>
      <c r="T524" s="9" t="str">
        <f t="shared" si="50"/>
        <v>-</v>
      </c>
      <c r="U524" s="3" t="s">
        <v>25</v>
      </c>
      <c r="V524" s="9" t="str">
        <f t="shared" si="51"/>
        <v>-</v>
      </c>
      <c r="W524" s="4"/>
      <c r="X524" s="38"/>
      <c r="Y524" s="1">
        <f t="shared" ca="1" si="52"/>
        <v>46162</v>
      </c>
      <c r="Z524" s="1" cm="1">
        <f t="array" ref="Z524">IF(D524&gt;DATE(2015,5,16),0,
K524*
(
INT((MIN(Y524,DATE(2015,5,16))-D524)/365)
+
CEILING(MOD((MIN(Y524,DATE(2015,5,16))-D524)/365,1),0.25)
)
*
_xlfn.SWITCH(J524,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24" s="1" cm="1">
        <f t="array" aca="1" ref="AA524" ca="1">IF(Y524&lt;DATE(2015,5,17),0,
K524*
(
INT((MIN(Y524,DATE(2018,9,23))-MAX(D524,DATE(2015,5,17)))/365)
+
CEILING(MOD((MIN(Y524,DATE(2018,9,23))-MAX(D524,DATE(2015,5,17)))/365,1),0.25)
)
*
_xlfn.SWITCH(J524,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24" s="1" cm="1">
        <f t="array" aca="1" ref="AB524" ca="1">IF(Y524&lt;DATE(2018,9,24),0,
IF(J524="زراعة",
K524*
(
INT((MIN(Y524,DATE(2023,4,30))-MAX(D524,DATE(2018,9,24)))/365)
+
CEILING(MOD((MIN(Y524,DATE(2023,4,30))-MAX(D524,DATE(2018,9,24)))/365,1),0.25)
)
*1,
K524*
(
DATEDIF(MAX(D524,DATE(2018,9,24)),MIN(Y524,DATE(2023,4,30)),"m")+1
)
*
_xlfn.SWITCH(J524,
"موقف/تندة",IF(D524&lt;DATE(2019,11,30),6,30),
"تشوينات",IF(D524&lt;DATE(2019,11,30),4,20),
"مشاتل",IF(D524&lt;DATE(2019,11,30),2,10),
"كافيتيريا",IF(D524&lt;DATE(2019,11,30),30,150),
"نوادي",IF(D524&lt;DATE(2019,11,30),6,30),
"رسو مراكب",IF(D524&lt;DATE(2019,11,30),2,10),
"مباني",IF(D524&lt;DATE(2018,9,24),2,10),
"عشش",IF(D524&lt;DATE(2019,11,30),2,10),
"كشك (تجاري/صناعي)",IF(D524&lt;DATE(2019,11,30),10,50),
"ردم",20,
0)))</f>
        <v>0</v>
      </c>
      <c r="AC524" s="1" cm="1">
        <f t="array" aca="1" ref="AC524" ca="1">IF(Y524&lt;DATE(2023,5,1),0,
IF(J524="زراعة",
K524*
(
INT((Y524-MAX(DATE(2023,5,1),D524))/365)
+
CEILING(MOD((Y524-MAX(DATE(2023,5,1),D524))/365,1),0.25)
)
*3,
IF(J524="ردم",
K524*20,
K524*
(
DATEDIF(MAX(DATE(2023,5,1),D524),Y524,"m")+1
)
*
_xlfn.SWITCH(J524,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24" s="1">
        <f t="shared" ca="1" si="53"/>
        <v>50</v>
      </c>
    </row>
    <row r="525" spans="1:30" ht="18.75" x14ac:dyDescent="0.25">
      <c r="A525" s="52">
        <v>478</v>
      </c>
      <c r="B525" s="6">
        <v>15</v>
      </c>
      <c r="C525" s="6">
        <v>2019</v>
      </c>
      <c r="D525" s="7">
        <v>43501</v>
      </c>
      <c r="E525" s="12"/>
      <c r="F525" s="6"/>
      <c r="G525" s="6" t="s">
        <v>686</v>
      </c>
      <c r="H525" s="6"/>
      <c r="I525" s="6" t="s">
        <v>142</v>
      </c>
      <c r="J525" s="3" t="s">
        <v>145</v>
      </c>
      <c r="K525" s="6"/>
      <c r="L525" s="3"/>
      <c r="M525" s="7"/>
      <c r="N525" s="6"/>
      <c r="O525" s="9">
        <f>0.47*Table2[[#This Row],[قيمة المحضر]]</f>
        <v>0</v>
      </c>
      <c r="P525" s="9">
        <f>0.17*Table2[[#This Row],[قيمة المحضر]]</f>
        <v>0</v>
      </c>
      <c r="Q525" s="9">
        <f t="shared" ca="1" si="47"/>
        <v>0</v>
      </c>
      <c r="R525" s="3"/>
      <c r="S525" s="3"/>
      <c r="T525" s="9" t="str">
        <f t="shared" si="50"/>
        <v>-</v>
      </c>
      <c r="U525" s="3" t="s">
        <v>25</v>
      </c>
      <c r="V525" s="9" t="str">
        <f t="shared" si="51"/>
        <v>-</v>
      </c>
      <c r="W525" s="4"/>
      <c r="X525" s="38"/>
      <c r="Y525" s="1">
        <f t="shared" ca="1" si="52"/>
        <v>46162</v>
      </c>
      <c r="Z525" s="1" cm="1">
        <f t="array" ref="Z525">IF(D525&gt;DATE(2015,5,16),0,
K525*
(
INT((MIN(Y525,DATE(2015,5,16))-D525)/365)
+
CEILING(MOD((MIN(Y525,DATE(2015,5,16))-D525)/365,1),0.25)
)
*
_xlfn.SWITCH(J525,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25" s="1" cm="1">
        <f t="array" aca="1" ref="AA525" ca="1">IF(Y525&lt;DATE(2015,5,17),0,
K525*
(
INT((MIN(Y525,DATE(2018,9,23))-MAX(D525,DATE(2015,5,17)))/365)
+
CEILING(MOD((MIN(Y525,DATE(2018,9,23))-MAX(D525,DATE(2015,5,17)))/365,1),0.25)
)
*
_xlfn.SWITCH(J525,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25" s="1" cm="1">
        <f t="array" aca="1" ref="AB525" ca="1">IF(Y525&lt;DATE(2018,9,24),0,
IF(J525="زراعة",
K525*
(
INT((MIN(Y525,DATE(2023,4,30))-MAX(D525,DATE(2018,9,24)))/365)
+
CEILING(MOD((MIN(Y525,DATE(2023,4,30))-MAX(D525,DATE(2018,9,24)))/365,1),0.25)
)
*1,
K525*
(
DATEDIF(MAX(D525,DATE(2018,9,24)),MIN(Y525,DATE(2023,4,30)),"m")+1
)
*
_xlfn.SWITCH(J525,
"موقف/تندة",IF(D525&lt;DATE(2019,11,30),6,30),
"تشوينات",IF(D525&lt;DATE(2019,11,30),4,20),
"مشاتل",IF(D525&lt;DATE(2019,11,30),2,10),
"كافيتيريا",IF(D525&lt;DATE(2019,11,30),30,150),
"نوادي",IF(D525&lt;DATE(2019,11,30),6,30),
"رسو مراكب",IF(D525&lt;DATE(2019,11,30),2,10),
"مباني",IF(D525&lt;DATE(2018,9,24),2,10),
"عشش",IF(D525&lt;DATE(2019,11,30),2,10),
"كشك (تجاري/صناعي)",IF(D525&lt;DATE(2019,11,30),10,50),
"ردم",20,
0)))</f>
        <v>0</v>
      </c>
      <c r="AC525" s="1" cm="1">
        <f t="array" aca="1" ref="AC525" ca="1">IF(Y525&lt;DATE(2023,5,1),0,
IF(J525="زراعة",
K525*
(
INT((Y525-MAX(DATE(2023,5,1),D525))/365)
+
CEILING(MOD((Y525-MAX(DATE(2023,5,1),D525))/365,1),0.25)
)
*3,
IF(J525="ردم",
K525*20,
K525*
(
DATEDIF(MAX(DATE(2023,5,1),D525),Y525,"m")+1
)
*
_xlfn.SWITCH(J525,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25" s="1">
        <f t="shared" ca="1" si="53"/>
        <v>50</v>
      </c>
    </row>
    <row r="526" spans="1:30" ht="18.75" x14ac:dyDescent="0.25">
      <c r="A526" s="52">
        <v>479</v>
      </c>
      <c r="B526" s="6">
        <v>16</v>
      </c>
      <c r="C526" s="6">
        <v>2019</v>
      </c>
      <c r="D526" s="7">
        <v>43501</v>
      </c>
      <c r="E526" s="12"/>
      <c r="F526" s="6"/>
      <c r="G526" s="6" t="s">
        <v>687</v>
      </c>
      <c r="H526" s="6"/>
      <c r="I526" s="6" t="s">
        <v>142</v>
      </c>
      <c r="J526" s="3" t="s">
        <v>145</v>
      </c>
      <c r="K526" s="6"/>
      <c r="L526" s="3"/>
      <c r="M526" s="7"/>
      <c r="N526" s="6"/>
      <c r="O526" s="9">
        <f>0.47*Table2[[#This Row],[قيمة المحضر]]</f>
        <v>0</v>
      </c>
      <c r="P526" s="9">
        <f>0.17*Table2[[#This Row],[قيمة المحضر]]</f>
        <v>0</v>
      </c>
      <c r="Q526" s="9">
        <f t="shared" ca="1" si="47"/>
        <v>0</v>
      </c>
      <c r="R526" s="3"/>
      <c r="S526" s="3"/>
      <c r="T526" s="9" t="str">
        <f t="shared" si="50"/>
        <v>-</v>
      </c>
      <c r="U526" s="3" t="s">
        <v>25</v>
      </c>
      <c r="V526" s="9" t="str">
        <f t="shared" si="51"/>
        <v>-</v>
      </c>
      <c r="W526" s="4"/>
      <c r="X526" s="38"/>
      <c r="Y526" s="1">
        <f t="shared" ca="1" si="52"/>
        <v>46162</v>
      </c>
      <c r="Z526" s="1" cm="1">
        <f t="array" ref="Z526">IF(D526&gt;DATE(2015,5,16),0,
K526*
(
INT((MIN(Y526,DATE(2015,5,16))-D526)/365)
+
CEILING(MOD((MIN(Y526,DATE(2015,5,16))-D526)/365,1),0.25)
)
*
_xlfn.SWITCH(J526,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26" s="1" cm="1">
        <f t="array" aca="1" ref="AA526" ca="1">IF(Y526&lt;DATE(2015,5,17),0,
K526*
(
INT((MIN(Y526,DATE(2018,9,23))-MAX(D526,DATE(2015,5,17)))/365)
+
CEILING(MOD((MIN(Y526,DATE(2018,9,23))-MAX(D526,DATE(2015,5,17)))/365,1),0.25)
)
*
_xlfn.SWITCH(J526,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26" s="1" cm="1">
        <f t="array" aca="1" ref="AB526" ca="1">IF(Y526&lt;DATE(2018,9,24),0,
IF(J526="زراعة",
K526*
(
INT((MIN(Y526,DATE(2023,4,30))-MAX(D526,DATE(2018,9,24)))/365)
+
CEILING(MOD((MIN(Y526,DATE(2023,4,30))-MAX(D526,DATE(2018,9,24)))/365,1),0.25)
)
*1,
K526*
(
DATEDIF(MAX(D526,DATE(2018,9,24)),MIN(Y526,DATE(2023,4,30)),"m")+1
)
*
_xlfn.SWITCH(J526,
"موقف/تندة",IF(D526&lt;DATE(2019,11,30),6,30),
"تشوينات",IF(D526&lt;DATE(2019,11,30),4,20),
"مشاتل",IF(D526&lt;DATE(2019,11,30),2,10),
"كافيتيريا",IF(D526&lt;DATE(2019,11,30),30,150),
"نوادي",IF(D526&lt;DATE(2019,11,30),6,30),
"رسو مراكب",IF(D526&lt;DATE(2019,11,30),2,10),
"مباني",IF(D526&lt;DATE(2018,9,24),2,10),
"عشش",IF(D526&lt;DATE(2019,11,30),2,10),
"كشك (تجاري/صناعي)",IF(D526&lt;DATE(2019,11,30),10,50),
"ردم",20,
0)))</f>
        <v>0</v>
      </c>
      <c r="AC526" s="1" cm="1">
        <f t="array" aca="1" ref="AC526" ca="1">IF(Y526&lt;DATE(2023,5,1),0,
IF(J526="زراعة",
K526*
(
INT((Y526-MAX(DATE(2023,5,1),D526))/365)
+
CEILING(MOD((Y526-MAX(DATE(2023,5,1),D526))/365,1),0.25)
)
*3,
IF(J526="ردم",
K526*20,
K526*
(
DATEDIF(MAX(DATE(2023,5,1),D526),Y526,"m")+1
)
*
_xlfn.SWITCH(J526,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26" s="1">
        <f t="shared" ca="1" si="53"/>
        <v>50</v>
      </c>
    </row>
    <row r="527" spans="1:30" ht="18.75" x14ac:dyDescent="0.25">
      <c r="A527" s="52">
        <v>480</v>
      </c>
      <c r="B527" s="6">
        <v>17</v>
      </c>
      <c r="C527" s="6">
        <v>2019</v>
      </c>
      <c r="D527" s="7">
        <v>43503</v>
      </c>
      <c r="E527" s="12"/>
      <c r="F527" s="6"/>
      <c r="G527" s="6" t="s">
        <v>688</v>
      </c>
      <c r="H527" s="6"/>
      <c r="I527" s="6" t="s">
        <v>377</v>
      </c>
      <c r="J527" s="3" t="s">
        <v>27</v>
      </c>
      <c r="K527" s="6">
        <v>80</v>
      </c>
      <c r="L527" s="3"/>
      <c r="M527" s="7"/>
      <c r="N527" s="6"/>
      <c r="O527" s="9">
        <f>0.47*Table2[[#This Row],[قيمة المحضر]]</f>
        <v>0</v>
      </c>
      <c r="P527" s="9">
        <f>0.17*Table2[[#This Row],[قيمة المحضر]]</f>
        <v>0</v>
      </c>
      <c r="Q527" s="9">
        <f t="shared" ca="1" si="47"/>
        <v>49520</v>
      </c>
      <c r="R527" s="3"/>
      <c r="S527" s="3"/>
      <c r="T527" s="9" t="str">
        <f t="shared" si="50"/>
        <v>-</v>
      </c>
      <c r="U527" s="3" t="s">
        <v>25</v>
      </c>
      <c r="V527" s="9" t="str">
        <f t="shared" si="51"/>
        <v>-</v>
      </c>
      <c r="W527" s="4"/>
      <c r="X527" s="38"/>
      <c r="Y527" s="1">
        <f t="shared" ca="1" si="52"/>
        <v>46162</v>
      </c>
      <c r="Z527" s="1" cm="1">
        <f t="array" ref="Z527">IF(D527&gt;DATE(2015,5,16),0,
K527*
(
INT((MIN(Y527,DATE(2015,5,16))-D527)/365)
+
CEILING(MOD((MIN(Y527,DATE(2015,5,16))-D527)/365,1),0.25)
)
*
_xlfn.SWITCH(J527,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27" s="1" cm="1">
        <f t="array" aca="1" ref="AA527" ca="1">IF(Y527&lt;DATE(2015,5,17),0,
K527*
(
INT((MIN(Y527,DATE(2018,9,23))-MAX(D527,DATE(2015,5,17)))/365)
+
CEILING(MOD((MIN(Y527,DATE(2018,9,23))-MAX(D527,DATE(2015,5,17)))/365,1),0.25)
)
*
_xlfn.SWITCH(J527,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-160</v>
      </c>
      <c r="AB527" s="1" cm="1">
        <f t="array" aca="1" ref="AB527" ca="1">IF(Y527&lt;DATE(2018,9,24),0,
IF(J527="زراعة",
K527*
(
INT((MIN(Y527,DATE(2023,4,30))-MAX(D527,DATE(2018,9,24)))/365)
+
CEILING(MOD((MIN(Y527,DATE(2023,4,30))-MAX(D527,DATE(2018,9,24)))/365,1),0.25)
)
*1,
K527*
(
DATEDIF(MAX(D527,DATE(2018,9,24)),MIN(Y527,DATE(2023,4,30)),"m")+1
)
*
_xlfn.SWITCH(J527,
"موقف/تندة",IF(D527&lt;DATE(2019,11,30),6,30),
"تشوينات",IF(D527&lt;DATE(2019,11,30),4,20),
"مشاتل",IF(D527&lt;DATE(2019,11,30),2,10),
"كافيتيريا",IF(D527&lt;DATE(2019,11,30),30,150),
"نوادي",IF(D527&lt;DATE(2019,11,30),6,30),
"رسو مراكب",IF(D527&lt;DATE(2019,11,30),2,10),
"مباني",IF(D527&lt;DATE(2018,9,24),2,10),
"عشش",IF(D527&lt;DATE(2019,11,30),2,10),
"كشك (تجاري/صناعي)",IF(D527&lt;DATE(2019,11,30),10,50),
"ردم",20,
0)))</f>
        <v>40800</v>
      </c>
      <c r="AC527" s="1" cm="1">
        <f t="array" aca="1" ref="AC527" ca="1">IF(Y527&lt;DATE(2023,5,1),0,
IF(J527="زراعة",
K527*
(
INT((Y527-MAX(DATE(2023,5,1),D527))/365)
+
CEILING(MOD((Y527-MAX(DATE(2023,5,1),D527))/365,1),0.25)
)
*3,
IF(J527="ردم",
K527*20,
K527*
(
DATEDIF(MAX(DATE(2023,5,1),D527),Y527,"m")+1
)
*
_xlfn.SWITCH(J527,
"موقف/تندة",6,
"تشوينات",4,
"مشاتل",2,
"رسو مراكب",6,
"مباني",3,
"عشش",1,
"كشك (تجاري/صناعي)",20,
"مواسير صرف صحي (&lt;1م)",16,
"مواسير صرف صحي (&gt;1م)",18,
0))))</f>
        <v>8880</v>
      </c>
      <c r="AD527" s="1">
        <f t="shared" ca="1" si="53"/>
        <v>50</v>
      </c>
    </row>
    <row r="528" spans="1:30" ht="18.75" x14ac:dyDescent="0.25">
      <c r="A528" s="52">
        <v>481</v>
      </c>
      <c r="B528" s="6">
        <v>18</v>
      </c>
      <c r="C528" s="6">
        <v>2019</v>
      </c>
      <c r="D528" s="7">
        <v>43503</v>
      </c>
      <c r="E528" s="12"/>
      <c r="F528" s="6"/>
      <c r="G528" s="6" t="s">
        <v>689</v>
      </c>
      <c r="H528" s="6"/>
      <c r="I528" s="6" t="s">
        <v>372</v>
      </c>
      <c r="J528" s="3" t="s">
        <v>145</v>
      </c>
      <c r="K528" s="6"/>
      <c r="L528" s="3"/>
      <c r="M528" s="7"/>
      <c r="N528" s="6"/>
      <c r="O528" s="9">
        <f>0.47*Table2[[#This Row],[قيمة المحضر]]</f>
        <v>0</v>
      </c>
      <c r="P528" s="9">
        <f>0.17*Table2[[#This Row],[قيمة المحضر]]</f>
        <v>0</v>
      </c>
      <c r="Q528" s="9">
        <f t="shared" ca="1" si="47"/>
        <v>0</v>
      </c>
      <c r="R528" s="3"/>
      <c r="S528" s="3"/>
      <c r="T528" s="9" t="str">
        <f t="shared" si="50"/>
        <v>-</v>
      </c>
      <c r="U528" s="3" t="s">
        <v>25</v>
      </c>
      <c r="V528" s="9" t="str">
        <f t="shared" si="51"/>
        <v>-</v>
      </c>
      <c r="W528" s="4"/>
      <c r="X528" s="38"/>
      <c r="Y528" s="1">
        <f t="shared" ca="1" si="52"/>
        <v>46162</v>
      </c>
      <c r="Z528" s="1" cm="1">
        <f t="array" ref="Z528">IF(D528&gt;DATE(2015,5,16),0,
K528*
(
INT((MIN(Y528,DATE(2015,5,16))-D528)/365)
+
CEILING(MOD((MIN(Y528,DATE(2015,5,16))-D528)/365,1),0.25)
)
*
_xlfn.SWITCH(J528,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28" s="1" cm="1">
        <f t="array" aca="1" ref="AA528" ca="1">IF(Y528&lt;DATE(2015,5,17),0,
K528*
(
INT((MIN(Y528,DATE(2018,9,23))-MAX(D528,DATE(2015,5,17)))/365)
+
CEILING(MOD((MIN(Y528,DATE(2018,9,23))-MAX(D528,DATE(2015,5,17)))/365,1),0.25)
)
*
_xlfn.SWITCH(J528,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28" s="1" cm="1">
        <f t="array" aca="1" ref="AB528" ca="1">IF(Y528&lt;DATE(2018,9,24),0,
IF(J528="زراعة",
K528*
(
INT((MIN(Y528,DATE(2023,4,30))-MAX(D528,DATE(2018,9,24)))/365)
+
CEILING(MOD((MIN(Y528,DATE(2023,4,30))-MAX(D528,DATE(2018,9,24)))/365,1),0.25)
)
*1,
K528*
(
DATEDIF(MAX(D528,DATE(2018,9,24)),MIN(Y528,DATE(2023,4,30)),"m")+1
)
*
_xlfn.SWITCH(J528,
"موقف/تندة",IF(D528&lt;DATE(2019,11,30),6,30),
"تشوينات",IF(D528&lt;DATE(2019,11,30),4,20),
"مشاتل",IF(D528&lt;DATE(2019,11,30),2,10),
"كافيتيريا",IF(D528&lt;DATE(2019,11,30),30,150),
"نوادي",IF(D528&lt;DATE(2019,11,30),6,30),
"رسو مراكب",IF(D528&lt;DATE(2019,11,30),2,10),
"مباني",IF(D528&lt;DATE(2018,9,24),2,10),
"عشش",IF(D528&lt;DATE(2019,11,30),2,10),
"كشك (تجاري/صناعي)",IF(D528&lt;DATE(2019,11,30),10,50),
"ردم",20,
0)))</f>
        <v>0</v>
      </c>
      <c r="AC528" s="1" cm="1">
        <f t="array" aca="1" ref="AC528" ca="1">IF(Y528&lt;DATE(2023,5,1),0,
IF(J528="زراعة",
K528*
(
INT((Y528-MAX(DATE(2023,5,1),D528))/365)
+
CEILING(MOD((Y528-MAX(DATE(2023,5,1),D528))/365,1),0.25)
)
*3,
IF(J528="ردم",
K528*20,
K528*
(
DATEDIF(MAX(DATE(2023,5,1),D528),Y528,"m")+1
)
*
_xlfn.SWITCH(J528,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28" s="1">
        <f t="shared" ca="1" si="53"/>
        <v>50</v>
      </c>
    </row>
    <row r="529" spans="1:30" ht="18.75" x14ac:dyDescent="0.25">
      <c r="A529" s="52">
        <v>482</v>
      </c>
      <c r="B529" s="6">
        <v>19</v>
      </c>
      <c r="C529" s="6">
        <v>2019</v>
      </c>
      <c r="D529" s="7">
        <v>43503</v>
      </c>
      <c r="E529" s="12"/>
      <c r="F529" s="6"/>
      <c r="G529" s="6" t="s">
        <v>690</v>
      </c>
      <c r="H529" s="6"/>
      <c r="I529" s="6" t="s">
        <v>372</v>
      </c>
      <c r="J529" s="3" t="s">
        <v>145</v>
      </c>
      <c r="K529" s="6"/>
      <c r="L529" s="3"/>
      <c r="M529" s="7"/>
      <c r="N529" s="6"/>
      <c r="O529" s="9">
        <f>0.47*Table2[[#This Row],[قيمة المحضر]]</f>
        <v>0</v>
      </c>
      <c r="P529" s="9">
        <f>0.17*Table2[[#This Row],[قيمة المحضر]]</f>
        <v>0</v>
      </c>
      <c r="Q529" s="9">
        <f t="shared" ca="1" si="47"/>
        <v>0</v>
      </c>
      <c r="R529" s="3"/>
      <c r="S529" s="3"/>
      <c r="T529" s="9" t="str">
        <f t="shared" si="50"/>
        <v>-</v>
      </c>
      <c r="U529" s="3" t="s">
        <v>25</v>
      </c>
      <c r="V529" s="9" t="str">
        <f t="shared" si="51"/>
        <v>-</v>
      </c>
      <c r="W529" s="4"/>
      <c r="X529" s="38"/>
      <c r="Y529" s="1">
        <f t="shared" ca="1" si="52"/>
        <v>46162</v>
      </c>
      <c r="Z529" s="1" cm="1">
        <f t="array" ref="Z529">IF(D529&gt;DATE(2015,5,16),0,
K529*
(
INT((MIN(Y529,DATE(2015,5,16))-D529)/365)
+
CEILING(MOD((MIN(Y529,DATE(2015,5,16))-D529)/365,1),0.25)
)
*
_xlfn.SWITCH(J529,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29" s="1" cm="1">
        <f t="array" aca="1" ref="AA529" ca="1">IF(Y529&lt;DATE(2015,5,17),0,
K529*
(
INT((MIN(Y529,DATE(2018,9,23))-MAX(D529,DATE(2015,5,17)))/365)
+
CEILING(MOD((MIN(Y529,DATE(2018,9,23))-MAX(D529,DATE(2015,5,17)))/365,1),0.25)
)
*
_xlfn.SWITCH(J529,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29" s="1" cm="1">
        <f t="array" aca="1" ref="AB529" ca="1">IF(Y529&lt;DATE(2018,9,24),0,
IF(J529="زراعة",
K529*
(
INT((MIN(Y529,DATE(2023,4,30))-MAX(D529,DATE(2018,9,24)))/365)
+
CEILING(MOD((MIN(Y529,DATE(2023,4,30))-MAX(D529,DATE(2018,9,24)))/365,1),0.25)
)
*1,
K529*
(
DATEDIF(MAX(D529,DATE(2018,9,24)),MIN(Y529,DATE(2023,4,30)),"m")+1
)
*
_xlfn.SWITCH(J529,
"موقف/تندة",IF(D529&lt;DATE(2019,11,30),6,30),
"تشوينات",IF(D529&lt;DATE(2019,11,30),4,20),
"مشاتل",IF(D529&lt;DATE(2019,11,30),2,10),
"كافيتيريا",IF(D529&lt;DATE(2019,11,30),30,150),
"نوادي",IF(D529&lt;DATE(2019,11,30),6,30),
"رسو مراكب",IF(D529&lt;DATE(2019,11,30),2,10),
"مباني",IF(D529&lt;DATE(2018,9,24),2,10),
"عشش",IF(D529&lt;DATE(2019,11,30),2,10),
"كشك (تجاري/صناعي)",IF(D529&lt;DATE(2019,11,30),10,50),
"ردم",20,
0)))</f>
        <v>0</v>
      </c>
      <c r="AC529" s="1" cm="1">
        <f t="array" aca="1" ref="AC529" ca="1">IF(Y529&lt;DATE(2023,5,1),0,
IF(J529="زراعة",
K529*
(
INT((Y529-MAX(DATE(2023,5,1),D529))/365)
+
CEILING(MOD((Y529-MAX(DATE(2023,5,1),D529))/365,1),0.25)
)
*3,
IF(J529="ردم",
K529*20,
K529*
(
DATEDIF(MAX(DATE(2023,5,1),D529),Y529,"m")+1
)
*
_xlfn.SWITCH(J529,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29" s="1">
        <f t="shared" ca="1" si="53"/>
        <v>50</v>
      </c>
    </row>
    <row r="530" spans="1:30" ht="18.75" x14ac:dyDescent="0.25">
      <c r="A530" s="52">
        <v>483</v>
      </c>
      <c r="B530" s="6">
        <v>20</v>
      </c>
      <c r="C530" s="6">
        <v>2019</v>
      </c>
      <c r="D530" s="7">
        <v>43503</v>
      </c>
      <c r="E530" s="12"/>
      <c r="F530" s="6"/>
      <c r="G530" s="6" t="s">
        <v>691</v>
      </c>
      <c r="H530" s="6"/>
      <c r="I530" s="6" t="s">
        <v>372</v>
      </c>
      <c r="J530" s="3" t="s">
        <v>145</v>
      </c>
      <c r="K530" s="6"/>
      <c r="L530" s="3"/>
      <c r="M530" s="7"/>
      <c r="N530" s="6"/>
      <c r="O530" s="9">
        <f>0.47*Table2[[#This Row],[قيمة المحضر]]</f>
        <v>0</v>
      </c>
      <c r="P530" s="9">
        <f>0.17*Table2[[#This Row],[قيمة المحضر]]</f>
        <v>0</v>
      </c>
      <c r="Q530" s="9">
        <f t="shared" ca="1" si="47"/>
        <v>0</v>
      </c>
      <c r="R530" s="3"/>
      <c r="S530" s="3"/>
      <c r="T530" s="9" t="str">
        <f t="shared" si="50"/>
        <v>-</v>
      </c>
      <c r="U530" s="3" t="s">
        <v>25</v>
      </c>
      <c r="V530" s="9" t="str">
        <f t="shared" si="51"/>
        <v>-</v>
      </c>
      <c r="W530" s="4"/>
      <c r="X530" s="38"/>
      <c r="Y530" s="1">
        <f t="shared" ca="1" si="52"/>
        <v>46162</v>
      </c>
      <c r="Z530" s="1" cm="1">
        <f t="array" ref="Z530">IF(D530&gt;DATE(2015,5,16),0,
K530*
(
INT((MIN(Y530,DATE(2015,5,16))-D530)/365)
+
CEILING(MOD((MIN(Y530,DATE(2015,5,16))-D530)/365,1),0.25)
)
*
_xlfn.SWITCH(J530,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30" s="1" cm="1">
        <f t="array" aca="1" ref="AA530" ca="1">IF(Y530&lt;DATE(2015,5,17),0,
K530*
(
INT((MIN(Y530,DATE(2018,9,23))-MAX(D530,DATE(2015,5,17)))/365)
+
CEILING(MOD((MIN(Y530,DATE(2018,9,23))-MAX(D530,DATE(2015,5,17)))/365,1),0.25)
)
*
_xlfn.SWITCH(J530,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30" s="1" cm="1">
        <f t="array" aca="1" ref="AB530" ca="1">IF(Y530&lt;DATE(2018,9,24),0,
IF(J530="زراعة",
K530*
(
INT((MIN(Y530,DATE(2023,4,30))-MAX(D530,DATE(2018,9,24)))/365)
+
CEILING(MOD((MIN(Y530,DATE(2023,4,30))-MAX(D530,DATE(2018,9,24)))/365,1),0.25)
)
*1,
K530*
(
DATEDIF(MAX(D530,DATE(2018,9,24)),MIN(Y530,DATE(2023,4,30)),"m")+1
)
*
_xlfn.SWITCH(J530,
"موقف/تندة",IF(D530&lt;DATE(2019,11,30),6,30),
"تشوينات",IF(D530&lt;DATE(2019,11,30),4,20),
"مشاتل",IF(D530&lt;DATE(2019,11,30),2,10),
"كافيتيريا",IF(D530&lt;DATE(2019,11,30),30,150),
"نوادي",IF(D530&lt;DATE(2019,11,30),6,30),
"رسو مراكب",IF(D530&lt;DATE(2019,11,30),2,10),
"مباني",IF(D530&lt;DATE(2018,9,24),2,10),
"عشش",IF(D530&lt;DATE(2019,11,30),2,10),
"كشك (تجاري/صناعي)",IF(D530&lt;DATE(2019,11,30),10,50),
"ردم",20,
0)))</f>
        <v>0</v>
      </c>
      <c r="AC530" s="1" cm="1">
        <f t="array" aca="1" ref="AC530" ca="1">IF(Y530&lt;DATE(2023,5,1),0,
IF(J530="زراعة",
K530*
(
INT((Y530-MAX(DATE(2023,5,1),D530))/365)
+
CEILING(MOD((Y530-MAX(DATE(2023,5,1),D530))/365,1),0.25)
)
*3,
IF(J530="ردم",
K530*20,
K530*
(
DATEDIF(MAX(DATE(2023,5,1),D530),Y530,"m")+1
)
*
_xlfn.SWITCH(J530,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30" s="1">
        <f t="shared" ca="1" si="53"/>
        <v>50</v>
      </c>
    </row>
    <row r="531" spans="1:30" ht="18.75" x14ac:dyDescent="0.25">
      <c r="A531" s="52">
        <v>484</v>
      </c>
      <c r="B531" s="6">
        <v>21</v>
      </c>
      <c r="C531" s="6">
        <v>2019</v>
      </c>
      <c r="D531" s="7">
        <v>43507</v>
      </c>
      <c r="E531" s="12"/>
      <c r="F531" s="6"/>
      <c r="G531" s="6" t="s">
        <v>692</v>
      </c>
      <c r="H531" s="6"/>
      <c r="I531" s="6" t="s">
        <v>103</v>
      </c>
      <c r="J531" s="3" t="s">
        <v>77</v>
      </c>
      <c r="K531" s="6">
        <v>15</v>
      </c>
      <c r="L531" s="3"/>
      <c r="M531" s="7"/>
      <c r="N531" s="6"/>
      <c r="O531" s="9">
        <f>0.47*Table2[[#This Row],[قيمة المحضر]]</f>
        <v>0</v>
      </c>
      <c r="P531" s="9">
        <f>0.17*Table2[[#This Row],[قيمة المحضر]]</f>
        <v>0</v>
      </c>
      <c r="Q531" s="9">
        <f t="shared" ca="1" si="47"/>
        <v>15525</v>
      </c>
      <c r="R531" s="3"/>
      <c r="S531" s="3"/>
      <c r="T531" s="9" t="str">
        <f t="shared" si="50"/>
        <v>-</v>
      </c>
      <c r="U531" s="3" t="s">
        <v>25</v>
      </c>
      <c r="V531" s="9" t="str">
        <f t="shared" si="51"/>
        <v>-</v>
      </c>
      <c r="W531" s="4"/>
      <c r="X531" s="38"/>
      <c r="Y531" s="1">
        <f t="shared" ca="1" si="52"/>
        <v>46162</v>
      </c>
      <c r="Z531" s="1" cm="1">
        <f t="array" ref="Z531">IF(D531&gt;DATE(2015,5,16),0,
K531*
(
INT((MIN(Y531,DATE(2015,5,16))-D531)/365)
+
CEILING(MOD((MIN(Y531,DATE(2015,5,16))-D531)/365,1),0.25)
)
*
_xlfn.SWITCH(J531,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31" s="1" cm="1">
        <f t="array" aca="1" ref="AA531" ca="1">IF(Y531&lt;DATE(2015,5,17),0,
K531*
(
INT((MIN(Y531,DATE(2018,9,23))-MAX(D531,DATE(2015,5,17)))/365)
+
CEILING(MOD((MIN(Y531,DATE(2018,9,23))-MAX(D531,DATE(2015,5,17)))/365,1),0.25)
)
*
_xlfn.SWITCH(J531,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-75</v>
      </c>
      <c r="AB531" s="1" cm="1">
        <f t="array" aca="1" ref="AB531" ca="1">IF(Y531&lt;DATE(2018,9,24),0,
IF(J531="زراعة",
K531*
(
INT((MIN(Y531,DATE(2023,4,30))-MAX(D531,DATE(2018,9,24)))/365)
+
CEILING(MOD((MIN(Y531,DATE(2023,4,30))-MAX(D531,DATE(2018,9,24)))/365,1),0.25)
)
*1,
K531*
(
DATEDIF(MAX(D531,DATE(2018,9,24)),MIN(Y531,DATE(2023,4,30)),"m")+1
)
*
_xlfn.SWITCH(J531,
"موقف/تندة",IF(D531&lt;DATE(2019,11,30),6,30),
"تشوينات",IF(D531&lt;DATE(2019,11,30),4,20),
"مشاتل",IF(D531&lt;DATE(2019,11,30),2,10),
"كافيتيريا",IF(D531&lt;DATE(2019,11,30),30,150),
"نوادي",IF(D531&lt;DATE(2019,11,30),6,30),
"رسو مراكب",IF(D531&lt;DATE(2019,11,30),2,10),
"مباني",IF(D531&lt;DATE(2018,9,24),2,10),
"عشش",IF(D531&lt;DATE(2019,11,30),2,10),
"كشك (تجاري/صناعي)",IF(D531&lt;DATE(2019,11,30),10,50),
"ردم",20,
0)))</f>
        <v>15300</v>
      </c>
      <c r="AC531" s="1" cm="1">
        <f t="array" aca="1" ref="AC531" ca="1">IF(Y531&lt;DATE(2023,5,1),0,
IF(J531="زراعة",
K531*
(
INT((Y531-MAX(DATE(2023,5,1),D531))/365)
+
CEILING(MOD((Y531-MAX(DATE(2023,5,1),D531))/365,1),0.25)
)
*3,
IF(J531="ردم",
K531*20,
K531*
(
DATEDIF(MAX(DATE(2023,5,1),D531),Y531,"m")+1
)
*
_xlfn.SWITCH(J531,
"موقف/تندة",6,
"تشوينات",4,
"مشاتل",2,
"رسو مراكب",6,
"مباني",3,
"عشش",1,
"كشك (تجاري/صناعي)",20,
"مواسير صرف صحي (&lt;1م)",16,
"مواسير صرف صحي (&gt;1م)",18,
0))))</f>
        <v>300</v>
      </c>
      <c r="AD531" s="1">
        <f t="shared" ca="1" si="53"/>
        <v>50</v>
      </c>
    </row>
    <row r="532" spans="1:30" ht="18.75" x14ac:dyDescent="0.25">
      <c r="A532" s="52">
        <v>485</v>
      </c>
      <c r="B532" s="6">
        <v>22</v>
      </c>
      <c r="C532" s="6">
        <v>2019</v>
      </c>
      <c r="D532" s="7">
        <v>43509</v>
      </c>
      <c r="E532" s="12"/>
      <c r="F532" s="6"/>
      <c r="G532" s="6" t="s">
        <v>693</v>
      </c>
      <c r="H532" s="6"/>
      <c r="I532" s="6" t="s">
        <v>144</v>
      </c>
      <c r="J532" s="3" t="s">
        <v>194</v>
      </c>
      <c r="K532" s="6"/>
      <c r="L532" s="3"/>
      <c r="M532" s="7"/>
      <c r="N532" s="6"/>
      <c r="O532" s="9">
        <f>0.47*Table2[[#This Row],[قيمة المحضر]]</f>
        <v>0</v>
      </c>
      <c r="P532" s="9">
        <f>0.17*Table2[[#This Row],[قيمة المحضر]]</f>
        <v>0</v>
      </c>
      <c r="Q532" s="9">
        <f t="shared" ca="1" si="47"/>
        <v>0</v>
      </c>
      <c r="R532" s="3"/>
      <c r="S532" s="3"/>
      <c r="T532" s="9" t="str">
        <f t="shared" si="50"/>
        <v>-</v>
      </c>
      <c r="U532" s="3" t="s">
        <v>25</v>
      </c>
      <c r="V532" s="9" t="str">
        <f t="shared" si="51"/>
        <v>-</v>
      </c>
      <c r="W532" s="4"/>
      <c r="X532" s="38"/>
      <c r="Y532" s="1">
        <f t="shared" ca="1" si="52"/>
        <v>46162</v>
      </c>
      <c r="Z532" s="1" cm="1">
        <f t="array" ref="Z532">IF(D532&gt;DATE(2015,5,16),0,
K532*
(
INT((MIN(Y532,DATE(2015,5,16))-D532)/365)
+
CEILING(MOD((MIN(Y532,DATE(2015,5,16))-D532)/365,1),0.25)
)
*
_xlfn.SWITCH(J532,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32" s="1" cm="1">
        <f t="array" aca="1" ref="AA532" ca="1">IF(Y532&lt;DATE(2015,5,17),0,
K532*
(
INT((MIN(Y532,DATE(2018,9,23))-MAX(D532,DATE(2015,5,17)))/365)
+
CEILING(MOD((MIN(Y532,DATE(2018,9,23))-MAX(D532,DATE(2015,5,17)))/365,1),0.25)
)
*
_xlfn.SWITCH(J532,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32" s="1" cm="1">
        <f t="array" aca="1" ref="AB532" ca="1">IF(Y532&lt;DATE(2018,9,24),0,
IF(J532="زراعة",
K532*
(
INT((MIN(Y532,DATE(2023,4,30))-MAX(D532,DATE(2018,9,24)))/365)
+
CEILING(MOD((MIN(Y532,DATE(2023,4,30))-MAX(D532,DATE(2018,9,24)))/365,1),0.25)
)
*1,
K532*
(
DATEDIF(MAX(D532,DATE(2018,9,24)),MIN(Y532,DATE(2023,4,30)),"m")+1
)
*
_xlfn.SWITCH(J532,
"موقف/تندة",IF(D532&lt;DATE(2019,11,30),6,30),
"تشوينات",IF(D532&lt;DATE(2019,11,30),4,20),
"مشاتل",IF(D532&lt;DATE(2019,11,30),2,10),
"كافيتيريا",IF(D532&lt;DATE(2019,11,30),30,150),
"نوادي",IF(D532&lt;DATE(2019,11,30),6,30),
"رسو مراكب",IF(D532&lt;DATE(2019,11,30),2,10),
"مباني",IF(D532&lt;DATE(2018,9,24),2,10),
"عشش",IF(D532&lt;DATE(2019,11,30),2,10),
"كشك (تجاري/صناعي)",IF(D532&lt;DATE(2019,11,30),10,50),
"ردم",20,
0)))</f>
        <v>0</v>
      </c>
      <c r="AC532" s="1" cm="1">
        <f t="array" aca="1" ref="AC532" ca="1">IF(Y532&lt;DATE(2023,5,1),0,
IF(J532="زراعة",
K532*
(
INT((Y532-MAX(DATE(2023,5,1),D532))/365)
+
CEILING(MOD((Y532-MAX(DATE(2023,5,1),D532))/365,1),0.25)
)
*3,
IF(J532="ردم",
K532*20,
K532*
(
DATEDIF(MAX(DATE(2023,5,1),D532),Y532,"m")+1
)
*
_xlfn.SWITCH(J532,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32" s="1">
        <f t="shared" ca="1" si="53"/>
        <v>50</v>
      </c>
    </row>
    <row r="533" spans="1:30" ht="18.75" x14ac:dyDescent="0.25">
      <c r="A533" s="52">
        <v>486</v>
      </c>
      <c r="B533" s="82">
        <v>23</v>
      </c>
      <c r="C533" s="6">
        <v>2019</v>
      </c>
      <c r="D533" s="7">
        <v>43509</v>
      </c>
      <c r="E533" s="12"/>
      <c r="F533" s="6"/>
      <c r="G533" s="6" t="s">
        <v>694</v>
      </c>
      <c r="H533" s="6"/>
      <c r="I533" s="6" t="s">
        <v>144</v>
      </c>
      <c r="J533" s="3" t="s">
        <v>106</v>
      </c>
      <c r="K533" s="6"/>
      <c r="L533" s="3"/>
      <c r="M533" s="7"/>
      <c r="N533" s="6"/>
      <c r="O533" s="9">
        <f>0.47*Table2[[#This Row],[قيمة المحضر]]</f>
        <v>0</v>
      </c>
      <c r="P533" s="9">
        <f>0.17*Table2[[#This Row],[قيمة المحضر]]</f>
        <v>0</v>
      </c>
      <c r="Q533" s="9">
        <f t="shared" ca="1" si="47"/>
        <v>0</v>
      </c>
      <c r="R533" s="3"/>
      <c r="S533" s="3"/>
      <c r="T533" s="9" t="str">
        <f t="shared" si="50"/>
        <v>-</v>
      </c>
      <c r="U533" s="3" t="s">
        <v>25</v>
      </c>
      <c r="V533" s="9" t="str">
        <f t="shared" si="51"/>
        <v>-</v>
      </c>
      <c r="W533" s="4"/>
      <c r="X533" s="38"/>
      <c r="Y533" s="1">
        <f t="shared" ca="1" si="52"/>
        <v>46162</v>
      </c>
      <c r="Z533" s="1" cm="1">
        <f t="array" ref="Z533">IF(D533&gt;DATE(2015,5,16),0,
K533*
(
INT((MIN(Y533,DATE(2015,5,16))-D533)/365)
+
CEILING(MOD((MIN(Y533,DATE(2015,5,16))-D533)/365,1),0.25)
)
*
_xlfn.SWITCH(J533,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33" s="1" cm="1">
        <f t="array" aca="1" ref="AA533" ca="1">IF(Y533&lt;DATE(2015,5,17),0,
K533*
(
INT((MIN(Y533,DATE(2018,9,23))-MAX(D533,DATE(2015,5,17)))/365)
+
CEILING(MOD((MIN(Y533,DATE(2018,9,23))-MAX(D533,DATE(2015,5,17)))/365,1),0.25)
)
*
_xlfn.SWITCH(J533,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33" s="1" cm="1">
        <f t="array" aca="1" ref="AB533" ca="1">IF(Y533&lt;DATE(2018,9,24),0,
IF(J533="زراعة",
K533*
(
INT((MIN(Y533,DATE(2023,4,30))-MAX(D533,DATE(2018,9,24)))/365)
+
CEILING(MOD((MIN(Y533,DATE(2023,4,30))-MAX(D533,DATE(2018,9,24)))/365,1),0.25)
)
*1,
K533*
(
DATEDIF(MAX(D533,DATE(2018,9,24)),MIN(Y533,DATE(2023,4,30)),"m")+1
)
*
_xlfn.SWITCH(J533,
"موقف/تندة",IF(D533&lt;DATE(2019,11,30),6,30),
"تشوينات",IF(D533&lt;DATE(2019,11,30),4,20),
"مشاتل",IF(D533&lt;DATE(2019,11,30),2,10),
"كافيتيريا",IF(D533&lt;DATE(2019,11,30),30,150),
"نوادي",IF(D533&lt;DATE(2019,11,30),6,30),
"رسو مراكب",IF(D533&lt;DATE(2019,11,30),2,10),
"مباني",IF(D533&lt;DATE(2018,9,24),2,10),
"عشش",IF(D533&lt;DATE(2019,11,30),2,10),
"كشك (تجاري/صناعي)",IF(D533&lt;DATE(2019,11,30),10,50),
"ردم",20,
0)))</f>
        <v>0</v>
      </c>
      <c r="AC533" s="1" cm="1">
        <f t="array" aca="1" ref="AC533" ca="1">IF(Y533&lt;DATE(2023,5,1),0,
IF(J533="زراعة",
K533*
(
INT((Y533-MAX(DATE(2023,5,1),D533))/365)
+
CEILING(MOD((Y533-MAX(DATE(2023,5,1),D533))/365,1),0.25)
)
*3,
IF(J533="ردم",
K533*20,
K533*
(
DATEDIF(MAX(DATE(2023,5,1),D533),Y533,"m")+1
)
*
_xlfn.SWITCH(J533,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33" s="1">
        <f t="shared" ca="1" si="53"/>
        <v>50</v>
      </c>
    </row>
    <row r="534" spans="1:30" ht="18.75" x14ac:dyDescent="0.25">
      <c r="A534" s="84">
        <v>486</v>
      </c>
      <c r="B534" s="82">
        <v>23</v>
      </c>
      <c r="C534" s="6">
        <v>2019</v>
      </c>
      <c r="D534" s="7">
        <v>43509</v>
      </c>
      <c r="E534" s="12"/>
      <c r="F534" s="6"/>
      <c r="G534" s="6" t="s">
        <v>694</v>
      </c>
      <c r="H534" s="6"/>
      <c r="I534" s="6" t="s">
        <v>144</v>
      </c>
      <c r="J534" s="3" t="s">
        <v>194</v>
      </c>
      <c r="K534" s="6"/>
      <c r="L534" s="3"/>
      <c r="M534" s="7"/>
      <c r="N534" s="6"/>
      <c r="O534" s="9">
        <f>0.47*Table2[[#This Row],[قيمة المحضر]]</f>
        <v>0</v>
      </c>
      <c r="P534" s="9">
        <f>0.17*Table2[[#This Row],[قيمة المحضر]]</f>
        <v>0</v>
      </c>
      <c r="Q534" s="9">
        <f t="shared" ca="1" si="47"/>
        <v>0</v>
      </c>
      <c r="R534" s="3"/>
      <c r="S534" s="3"/>
      <c r="T534" s="9" t="str">
        <f t="shared" si="50"/>
        <v>-</v>
      </c>
      <c r="U534" s="3" t="s">
        <v>25</v>
      </c>
      <c r="V534" s="9" t="str">
        <f t="shared" si="51"/>
        <v>-</v>
      </c>
      <c r="W534" s="4"/>
      <c r="X534" s="38"/>
      <c r="Y534" s="1">
        <f t="shared" ca="1" si="52"/>
        <v>46162</v>
      </c>
      <c r="Z534" s="1" cm="1">
        <f t="array" ref="Z534">IF(D534&gt;DATE(2015,5,16),0,
K534*
(
INT((MIN(Y534,DATE(2015,5,16))-D534)/365)
+
CEILING(MOD((MIN(Y534,DATE(2015,5,16))-D534)/365,1),0.25)
)
*
_xlfn.SWITCH(J534,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34" s="1" cm="1">
        <f t="array" aca="1" ref="AA534" ca="1">IF(Y534&lt;DATE(2015,5,17),0,
K534*
(
INT((MIN(Y534,DATE(2018,9,23))-MAX(D534,DATE(2015,5,17)))/365)
+
CEILING(MOD((MIN(Y534,DATE(2018,9,23))-MAX(D534,DATE(2015,5,17)))/365,1),0.25)
)
*
_xlfn.SWITCH(J534,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34" s="1" cm="1">
        <f t="array" aca="1" ref="AB534" ca="1">IF(Y534&lt;DATE(2018,9,24),0,
IF(J534="زراعة",
K534*
(
INT((MIN(Y534,DATE(2023,4,30))-MAX(D534,DATE(2018,9,24)))/365)
+
CEILING(MOD((MIN(Y534,DATE(2023,4,30))-MAX(D534,DATE(2018,9,24)))/365,1),0.25)
)
*1,
K534*
(
DATEDIF(MAX(D534,DATE(2018,9,24)),MIN(Y534,DATE(2023,4,30)),"m")+1
)
*
_xlfn.SWITCH(J534,
"موقف/تندة",IF(D534&lt;DATE(2019,11,30),6,30),
"تشوينات",IF(D534&lt;DATE(2019,11,30),4,20),
"مشاتل",IF(D534&lt;DATE(2019,11,30),2,10),
"كافيتيريا",IF(D534&lt;DATE(2019,11,30),30,150),
"نوادي",IF(D534&lt;DATE(2019,11,30),6,30),
"رسو مراكب",IF(D534&lt;DATE(2019,11,30),2,10),
"مباني",IF(D534&lt;DATE(2018,9,24),2,10),
"عشش",IF(D534&lt;DATE(2019,11,30),2,10),
"كشك (تجاري/صناعي)",IF(D534&lt;DATE(2019,11,30),10,50),
"ردم",20,
0)))</f>
        <v>0</v>
      </c>
      <c r="AC534" s="1" cm="1">
        <f t="array" aca="1" ref="AC534" ca="1">IF(Y534&lt;DATE(2023,5,1),0,
IF(J534="زراعة",
K534*
(
INT((Y534-MAX(DATE(2023,5,1),D534))/365)
+
CEILING(MOD((Y534-MAX(DATE(2023,5,1),D534))/365,1),0.25)
)
*3,
IF(J534="ردم",
K534*20,
K534*
(
DATEDIF(MAX(DATE(2023,5,1),D534),Y534,"m")+1
)
*
_xlfn.SWITCH(J534,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34" s="1">
        <f t="shared" ca="1" si="53"/>
        <v>50</v>
      </c>
    </row>
    <row r="535" spans="1:30" ht="18.75" x14ac:dyDescent="0.25">
      <c r="A535" s="84">
        <v>487</v>
      </c>
      <c r="B535" s="82">
        <v>24</v>
      </c>
      <c r="C535" s="6">
        <v>2019</v>
      </c>
      <c r="D535" s="7">
        <v>43509</v>
      </c>
      <c r="E535" s="12"/>
      <c r="F535" s="6"/>
      <c r="G535" s="6" t="s">
        <v>695</v>
      </c>
      <c r="H535" s="6"/>
      <c r="I535" s="6" t="s">
        <v>144</v>
      </c>
      <c r="J535" s="3" t="s">
        <v>106</v>
      </c>
      <c r="K535" s="6"/>
      <c r="L535" s="3"/>
      <c r="M535" s="7"/>
      <c r="N535" s="6"/>
      <c r="O535" s="9">
        <f>0.47*Table2[[#This Row],[قيمة المحضر]]</f>
        <v>0</v>
      </c>
      <c r="P535" s="9">
        <f>0.17*Table2[[#This Row],[قيمة المحضر]]</f>
        <v>0</v>
      </c>
      <c r="Q535" s="9">
        <f t="shared" ca="1" si="47"/>
        <v>0</v>
      </c>
      <c r="R535" s="3"/>
      <c r="S535" s="3"/>
      <c r="T535" s="9" t="str">
        <f t="shared" si="50"/>
        <v>-</v>
      </c>
      <c r="U535" s="3" t="s">
        <v>25</v>
      </c>
      <c r="V535" s="9" t="str">
        <f t="shared" si="51"/>
        <v>-</v>
      </c>
      <c r="W535" s="4"/>
      <c r="X535" s="38"/>
      <c r="Y535" s="1">
        <f t="shared" ca="1" si="52"/>
        <v>46162</v>
      </c>
      <c r="Z535" s="1" cm="1">
        <f t="array" ref="Z535">IF(D535&gt;DATE(2015,5,16),0,
K535*
(
INT((MIN(Y535,DATE(2015,5,16))-D535)/365)
+
CEILING(MOD((MIN(Y535,DATE(2015,5,16))-D535)/365,1),0.25)
)
*
_xlfn.SWITCH(J535,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35" s="1" cm="1">
        <f t="array" aca="1" ref="AA535" ca="1">IF(Y535&lt;DATE(2015,5,17),0,
K535*
(
INT((MIN(Y535,DATE(2018,9,23))-MAX(D535,DATE(2015,5,17)))/365)
+
CEILING(MOD((MIN(Y535,DATE(2018,9,23))-MAX(D535,DATE(2015,5,17)))/365,1),0.25)
)
*
_xlfn.SWITCH(J535,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35" s="1" cm="1">
        <f t="array" aca="1" ref="AB535" ca="1">IF(Y535&lt;DATE(2018,9,24),0,
IF(J535="زراعة",
K535*
(
INT((MIN(Y535,DATE(2023,4,30))-MAX(D535,DATE(2018,9,24)))/365)
+
CEILING(MOD((MIN(Y535,DATE(2023,4,30))-MAX(D535,DATE(2018,9,24)))/365,1),0.25)
)
*1,
K535*
(
DATEDIF(MAX(D535,DATE(2018,9,24)),MIN(Y535,DATE(2023,4,30)),"m")+1
)
*
_xlfn.SWITCH(J535,
"موقف/تندة",IF(D535&lt;DATE(2019,11,30),6,30),
"تشوينات",IF(D535&lt;DATE(2019,11,30),4,20),
"مشاتل",IF(D535&lt;DATE(2019,11,30),2,10),
"كافيتيريا",IF(D535&lt;DATE(2019,11,30),30,150),
"نوادي",IF(D535&lt;DATE(2019,11,30),6,30),
"رسو مراكب",IF(D535&lt;DATE(2019,11,30),2,10),
"مباني",IF(D535&lt;DATE(2018,9,24),2,10),
"عشش",IF(D535&lt;DATE(2019,11,30),2,10),
"كشك (تجاري/صناعي)",IF(D535&lt;DATE(2019,11,30),10,50),
"ردم",20,
0)))</f>
        <v>0</v>
      </c>
      <c r="AC535" s="1" cm="1">
        <f t="array" aca="1" ref="AC535" ca="1">IF(Y535&lt;DATE(2023,5,1),0,
IF(J535="زراعة",
K535*
(
INT((Y535-MAX(DATE(2023,5,1),D535))/365)
+
CEILING(MOD((Y535-MAX(DATE(2023,5,1),D535))/365,1),0.25)
)
*3,
IF(J535="ردم",
K535*20,
K535*
(
DATEDIF(MAX(DATE(2023,5,1),D535),Y535,"m")+1
)
*
_xlfn.SWITCH(J535,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35" s="1">
        <f t="shared" ca="1" si="53"/>
        <v>50</v>
      </c>
    </row>
    <row r="536" spans="1:30" ht="18.75" x14ac:dyDescent="0.25">
      <c r="A536" s="84">
        <v>487</v>
      </c>
      <c r="B536" s="82">
        <v>24</v>
      </c>
      <c r="C536" s="6">
        <v>2019</v>
      </c>
      <c r="D536" s="7">
        <v>43509</v>
      </c>
      <c r="E536" s="12"/>
      <c r="F536" s="6"/>
      <c r="G536" s="6" t="s">
        <v>695</v>
      </c>
      <c r="H536" s="6"/>
      <c r="I536" s="6" t="s">
        <v>144</v>
      </c>
      <c r="J536" s="3" t="s">
        <v>194</v>
      </c>
      <c r="K536" s="6"/>
      <c r="L536" s="3"/>
      <c r="M536" s="7"/>
      <c r="N536" s="6"/>
      <c r="O536" s="9">
        <f>0.47*Table2[[#This Row],[قيمة المحضر]]</f>
        <v>0</v>
      </c>
      <c r="P536" s="9">
        <f>0.17*Table2[[#This Row],[قيمة المحضر]]</f>
        <v>0</v>
      </c>
      <c r="Q536" s="9">
        <f t="shared" ca="1" si="47"/>
        <v>0</v>
      </c>
      <c r="R536" s="3"/>
      <c r="S536" s="3"/>
      <c r="T536" s="9" t="str">
        <f t="shared" si="50"/>
        <v>-</v>
      </c>
      <c r="U536" s="3" t="s">
        <v>25</v>
      </c>
      <c r="V536" s="9" t="str">
        <f t="shared" si="51"/>
        <v>-</v>
      </c>
      <c r="W536" s="4"/>
      <c r="X536" s="38"/>
      <c r="Y536" s="1">
        <f t="shared" ca="1" si="52"/>
        <v>46162</v>
      </c>
      <c r="Z536" s="1" cm="1">
        <f t="array" ref="Z536">IF(D536&gt;DATE(2015,5,16),0,
K536*
(
INT((MIN(Y536,DATE(2015,5,16))-D536)/365)
+
CEILING(MOD((MIN(Y536,DATE(2015,5,16))-D536)/365,1),0.25)
)
*
_xlfn.SWITCH(J536,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36" s="1" cm="1">
        <f t="array" aca="1" ref="AA536" ca="1">IF(Y536&lt;DATE(2015,5,17),0,
K536*
(
INT((MIN(Y536,DATE(2018,9,23))-MAX(D536,DATE(2015,5,17)))/365)
+
CEILING(MOD((MIN(Y536,DATE(2018,9,23))-MAX(D536,DATE(2015,5,17)))/365,1),0.25)
)
*
_xlfn.SWITCH(J536,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36" s="1" cm="1">
        <f t="array" aca="1" ref="AB536" ca="1">IF(Y536&lt;DATE(2018,9,24),0,
IF(J536="زراعة",
K536*
(
INT((MIN(Y536,DATE(2023,4,30))-MAX(D536,DATE(2018,9,24)))/365)
+
CEILING(MOD((MIN(Y536,DATE(2023,4,30))-MAX(D536,DATE(2018,9,24)))/365,1),0.25)
)
*1,
K536*
(
DATEDIF(MAX(D536,DATE(2018,9,24)),MIN(Y536,DATE(2023,4,30)),"m")+1
)
*
_xlfn.SWITCH(J536,
"موقف/تندة",IF(D536&lt;DATE(2019,11,30),6,30),
"تشوينات",IF(D536&lt;DATE(2019,11,30),4,20),
"مشاتل",IF(D536&lt;DATE(2019,11,30),2,10),
"كافيتيريا",IF(D536&lt;DATE(2019,11,30),30,150),
"نوادي",IF(D536&lt;DATE(2019,11,30),6,30),
"رسو مراكب",IF(D536&lt;DATE(2019,11,30),2,10),
"مباني",IF(D536&lt;DATE(2018,9,24),2,10),
"عشش",IF(D536&lt;DATE(2019,11,30),2,10),
"كشك (تجاري/صناعي)",IF(D536&lt;DATE(2019,11,30),10,50),
"ردم",20,
0)))</f>
        <v>0</v>
      </c>
      <c r="AC536" s="1" cm="1">
        <f t="array" aca="1" ref="AC536" ca="1">IF(Y536&lt;DATE(2023,5,1),0,
IF(J536="زراعة",
K536*
(
INT((Y536-MAX(DATE(2023,5,1),D536))/365)
+
CEILING(MOD((Y536-MAX(DATE(2023,5,1),D536))/365,1),0.25)
)
*3,
IF(J536="ردم",
K536*20,
K536*
(
DATEDIF(MAX(DATE(2023,5,1),D536),Y536,"m")+1
)
*
_xlfn.SWITCH(J536,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36" s="1">
        <f t="shared" ca="1" si="53"/>
        <v>50</v>
      </c>
    </row>
    <row r="537" spans="1:30" ht="18.75" x14ac:dyDescent="0.25">
      <c r="A537" s="84">
        <v>488</v>
      </c>
      <c r="B537" s="82">
        <v>25</v>
      </c>
      <c r="C537" s="6">
        <v>2019</v>
      </c>
      <c r="D537" s="7">
        <v>43509</v>
      </c>
      <c r="E537" s="12"/>
      <c r="F537" s="6"/>
      <c r="G537" s="6" t="s">
        <v>696</v>
      </c>
      <c r="H537" s="6"/>
      <c r="I537" s="6" t="s">
        <v>144</v>
      </c>
      <c r="J537" s="3" t="s">
        <v>106</v>
      </c>
      <c r="K537" s="6"/>
      <c r="L537" s="3"/>
      <c r="M537" s="7"/>
      <c r="N537" s="6"/>
      <c r="O537" s="9">
        <f>0.47*Table2[[#This Row],[قيمة المحضر]]</f>
        <v>0</v>
      </c>
      <c r="P537" s="9">
        <f>0.17*Table2[[#This Row],[قيمة المحضر]]</f>
        <v>0</v>
      </c>
      <c r="Q537" s="9">
        <f t="shared" ca="1" si="47"/>
        <v>0</v>
      </c>
      <c r="R537" s="3"/>
      <c r="S537" s="3"/>
      <c r="T537" s="9" t="str">
        <f t="shared" si="50"/>
        <v>-</v>
      </c>
      <c r="U537" s="3" t="s">
        <v>25</v>
      </c>
      <c r="V537" s="9" t="str">
        <f t="shared" si="51"/>
        <v>-</v>
      </c>
      <c r="W537" s="4"/>
      <c r="X537" s="38"/>
      <c r="Y537" s="1">
        <f t="shared" ca="1" si="52"/>
        <v>46162</v>
      </c>
      <c r="Z537" s="1" cm="1">
        <f t="array" ref="Z537">IF(D537&gt;DATE(2015,5,16),0,
K537*
(
INT((MIN(Y537,DATE(2015,5,16))-D537)/365)
+
CEILING(MOD((MIN(Y537,DATE(2015,5,16))-D537)/365,1),0.25)
)
*
_xlfn.SWITCH(J537,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37" s="1" cm="1">
        <f t="array" aca="1" ref="AA537" ca="1">IF(Y537&lt;DATE(2015,5,17),0,
K537*
(
INT((MIN(Y537,DATE(2018,9,23))-MAX(D537,DATE(2015,5,17)))/365)
+
CEILING(MOD((MIN(Y537,DATE(2018,9,23))-MAX(D537,DATE(2015,5,17)))/365,1),0.25)
)
*
_xlfn.SWITCH(J537,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37" s="1" cm="1">
        <f t="array" aca="1" ref="AB537" ca="1">IF(Y537&lt;DATE(2018,9,24),0,
IF(J537="زراعة",
K537*
(
INT((MIN(Y537,DATE(2023,4,30))-MAX(D537,DATE(2018,9,24)))/365)
+
CEILING(MOD((MIN(Y537,DATE(2023,4,30))-MAX(D537,DATE(2018,9,24)))/365,1),0.25)
)
*1,
K537*
(
DATEDIF(MAX(D537,DATE(2018,9,24)),MIN(Y537,DATE(2023,4,30)),"m")+1
)
*
_xlfn.SWITCH(J537,
"موقف/تندة",IF(D537&lt;DATE(2019,11,30),6,30),
"تشوينات",IF(D537&lt;DATE(2019,11,30),4,20),
"مشاتل",IF(D537&lt;DATE(2019,11,30),2,10),
"كافيتيريا",IF(D537&lt;DATE(2019,11,30),30,150),
"نوادي",IF(D537&lt;DATE(2019,11,30),6,30),
"رسو مراكب",IF(D537&lt;DATE(2019,11,30),2,10),
"مباني",IF(D537&lt;DATE(2018,9,24),2,10),
"عشش",IF(D537&lt;DATE(2019,11,30),2,10),
"كشك (تجاري/صناعي)",IF(D537&lt;DATE(2019,11,30),10,50),
"ردم",20,
0)))</f>
        <v>0</v>
      </c>
      <c r="AC537" s="1" cm="1">
        <f t="array" aca="1" ref="AC537" ca="1">IF(Y537&lt;DATE(2023,5,1),0,
IF(J537="زراعة",
K537*
(
INT((Y537-MAX(DATE(2023,5,1),D537))/365)
+
CEILING(MOD((Y537-MAX(DATE(2023,5,1),D537))/365,1),0.25)
)
*3,
IF(J537="ردم",
K537*20,
K537*
(
DATEDIF(MAX(DATE(2023,5,1),D537),Y537,"m")+1
)
*
_xlfn.SWITCH(J537,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37" s="1">
        <f t="shared" ca="1" si="53"/>
        <v>50</v>
      </c>
    </row>
    <row r="538" spans="1:30" ht="18.75" x14ac:dyDescent="0.25">
      <c r="A538" s="84">
        <v>488</v>
      </c>
      <c r="B538" s="82">
        <v>25</v>
      </c>
      <c r="C538" s="6">
        <v>2019</v>
      </c>
      <c r="D538" s="7">
        <v>43509</v>
      </c>
      <c r="E538" s="12"/>
      <c r="F538" s="6"/>
      <c r="G538" s="6" t="s">
        <v>696</v>
      </c>
      <c r="H538" s="6"/>
      <c r="I538" s="6" t="s">
        <v>144</v>
      </c>
      <c r="J538" s="3" t="s">
        <v>194</v>
      </c>
      <c r="K538" s="6"/>
      <c r="L538" s="3"/>
      <c r="M538" s="7"/>
      <c r="N538" s="6"/>
      <c r="O538" s="9">
        <f>0.47*Table2[[#This Row],[قيمة المحضر]]</f>
        <v>0</v>
      </c>
      <c r="P538" s="9">
        <f>0.17*Table2[[#This Row],[قيمة المحضر]]</f>
        <v>0</v>
      </c>
      <c r="Q538" s="9">
        <f t="shared" ca="1" si="47"/>
        <v>0</v>
      </c>
      <c r="R538" s="3"/>
      <c r="S538" s="3"/>
      <c r="T538" s="9" t="str">
        <f t="shared" si="50"/>
        <v>-</v>
      </c>
      <c r="U538" s="3" t="s">
        <v>25</v>
      </c>
      <c r="V538" s="9" t="str">
        <f t="shared" si="51"/>
        <v>-</v>
      </c>
      <c r="W538" s="4"/>
      <c r="X538" s="38"/>
      <c r="Y538" s="1">
        <f t="shared" ca="1" si="52"/>
        <v>46162</v>
      </c>
      <c r="Z538" s="1" cm="1">
        <f t="array" ref="Z538">IF(D538&gt;DATE(2015,5,16),0,
K538*
(
INT((MIN(Y538,DATE(2015,5,16))-D538)/365)
+
CEILING(MOD((MIN(Y538,DATE(2015,5,16))-D538)/365,1),0.25)
)
*
_xlfn.SWITCH(J538,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38" s="1" cm="1">
        <f t="array" aca="1" ref="AA538" ca="1">IF(Y538&lt;DATE(2015,5,17),0,
K538*
(
INT((MIN(Y538,DATE(2018,9,23))-MAX(D538,DATE(2015,5,17)))/365)
+
CEILING(MOD((MIN(Y538,DATE(2018,9,23))-MAX(D538,DATE(2015,5,17)))/365,1),0.25)
)
*
_xlfn.SWITCH(J538,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38" s="1" cm="1">
        <f t="array" aca="1" ref="AB538" ca="1">IF(Y538&lt;DATE(2018,9,24),0,
IF(J538="زراعة",
K538*
(
INT((MIN(Y538,DATE(2023,4,30))-MAX(D538,DATE(2018,9,24)))/365)
+
CEILING(MOD((MIN(Y538,DATE(2023,4,30))-MAX(D538,DATE(2018,9,24)))/365,1),0.25)
)
*1,
K538*
(
DATEDIF(MAX(D538,DATE(2018,9,24)),MIN(Y538,DATE(2023,4,30)),"m")+1
)
*
_xlfn.SWITCH(J538,
"موقف/تندة",IF(D538&lt;DATE(2019,11,30),6,30),
"تشوينات",IF(D538&lt;DATE(2019,11,30),4,20),
"مشاتل",IF(D538&lt;DATE(2019,11,30),2,10),
"كافيتيريا",IF(D538&lt;DATE(2019,11,30),30,150),
"نوادي",IF(D538&lt;DATE(2019,11,30),6,30),
"رسو مراكب",IF(D538&lt;DATE(2019,11,30),2,10),
"مباني",IF(D538&lt;DATE(2018,9,24),2,10),
"عشش",IF(D538&lt;DATE(2019,11,30),2,10),
"كشك (تجاري/صناعي)",IF(D538&lt;DATE(2019,11,30),10,50),
"ردم",20,
0)))</f>
        <v>0</v>
      </c>
      <c r="AC538" s="1" cm="1">
        <f t="array" aca="1" ref="AC538" ca="1">IF(Y538&lt;DATE(2023,5,1),0,
IF(J538="زراعة",
K538*
(
INT((Y538-MAX(DATE(2023,5,1),D538))/365)
+
CEILING(MOD((Y538-MAX(DATE(2023,5,1),D538))/365,1),0.25)
)
*3,
IF(J538="ردم",
K538*20,
K538*
(
DATEDIF(MAX(DATE(2023,5,1),D538),Y538,"m")+1
)
*
_xlfn.SWITCH(J538,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38" s="1">
        <f t="shared" ca="1" si="53"/>
        <v>50</v>
      </c>
    </row>
    <row r="539" spans="1:30" ht="18.75" x14ac:dyDescent="0.25">
      <c r="A539" s="84">
        <v>489</v>
      </c>
      <c r="B539" s="82">
        <v>26</v>
      </c>
      <c r="C539" s="6">
        <v>2019</v>
      </c>
      <c r="D539" s="7">
        <v>43509</v>
      </c>
      <c r="E539" s="12"/>
      <c r="F539" s="6"/>
      <c r="G539" s="6" t="s">
        <v>697</v>
      </c>
      <c r="H539" s="6"/>
      <c r="I539" s="6" t="s">
        <v>144</v>
      </c>
      <c r="J539" s="3" t="s">
        <v>106</v>
      </c>
      <c r="K539" s="6"/>
      <c r="L539" s="3"/>
      <c r="M539" s="7"/>
      <c r="N539" s="6"/>
      <c r="O539" s="9">
        <f>0.47*Table2[[#This Row],[قيمة المحضر]]</f>
        <v>0</v>
      </c>
      <c r="P539" s="9">
        <f>0.17*Table2[[#This Row],[قيمة المحضر]]</f>
        <v>0</v>
      </c>
      <c r="Q539" s="9">
        <f t="shared" ref="Q539:Q600" ca="1" si="54">Z539+AA539+AB539+AC539</f>
        <v>0</v>
      </c>
      <c r="R539" s="3"/>
      <c r="S539" s="3"/>
      <c r="T539" s="9" t="str">
        <f t="shared" ref="T539:T600" si="55">IF(R539="تم الحجز",Q539+O539+N539,"-")</f>
        <v>-</v>
      </c>
      <c r="U539" s="3" t="s">
        <v>25</v>
      </c>
      <c r="V539" s="9" t="str">
        <f t="shared" ref="V539:V600" si="56">IF(OR(U539="قائم",U539="قائم و سدد مقابل انتفاع"),"-",
IF(U539="تم رد الشئ لأصله",P539+Q539,
IF(U539="ازالة جبرية",N539+O539+Q539,"")))</f>
        <v>-</v>
      </c>
      <c r="W539" s="4"/>
      <c r="X539" s="38"/>
      <c r="Y539" s="1">
        <f t="shared" ca="1" si="52"/>
        <v>46162</v>
      </c>
      <c r="Z539" s="1" cm="1">
        <f t="array" ref="Z539">IF(D539&gt;DATE(2015,5,16),0,
K539*
(
INT((MIN(Y539,DATE(2015,5,16))-D539)/365)
+
CEILING(MOD((MIN(Y539,DATE(2015,5,16))-D539)/365,1),0.25)
)
*
_xlfn.SWITCH(J539,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39" s="1" cm="1">
        <f t="array" aca="1" ref="AA539" ca="1">IF(Y539&lt;DATE(2015,5,17),0,
K539*
(
INT((MIN(Y539,DATE(2018,9,23))-MAX(D539,DATE(2015,5,17)))/365)
+
CEILING(MOD((MIN(Y539,DATE(2018,9,23))-MAX(D539,DATE(2015,5,17)))/365,1),0.25)
)
*
_xlfn.SWITCH(J539,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39" s="1" cm="1">
        <f t="array" aca="1" ref="AB539" ca="1">IF(Y539&lt;DATE(2018,9,24),0,
IF(J539="زراعة",
K539*
(
INT((MIN(Y539,DATE(2023,4,30))-MAX(D539,DATE(2018,9,24)))/365)
+
CEILING(MOD((MIN(Y539,DATE(2023,4,30))-MAX(D539,DATE(2018,9,24)))/365,1),0.25)
)
*1,
K539*
(
DATEDIF(MAX(D539,DATE(2018,9,24)),MIN(Y539,DATE(2023,4,30)),"m")+1
)
*
_xlfn.SWITCH(J539,
"موقف/تندة",IF(D539&lt;DATE(2019,11,30),6,30),
"تشوينات",IF(D539&lt;DATE(2019,11,30),4,20),
"مشاتل",IF(D539&lt;DATE(2019,11,30),2,10),
"كافيتيريا",IF(D539&lt;DATE(2019,11,30),30,150),
"نوادي",IF(D539&lt;DATE(2019,11,30),6,30),
"رسو مراكب",IF(D539&lt;DATE(2019,11,30),2,10),
"مباني",IF(D539&lt;DATE(2018,9,24),2,10),
"عشش",IF(D539&lt;DATE(2019,11,30),2,10),
"كشك (تجاري/صناعي)",IF(D539&lt;DATE(2019,11,30),10,50),
"ردم",20,
0)))</f>
        <v>0</v>
      </c>
      <c r="AC539" s="1" cm="1">
        <f t="array" aca="1" ref="AC539" ca="1">IF(Y539&lt;DATE(2023,5,1),0,
IF(J539="زراعة",
K539*
(
INT((Y539-MAX(DATE(2023,5,1),D539))/365)
+
CEILING(MOD((Y539-MAX(DATE(2023,5,1),D539))/365,1),0.25)
)
*3,
IF(J539="ردم",
K539*20,
K539*
(
DATEDIF(MAX(DATE(2023,5,1),D539),Y539,"m")+1
)
*
_xlfn.SWITCH(J539,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39" s="1">
        <f t="shared" ca="1" si="53"/>
        <v>50</v>
      </c>
    </row>
    <row r="540" spans="1:30" ht="18.75" x14ac:dyDescent="0.25">
      <c r="A540" s="84">
        <v>489</v>
      </c>
      <c r="B540" s="82">
        <v>26</v>
      </c>
      <c r="C540" s="6">
        <v>2019</v>
      </c>
      <c r="D540" s="7">
        <v>43509</v>
      </c>
      <c r="E540" s="12"/>
      <c r="F540" s="6"/>
      <c r="G540" s="6" t="s">
        <v>697</v>
      </c>
      <c r="H540" s="6"/>
      <c r="I540" s="6" t="s">
        <v>144</v>
      </c>
      <c r="J540" s="3" t="s">
        <v>194</v>
      </c>
      <c r="K540" s="6"/>
      <c r="L540" s="3"/>
      <c r="M540" s="7"/>
      <c r="N540" s="6"/>
      <c r="O540" s="9">
        <f>0.47*Table2[[#This Row],[قيمة المحضر]]</f>
        <v>0</v>
      </c>
      <c r="P540" s="9">
        <f>0.17*Table2[[#This Row],[قيمة المحضر]]</f>
        <v>0</v>
      </c>
      <c r="Q540" s="9">
        <f t="shared" ca="1" si="54"/>
        <v>0</v>
      </c>
      <c r="R540" s="3"/>
      <c r="S540" s="3"/>
      <c r="T540" s="9" t="str">
        <f t="shared" si="55"/>
        <v>-</v>
      </c>
      <c r="U540" s="3" t="s">
        <v>25</v>
      </c>
      <c r="V540" s="9" t="str">
        <f t="shared" si="56"/>
        <v>-</v>
      </c>
      <c r="W540" s="4"/>
      <c r="X540" s="38"/>
      <c r="Y540" s="1">
        <f t="shared" ca="1" si="52"/>
        <v>46162</v>
      </c>
      <c r="Z540" s="1" cm="1">
        <f t="array" ref="Z540">IF(D540&gt;DATE(2015,5,16),0,
K540*
(
INT((MIN(Y540,DATE(2015,5,16))-D540)/365)
+
CEILING(MOD((MIN(Y540,DATE(2015,5,16))-D540)/365,1),0.25)
)
*
_xlfn.SWITCH(J540,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40" s="1" cm="1">
        <f t="array" aca="1" ref="AA540" ca="1">IF(Y540&lt;DATE(2015,5,17),0,
K540*
(
INT((MIN(Y540,DATE(2018,9,23))-MAX(D540,DATE(2015,5,17)))/365)
+
CEILING(MOD((MIN(Y540,DATE(2018,9,23))-MAX(D540,DATE(2015,5,17)))/365,1),0.25)
)
*
_xlfn.SWITCH(J540,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40" s="1" cm="1">
        <f t="array" aca="1" ref="AB540" ca="1">IF(Y540&lt;DATE(2018,9,24),0,
IF(J540="زراعة",
K540*
(
INT((MIN(Y540,DATE(2023,4,30))-MAX(D540,DATE(2018,9,24)))/365)
+
CEILING(MOD((MIN(Y540,DATE(2023,4,30))-MAX(D540,DATE(2018,9,24)))/365,1),0.25)
)
*1,
K540*
(
DATEDIF(MAX(D540,DATE(2018,9,24)),MIN(Y540,DATE(2023,4,30)),"m")+1
)
*
_xlfn.SWITCH(J540,
"موقف/تندة",IF(D540&lt;DATE(2019,11,30),6,30),
"تشوينات",IF(D540&lt;DATE(2019,11,30),4,20),
"مشاتل",IF(D540&lt;DATE(2019,11,30),2,10),
"كافيتيريا",IF(D540&lt;DATE(2019,11,30),30,150),
"نوادي",IF(D540&lt;DATE(2019,11,30),6,30),
"رسو مراكب",IF(D540&lt;DATE(2019,11,30),2,10),
"مباني",IF(D540&lt;DATE(2018,9,24),2,10),
"عشش",IF(D540&lt;DATE(2019,11,30),2,10),
"كشك (تجاري/صناعي)",IF(D540&lt;DATE(2019,11,30),10,50),
"ردم",20,
0)))</f>
        <v>0</v>
      </c>
      <c r="AC540" s="1" cm="1">
        <f t="array" aca="1" ref="AC540" ca="1">IF(Y540&lt;DATE(2023,5,1),0,
IF(J540="زراعة",
K540*
(
INT((Y540-MAX(DATE(2023,5,1),D540))/365)
+
CEILING(MOD((Y540-MAX(DATE(2023,5,1),D540))/365,1),0.25)
)
*3,
IF(J540="ردم",
K540*20,
K540*
(
DATEDIF(MAX(DATE(2023,5,1),D540),Y540,"m")+1
)
*
_xlfn.SWITCH(J540,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40" s="1">
        <f t="shared" ca="1" si="53"/>
        <v>50</v>
      </c>
    </row>
    <row r="541" spans="1:30" ht="18.75" x14ac:dyDescent="0.25">
      <c r="A541" s="84">
        <v>490</v>
      </c>
      <c r="B541" s="82">
        <v>27</v>
      </c>
      <c r="C541" s="6">
        <v>2019</v>
      </c>
      <c r="D541" s="7">
        <v>43509</v>
      </c>
      <c r="E541" s="12"/>
      <c r="F541" s="6"/>
      <c r="G541" s="6" t="s">
        <v>698</v>
      </c>
      <c r="H541" s="6"/>
      <c r="I541" s="6" t="s">
        <v>144</v>
      </c>
      <c r="J541" s="3" t="s">
        <v>751</v>
      </c>
      <c r="K541" s="6"/>
      <c r="L541" s="3"/>
      <c r="M541" s="7"/>
      <c r="N541" s="6"/>
      <c r="O541" s="9">
        <f>0.47*Table2[[#This Row],[قيمة المحضر]]</f>
        <v>0</v>
      </c>
      <c r="P541" s="9">
        <f>0.17*Table2[[#This Row],[قيمة المحضر]]</f>
        <v>0</v>
      </c>
      <c r="Q541" s="9">
        <f t="shared" ca="1" si="54"/>
        <v>0</v>
      </c>
      <c r="R541" s="3"/>
      <c r="S541" s="3"/>
      <c r="T541" s="9" t="str">
        <f t="shared" si="55"/>
        <v>-</v>
      </c>
      <c r="U541" s="3" t="s">
        <v>25</v>
      </c>
      <c r="V541" s="9" t="str">
        <f t="shared" si="56"/>
        <v>-</v>
      </c>
      <c r="W541" s="4"/>
      <c r="X541" s="38"/>
      <c r="Y541" s="1">
        <f t="shared" ca="1" si="52"/>
        <v>46162</v>
      </c>
      <c r="Z541" s="1" cm="1">
        <f t="array" ref="Z541">IF(D541&gt;DATE(2015,5,16),0,
K541*
(
INT((MIN(Y541,DATE(2015,5,16))-D541)/365)
+
CEILING(MOD((MIN(Y541,DATE(2015,5,16))-D541)/365,1),0.25)
)
*
_xlfn.SWITCH(J541,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41" s="1" cm="1">
        <f t="array" aca="1" ref="AA541" ca="1">IF(Y541&lt;DATE(2015,5,17),0,
K541*
(
INT((MIN(Y541,DATE(2018,9,23))-MAX(D541,DATE(2015,5,17)))/365)
+
CEILING(MOD((MIN(Y541,DATE(2018,9,23))-MAX(D541,DATE(2015,5,17)))/365,1),0.25)
)
*
_xlfn.SWITCH(J541,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41" s="1" cm="1">
        <f t="array" aca="1" ref="AB541" ca="1">IF(Y541&lt;DATE(2018,9,24),0,
IF(J541="زراعة",
K541*
(
INT((MIN(Y541,DATE(2023,4,30))-MAX(D541,DATE(2018,9,24)))/365)
+
CEILING(MOD((MIN(Y541,DATE(2023,4,30))-MAX(D541,DATE(2018,9,24)))/365,1),0.25)
)
*1,
K541*
(
DATEDIF(MAX(D541,DATE(2018,9,24)),MIN(Y541,DATE(2023,4,30)),"m")+1
)
*
_xlfn.SWITCH(J541,
"موقف/تندة",IF(D541&lt;DATE(2019,11,30),6,30),
"تشوينات",IF(D541&lt;DATE(2019,11,30),4,20),
"مشاتل",IF(D541&lt;DATE(2019,11,30),2,10),
"كافيتيريا",IF(D541&lt;DATE(2019,11,30),30,150),
"نوادي",IF(D541&lt;DATE(2019,11,30),6,30),
"رسو مراكب",IF(D541&lt;DATE(2019,11,30),2,10),
"مباني",IF(D541&lt;DATE(2018,9,24),2,10),
"عشش",IF(D541&lt;DATE(2019,11,30),2,10),
"كشك (تجاري/صناعي)",IF(D541&lt;DATE(2019,11,30),10,50),
"ردم",20,
0)))</f>
        <v>0</v>
      </c>
      <c r="AC541" s="1" cm="1">
        <f t="array" aca="1" ref="AC541" ca="1">IF(Y541&lt;DATE(2023,5,1),0,
IF(J541="زراعة",
K541*
(
INT((Y541-MAX(DATE(2023,5,1),D541))/365)
+
CEILING(MOD((Y541-MAX(DATE(2023,5,1),D541))/365,1),0.25)
)
*3,
IF(J541="ردم",
K541*20,
K541*
(
DATEDIF(MAX(DATE(2023,5,1),D541),Y541,"m")+1
)
*
_xlfn.SWITCH(J541,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41" s="1">
        <f t="shared" ca="1" si="53"/>
        <v>50</v>
      </c>
    </row>
    <row r="542" spans="1:30" ht="18.75" x14ac:dyDescent="0.25">
      <c r="A542" s="84">
        <v>490</v>
      </c>
      <c r="B542" s="82">
        <v>27</v>
      </c>
      <c r="C542" s="6">
        <v>2019</v>
      </c>
      <c r="D542" s="7">
        <v>43509</v>
      </c>
      <c r="E542" s="12"/>
      <c r="F542" s="6"/>
      <c r="G542" s="6" t="s">
        <v>698</v>
      </c>
      <c r="H542" s="6"/>
      <c r="I542" s="6" t="s">
        <v>144</v>
      </c>
      <c r="J542" s="3" t="s">
        <v>194</v>
      </c>
      <c r="K542" s="6"/>
      <c r="L542" s="3"/>
      <c r="M542" s="7"/>
      <c r="N542" s="6"/>
      <c r="O542" s="9">
        <f>0.47*Table2[[#This Row],[قيمة المحضر]]</f>
        <v>0</v>
      </c>
      <c r="P542" s="9">
        <f>0.17*Table2[[#This Row],[قيمة المحضر]]</f>
        <v>0</v>
      </c>
      <c r="Q542" s="9">
        <f t="shared" ca="1" si="54"/>
        <v>0</v>
      </c>
      <c r="R542" s="3"/>
      <c r="S542" s="3"/>
      <c r="T542" s="9" t="str">
        <f t="shared" si="55"/>
        <v>-</v>
      </c>
      <c r="U542" s="3" t="s">
        <v>25</v>
      </c>
      <c r="V542" s="9" t="str">
        <f t="shared" si="56"/>
        <v>-</v>
      </c>
      <c r="W542" s="4"/>
      <c r="X542" s="38"/>
      <c r="Y542" s="1">
        <f t="shared" ca="1" si="52"/>
        <v>46162</v>
      </c>
      <c r="Z542" s="1" cm="1">
        <f t="array" ref="Z542">IF(D542&gt;DATE(2015,5,16),0,
K542*
(
INT((MIN(Y542,DATE(2015,5,16))-D542)/365)
+
CEILING(MOD((MIN(Y542,DATE(2015,5,16))-D542)/365,1),0.25)
)
*
_xlfn.SWITCH(J542,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42" s="1" cm="1">
        <f t="array" aca="1" ref="AA542" ca="1">IF(Y542&lt;DATE(2015,5,17),0,
K542*
(
INT((MIN(Y542,DATE(2018,9,23))-MAX(D542,DATE(2015,5,17)))/365)
+
CEILING(MOD((MIN(Y542,DATE(2018,9,23))-MAX(D542,DATE(2015,5,17)))/365,1),0.25)
)
*
_xlfn.SWITCH(J542,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42" s="1" cm="1">
        <f t="array" aca="1" ref="AB542" ca="1">IF(Y542&lt;DATE(2018,9,24),0,
IF(J542="زراعة",
K542*
(
INT((MIN(Y542,DATE(2023,4,30))-MAX(D542,DATE(2018,9,24)))/365)
+
CEILING(MOD((MIN(Y542,DATE(2023,4,30))-MAX(D542,DATE(2018,9,24)))/365,1),0.25)
)
*1,
K542*
(
DATEDIF(MAX(D542,DATE(2018,9,24)),MIN(Y542,DATE(2023,4,30)),"m")+1
)
*
_xlfn.SWITCH(J542,
"موقف/تندة",IF(D542&lt;DATE(2019,11,30),6,30),
"تشوينات",IF(D542&lt;DATE(2019,11,30),4,20),
"مشاتل",IF(D542&lt;DATE(2019,11,30),2,10),
"كافيتيريا",IF(D542&lt;DATE(2019,11,30),30,150),
"نوادي",IF(D542&lt;DATE(2019,11,30),6,30),
"رسو مراكب",IF(D542&lt;DATE(2019,11,30),2,10),
"مباني",IF(D542&lt;DATE(2018,9,24),2,10),
"عشش",IF(D542&lt;DATE(2019,11,30),2,10),
"كشك (تجاري/صناعي)",IF(D542&lt;DATE(2019,11,30),10,50),
"ردم",20,
0)))</f>
        <v>0</v>
      </c>
      <c r="AC542" s="1" cm="1">
        <f t="array" aca="1" ref="AC542" ca="1">IF(Y542&lt;DATE(2023,5,1),0,
IF(J542="زراعة",
K542*
(
INT((Y542-MAX(DATE(2023,5,1),D542))/365)
+
CEILING(MOD((Y542-MAX(DATE(2023,5,1),D542))/365,1),0.25)
)
*3,
IF(J542="ردم",
K542*20,
K542*
(
DATEDIF(MAX(DATE(2023,5,1),D542),Y542,"m")+1
)
*
_xlfn.SWITCH(J542,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42" s="1">
        <f t="shared" ca="1" si="53"/>
        <v>50</v>
      </c>
    </row>
    <row r="543" spans="1:30" ht="18.75" x14ac:dyDescent="0.25">
      <c r="A543" s="84">
        <v>491</v>
      </c>
      <c r="B543" s="82">
        <v>28</v>
      </c>
      <c r="C543" s="6">
        <v>2019</v>
      </c>
      <c r="D543" s="7">
        <v>43509</v>
      </c>
      <c r="E543" s="12"/>
      <c r="F543" s="6"/>
      <c r="G543" s="6" t="s">
        <v>699</v>
      </c>
      <c r="H543" s="6"/>
      <c r="I543" s="6" t="s">
        <v>144</v>
      </c>
      <c r="J543" s="3" t="s">
        <v>751</v>
      </c>
      <c r="K543" s="6"/>
      <c r="L543" s="3"/>
      <c r="M543" s="7"/>
      <c r="N543" s="6"/>
      <c r="O543" s="9">
        <f>0.47*Table2[[#This Row],[قيمة المحضر]]</f>
        <v>0</v>
      </c>
      <c r="P543" s="9">
        <f>0.17*Table2[[#This Row],[قيمة المحضر]]</f>
        <v>0</v>
      </c>
      <c r="Q543" s="9">
        <f t="shared" ca="1" si="54"/>
        <v>0</v>
      </c>
      <c r="R543" s="3"/>
      <c r="S543" s="3"/>
      <c r="T543" s="9" t="str">
        <f t="shared" si="55"/>
        <v>-</v>
      </c>
      <c r="U543" s="3" t="s">
        <v>25</v>
      </c>
      <c r="V543" s="9" t="str">
        <f t="shared" si="56"/>
        <v>-</v>
      </c>
      <c r="W543" s="4"/>
      <c r="X543" s="38"/>
      <c r="Y543" s="1">
        <f t="shared" ca="1" si="52"/>
        <v>46162</v>
      </c>
      <c r="Z543" s="1" cm="1">
        <f t="array" ref="Z543">IF(D543&gt;DATE(2015,5,16),0,
K543*
(
INT((MIN(Y543,DATE(2015,5,16))-D543)/365)
+
CEILING(MOD((MIN(Y543,DATE(2015,5,16))-D543)/365,1),0.25)
)
*
_xlfn.SWITCH(J543,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43" s="1" cm="1">
        <f t="array" aca="1" ref="AA543" ca="1">IF(Y543&lt;DATE(2015,5,17),0,
K543*
(
INT((MIN(Y543,DATE(2018,9,23))-MAX(D543,DATE(2015,5,17)))/365)
+
CEILING(MOD((MIN(Y543,DATE(2018,9,23))-MAX(D543,DATE(2015,5,17)))/365,1),0.25)
)
*
_xlfn.SWITCH(J543,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43" s="1" cm="1">
        <f t="array" aca="1" ref="AB543" ca="1">IF(Y543&lt;DATE(2018,9,24),0,
IF(J543="زراعة",
K543*
(
INT((MIN(Y543,DATE(2023,4,30))-MAX(D543,DATE(2018,9,24)))/365)
+
CEILING(MOD((MIN(Y543,DATE(2023,4,30))-MAX(D543,DATE(2018,9,24)))/365,1),0.25)
)
*1,
K543*
(
DATEDIF(MAX(D543,DATE(2018,9,24)),MIN(Y543,DATE(2023,4,30)),"m")+1
)
*
_xlfn.SWITCH(J543,
"موقف/تندة",IF(D543&lt;DATE(2019,11,30),6,30),
"تشوينات",IF(D543&lt;DATE(2019,11,30),4,20),
"مشاتل",IF(D543&lt;DATE(2019,11,30),2,10),
"كافيتيريا",IF(D543&lt;DATE(2019,11,30),30,150),
"نوادي",IF(D543&lt;DATE(2019,11,30),6,30),
"رسو مراكب",IF(D543&lt;DATE(2019,11,30),2,10),
"مباني",IF(D543&lt;DATE(2018,9,24),2,10),
"عشش",IF(D543&lt;DATE(2019,11,30),2,10),
"كشك (تجاري/صناعي)",IF(D543&lt;DATE(2019,11,30),10,50),
"ردم",20,
0)))</f>
        <v>0</v>
      </c>
      <c r="AC543" s="1" cm="1">
        <f t="array" aca="1" ref="AC543" ca="1">IF(Y543&lt;DATE(2023,5,1),0,
IF(J543="زراعة",
K543*
(
INT((Y543-MAX(DATE(2023,5,1),D543))/365)
+
CEILING(MOD((Y543-MAX(DATE(2023,5,1),D543))/365,1),0.25)
)
*3,
IF(J543="ردم",
K543*20,
K543*
(
DATEDIF(MAX(DATE(2023,5,1),D543),Y543,"m")+1
)
*
_xlfn.SWITCH(J543,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43" s="1">
        <f t="shared" ca="1" si="53"/>
        <v>50</v>
      </c>
    </row>
    <row r="544" spans="1:30" ht="18.75" x14ac:dyDescent="0.25">
      <c r="A544" s="84">
        <v>491</v>
      </c>
      <c r="B544" s="82">
        <v>28</v>
      </c>
      <c r="C544" s="6">
        <v>2019</v>
      </c>
      <c r="D544" s="7">
        <v>43509</v>
      </c>
      <c r="E544" s="12"/>
      <c r="F544" s="6"/>
      <c r="G544" s="6" t="s">
        <v>699</v>
      </c>
      <c r="H544" s="6"/>
      <c r="I544" s="6" t="s">
        <v>144</v>
      </c>
      <c r="J544" s="3" t="s">
        <v>194</v>
      </c>
      <c r="K544" s="6"/>
      <c r="L544" s="3"/>
      <c r="M544" s="7"/>
      <c r="N544" s="6"/>
      <c r="O544" s="9">
        <f>0.47*Table2[[#This Row],[قيمة المحضر]]</f>
        <v>0</v>
      </c>
      <c r="P544" s="9">
        <f>0.17*Table2[[#This Row],[قيمة المحضر]]</f>
        <v>0</v>
      </c>
      <c r="Q544" s="9">
        <f t="shared" ca="1" si="54"/>
        <v>0</v>
      </c>
      <c r="R544" s="3"/>
      <c r="S544" s="3"/>
      <c r="T544" s="9" t="str">
        <f t="shared" si="55"/>
        <v>-</v>
      </c>
      <c r="U544" s="3" t="s">
        <v>25</v>
      </c>
      <c r="V544" s="9" t="str">
        <f t="shared" si="56"/>
        <v>-</v>
      </c>
      <c r="W544" s="4"/>
      <c r="X544" s="38"/>
      <c r="Y544" s="1">
        <f t="shared" ca="1" si="52"/>
        <v>46162</v>
      </c>
      <c r="Z544" s="1" cm="1">
        <f t="array" ref="Z544">IF(D544&gt;DATE(2015,5,16),0,
K544*
(
INT((MIN(Y544,DATE(2015,5,16))-D544)/365)
+
CEILING(MOD((MIN(Y544,DATE(2015,5,16))-D544)/365,1),0.25)
)
*
_xlfn.SWITCH(J544,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44" s="1" cm="1">
        <f t="array" aca="1" ref="AA544" ca="1">IF(Y544&lt;DATE(2015,5,17),0,
K544*
(
INT((MIN(Y544,DATE(2018,9,23))-MAX(D544,DATE(2015,5,17)))/365)
+
CEILING(MOD((MIN(Y544,DATE(2018,9,23))-MAX(D544,DATE(2015,5,17)))/365,1),0.25)
)
*
_xlfn.SWITCH(J544,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44" s="1" cm="1">
        <f t="array" aca="1" ref="AB544" ca="1">IF(Y544&lt;DATE(2018,9,24),0,
IF(J544="زراعة",
K544*
(
INT((MIN(Y544,DATE(2023,4,30))-MAX(D544,DATE(2018,9,24)))/365)
+
CEILING(MOD((MIN(Y544,DATE(2023,4,30))-MAX(D544,DATE(2018,9,24)))/365,1),0.25)
)
*1,
K544*
(
DATEDIF(MAX(D544,DATE(2018,9,24)),MIN(Y544,DATE(2023,4,30)),"m")+1
)
*
_xlfn.SWITCH(J544,
"موقف/تندة",IF(D544&lt;DATE(2019,11,30),6,30),
"تشوينات",IF(D544&lt;DATE(2019,11,30),4,20),
"مشاتل",IF(D544&lt;DATE(2019,11,30),2,10),
"كافيتيريا",IF(D544&lt;DATE(2019,11,30),30,150),
"نوادي",IF(D544&lt;DATE(2019,11,30),6,30),
"رسو مراكب",IF(D544&lt;DATE(2019,11,30),2,10),
"مباني",IF(D544&lt;DATE(2018,9,24),2,10),
"عشش",IF(D544&lt;DATE(2019,11,30),2,10),
"كشك (تجاري/صناعي)",IF(D544&lt;DATE(2019,11,30),10,50),
"ردم",20,
0)))</f>
        <v>0</v>
      </c>
      <c r="AC544" s="1" cm="1">
        <f t="array" aca="1" ref="AC544" ca="1">IF(Y544&lt;DATE(2023,5,1),0,
IF(J544="زراعة",
K544*
(
INT((Y544-MAX(DATE(2023,5,1),D544))/365)
+
CEILING(MOD((Y544-MAX(DATE(2023,5,1),D544))/365,1),0.25)
)
*3,
IF(J544="ردم",
K544*20,
K544*
(
DATEDIF(MAX(DATE(2023,5,1),D544),Y544,"m")+1
)
*
_xlfn.SWITCH(J544,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44" s="1">
        <f t="shared" ca="1" si="53"/>
        <v>50</v>
      </c>
    </row>
    <row r="545" spans="1:30" ht="18.75" x14ac:dyDescent="0.25">
      <c r="A545" s="84">
        <v>492</v>
      </c>
      <c r="B545" s="82">
        <v>29</v>
      </c>
      <c r="C545" s="6">
        <v>2019</v>
      </c>
      <c r="D545" s="7">
        <v>43509</v>
      </c>
      <c r="E545" s="12"/>
      <c r="F545" s="6"/>
      <c r="G545" s="6" t="s">
        <v>700</v>
      </c>
      <c r="H545" s="6"/>
      <c r="I545" s="6" t="s">
        <v>144</v>
      </c>
      <c r="J545" s="3" t="s">
        <v>751</v>
      </c>
      <c r="K545" s="6"/>
      <c r="L545" s="3"/>
      <c r="M545" s="7"/>
      <c r="N545" s="6"/>
      <c r="O545" s="9">
        <f>0.47*Table2[[#This Row],[قيمة المحضر]]</f>
        <v>0</v>
      </c>
      <c r="P545" s="9">
        <f>0.17*Table2[[#This Row],[قيمة المحضر]]</f>
        <v>0</v>
      </c>
      <c r="Q545" s="9">
        <f t="shared" ca="1" si="54"/>
        <v>0</v>
      </c>
      <c r="R545" s="3"/>
      <c r="S545" s="3"/>
      <c r="T545" s="9" t="str">
        <f t="shared" si="55"/>
        <v>-</v>
      </c>
      <c r="U545" s="3" t="s">
        <v>25</v>
      </c>
      <c r="V545" s="9" t="str">
        <f t="shared" si="56"/>
        <v>-</v>
      </c>
      <c r="W545" s="4"/>
      <c r="X545" s="38"/>
      <c r="Y545" s="1">
        <f t="shared" ca="1" si="52"/>
        <v>46162</v>
      </c>
      <c r="Z545" s="1" cm="1">
        <f t="array" ref="Z545">IF(D545&gt;DATE(2015,5,16),0,
K545*
(
INT((MIN(Y545,DATE(2015,5,16))-D545)/365)
+
CEILING(MOD((MIN(Y545,DATE(2015,5,16))-D545)/365,1),0.25)
)
*
_xlfn.SWITCH(J545,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45" s="1" cm="1">
        <f t="array" aca="1" ref="AA545" ca="1">IF(Y545&lt;DATE(2015,5,17),0,
K545*
(
INT((MIN(Y545,DATE(2018,9,23))-MAX(D545,DATE(2015,5,17)))/365)
+
CEILING(MOD((MIN(Y545,DATE(2018,9,23))-MAX(D545,DATE(2015,5,17)))/365,1),0.25)
)
*
_xlfn.SWITCH(J545,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45" s="1" cm="1">
        <f t="array" aca="1" ref="AB545" ca="1">IF(Y545&lt;DATE(2018,9,24),0,
IF(J545="زراعة",
K545*
(
INT((MIN(Y545,DATE(2023,4,30))-MAX(D545,DATE(2018,9,24)))/365)
+
CEILING(MOD((MIN(Y545,DATE(2023,4,30))-MAX(D545,DATE(2018,9,24)))/365,1),0.25)
)
*1,
K545*
(
DATEDIF(MAX(D545,DATE(2018,9,24)),MIN(Y545,DATE(2023,4,30)),"m")+1
)
*
_xlfn.SWITCH(J545,
"موقف/تندة",IF(D545&lt;DATE(2019,11,30),6,30),
"تشوينات",IF(D545&lt;DATE(2019,11,30),4,20),
"مشاتل",IF(D545&lt;DATE(2019,11,30),2,10),
"كافيتيريا",IF(D545&lt;DATE(2019,11,30),30,150),
"نوادي",IF(D545&lt;DATE(2019,11,30),6,30),
"رسو مراكب",IF(D545&lt;DATE(2019,11,30),2,10),
"مباني",IF(D545&lt;DATE(2018,9,24),2,10),
"عشش",IF(D545&lt;DATE(2019,11,30),2,10),
"كشك (تجاري/صناعي)",IF(D545&lt;DATE(2019,11,30),10,50),
"ردم",20,
0)))</f>
        <v>0</v>
      </c>
      <c r="AC545" s="1" cm="1">
        <f t="array" aca="1" ref="AC545" ca="1">IF(Y545&lt;DATE(2023,5,1),0,
IF(J545="زراعة",
K545*
(
INT((Y545-MAX(DATE(2023,5,1),D545))/365)
+
CEILING(MOD((Y545-MAX(DATE(2023,5,1),D545))/365,1),0.25)
)
*3,
IF(J545="ردم",
K545*20,
K545*
(
DATEDIF(MAX(DATE(2023,5,1),D545),Y545,"m")+1
)
*
_xlfn.SWITCH(J545,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45" s="1">
        <f t="shared" ca="1" si="53"/>
        <v>50</v>
      </c>
    </row>
    <row r="546" spans="1:30" ht="18.75" x14ac:dyDescent="0.25">
      <c r="A546" s="84">
        <v>492</v>
      </c>
      <c r="B546" s="82">
        <v>29</v>
      </c>
      <c r="C546" s="6">
        <v>2019</v>
      </c>
      <c r="D546" s="7">
        <v>43509</v>
      </c>
      <c r="E546" s="12"/>
      <c r="F546" s="6"/>
      <c r="G546" s="6" t="s">
        <v>700</v>
      </c>
      <c r="H546" s="6"/>
      <c r="I546" s="6" t="s">
        <v>144</v>
      </c>
      <c r="J546" s="3" t="s">
        <v>194</v>
      </c>
      <c r="K546" s="6"/>
      <c r="L546" s="3"/>
      <c r="M546" s="7"/>
      <c r="N546" s="6"/>
      <c r="O546" s="9">
        <f>0.47*Table2[[#This Row],[قيمة المحضر]]</f>
        <v>0</v>
      </c>
      <c r="P546" s="9">
        <f>0.17*Table2[[#This Row],[قيمة المحضر]]</f>
        <v>0</v>
      </c>
      <c r="Q546" s="9">
        <f t="shared" ca="1" si="54"/>
        <v>0</v>
      </c>
      <c r="R546" s="3"/>
      <c r="S546" s="3"/>
      <c r="T546" s="9" t="str">
        <f t="shared" si="55"/>
        <v>-</v>
      </c>
      <c r="U546" s="3" t="s">
        <v>25</v>
      </c>
      <c r="V546" s="9" t="str">
        <f t="shared" si="56"/>
        <v>-</v>
      </c>
      <c r="W546" s="4"/>
      <c r="X546" s="38"/>
      <c r="Y546" s="1">
        <f t="shared" ca="1" si="52"/>
        <v>46162</v>
      </c>
      <c r="Z546" s="1" cm="1">
        <f t="array" ref="Z546">IF(D546&gt;DATE(2015,5,16),0,
K546*
(
INT((MIN(Y546,DATE(2015,5,16))-D546)/365)
+
CEILING(MOD((MIN(Y546,DATE(2015,5,16))-D546)/365,1),0.25)
)
*
_xlfn.SWITCH(J546,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46" s="1" cm="1">
        <f t="array" aca="1" ref="AA546" ca="1">IF(Y546&lt;DATE(2015,5,17),0,
K546*
(
INT((MIN(Y546,DATE(2018,9,23))-MAX(D546,DATE(2015,5,17)))/365)
+
CEILING(MOD((MIN(Y546,DATE(2018,9,23))-MAX(D546,DATE(2015,5,17)))/365,1),0.25)
)
*
_xlfn.SWITCH(J546,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46" s="1" cm="1">
        <f t="array" aca="1" ref="AB546" ca="1">IF(Y546&lt;DATE(2018,9,24),0,
IF(J546="زراعة",
K546*
(
INT((MIN(Y546,DATE(2023,4,30))-MAX(D546,DATE(2018,9,24)))/365)
+
CEILING(MOD((MIN(Y546,DATE(2023,4,30))-MAX(D546,DATE(2018,9,24)))/365,1),0.25)
)
*1,
K546*
(
DATEDIF(MAX(D546,DATE(2018,9,24)),MIN(Y546,DATE(2023,4,30)),"m")+1
)
*
_xlfn.SWITCH(J546,
"موقف/تندة",IF(D546&lt;DATE(2019,11,30),6,30),
"تشوينات",IF(D546&lt;DATE(2019,11,30),4,20),
"مشاتل",IF(D546&lt;DATE(2019,11,30),2,10),
"كافيتيريا",IF(D546&lt;DATE(2019,11,30),30,150),
"نوادي",IF(D546&lt;DATE(2019,11,30),6,30),
"رسو مراكب",IF(D546&lt;DATE(2019,11,30),2,10),
"مباني",IF(D546&lt;DATE(2018,9,24),2,10),
"عشش",IF(D546&lt;DATE(2019,11,30),2,10),
"كشك (تجاري/صناعي)",IF(D546&lt;DATE(2019,11,30),10,50),
"ردم",20,
0)))</f>
        <v>0</v>
      </c>
      <c r="AC546" s="1" cm="1">
        <f t="array" aca="1" ref="AC546" ca="1">IF(Y546&lt;DATE(2023,5,1),0,
IF(J546="زراعة",
K546*
(
INT((Y546-MAX(DATE(2023,5,1),D546))/365)
+
CEILING(MOD((Y546-MAX(DATE(2023,5,1),D546))/365,1),0.25)
)
*3,
IF(J546="ردم",
K546*20,
K546*
(
DATEDIF(MAX(DATE(2023,5,1),D546),Y546,"m")+1
)
*
_xlfn.SWITCH(J546,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46" s="1">
        <f t="shared" ca="1" si="53"/>
        <v>50</v>
      </c>
    </row>
    <row r="547" spans="1:30" ht="18.75" x14ac:dyDescent="0.25">
      <c r="A547" s="84">
        <v>493</v>
      </c>
      <c r="B547" s="82">
        <v>30</v>
      </c>
      <c r="C547" s="6">
        <v>2019</v>
      </c>
      <c r="D547" s="7">
        <v>43509</v>
      </c>
      <c r="E547" s="12"/>
      <c r="F547" s="6"/>
      <c r="G547" s="6" t="s">
        <v>701</v>
      </c>
      <c r="H547" s="6"/>
      <c r="I547" s="6" t="s">
        <v>144</v>
      </c>
      <c r="J547" s="3" t="s">
        <v>751</v>
      </c>
      <c r="K547" s="6"/>
      <c r="L547" s="3"/>
      <c r="M547" s="7"/>
      <c r="N547" s="6"/>
      <c r="O547" s="9">
        <f>0.47*Table2[[#This Row],[قيمة المحضر]]</f>
        <v>0</v>
      </c>
      <c r="P547" s="9">
        <f>0.17*Table2[[#This Row],[قيمة المحضر]]</f>
        <v>0</v>
      </c>
      <c r="Q547" s="9">
        <f t="shared" ca="1" si="54"/>
        <v>0</v>
      </c>
      <c r="R547" s="3"/>
      <c r="S547" s="3"/>
      <c r="T547" s="9" t="str">
        <f t="shared" si="55"/>
        <v>-</v>
      </c>
      <c r="U547" s="3" t="s">
        <v>25</v>
      </c>
      <c r="V547" s="9" t="str">
        <f t="shared" si="56"/>
        <v>-</v>
      </c>
      <c r="W547" s="4"/>
      <c r="X547" s="38"/>
      <c r="Y547" s="1">
        <f t="shared" ca="1" si="52"/>
        <v>46162</v>
      </c>
      <c r="Z547" s="1" cm="1">
        <f t="array" ref="Z547">IF(D547&gt;DATE(2015,5,16),0,
K547*
(
INT((MIN(Y547,DATE(2015,5,16))-D547)/365)
+
CEILING(MOD((MIN(Y547,DATE(2015,5,16))-D547)/365,1),0.25)
)
*
_xlfn.SWITCH(J547,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47" s="1" cm="1">
        <f t="array" aca="1" ref="AA547" ca="1">IF(Y547&lt;DATE(2015,5,17),0,
K547*
(
INT((MIN(Y547,DATE(2018,9,23))-MAX(D547,DATE(2015,5,17)))/365)
+
CEILING(MOD((MIN(Y547,DATE(2018,9,23))-MAX(D547,DATE(2015,5,17)))/365,1),0.25)
)
*
_xlfn.SWITCH(J547,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47" s="1" cm="1">
        <f t="array" aca="1" ref="AB547" ca="1">IF(Y547&lt;DATE(2018,9,24),0,
IF(J547="زراعة",
K547*
(
INT((MIN(Y547,DATE(2023,4,30))-MAX(D547,DATE(2018,9,24)))/365)
+
CEILING(MOD((MIN(Y547,DATE(2023,4,30))-MAX(D547,DATE(2018,9,24)))/365,1),0.25)
)
*1,
K547*
(
DATEDIF(MAX(D547,DATE(2018,9,24)),MIN(Y547,DATE(2023,4,30)),"m")+1
)
*
_xlfn.SWITCH(J547,
"موقف/تندة",IF(D547&lt;DATE(2019,11,30),6,30),
"تشوينات",IF(D547&lt;DATE(2019,11,30),4,20),
"مشاتل",IF(D547&lt;DATE(2019,11,30),2,10),
"كافيتيريا",IF(D547&lt;DATE(2019,11,30),30,150),
"نوادي",IF(D547&lt;DATE(2019,11,30),6,30),
"رسو مراكب",IF(D547&lt;DATE(2019,11,30),2,10),
"مباني",IF(D547&lt;DATE(2018,9,24),2,10),
"عشش",IF(D547&lt;DATE(2019,11,30),2,10),
"كشك (تجاري/صناعي)",IF(D547&lt;DATE(2019,11,30),10,50),
"ردم",20,
0)))</f>
        <v>0</v>
      </c>
      <c r="AC547" s="1" cm="1">
        <f t="array" aca="1" ref="AC547" ca="1">IF(Y547&lt;DATE(2023,5,1),0,
IF(J547="زراعة",
K547*
(
INT((Y547-MAX(DATE(2023,5,1),D547))/365)
+
CEILING(MOD((Y547-MAX(DATE(2023,5,1),D547))/365,1),0.25)
)
*3,
IF(J547="ردم",
K547*20,
K547*
(
DATEDIF(MAX(DATE(2023,5,1),D547),Y547,"m")+1
)
*
_xlfn.SWITCH(J547,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47" s="1">
        <f t="shared" ca="1" si="53"/>
        <v>50</v>
      </c>
    </row>
    <row r="548" spans="1:30" ht="18.75" x14ac:dyDescent="0.25">
      <c r="A548" s="84">
        <v>493</v>
      </c>
      <c r="B548" s="82">
        <v>30</v>
      </c>
      <c r="C548" s="6">
        <v>2019</v>
      </c>
      <c r="D548" s="7">
        <v>43509</v>
      </c>
      <c r="E548" s="12"/>
      <c r="F548" s="6"/>
      <c r="G548" s="6" t="s">
        <v>701</v>
      </c>
      <c r="H548" s="6"/>
      <c r="I548" s="6" t="s">
        <v>144</v>
      </c>
      <c r="J548" s="3" t="s">
        <v>194</v>
      </c>
      <c r="K548" s="6"/>
      <c r="L548" s="3"/>
      <c r="M548" s="7"/>
      <c r="N548" s="6"/>
      <c r="O548" s="9">
        <f>0.47*Table2[[#This Row],[قيمة المحضر]]</f>
        <v>0</v>
      </c>
      <c r="P548" s="9">
        <f>0.17*Table2[[#This Row],[قيمة المحضر]]</f>
        <v>0</v>
      </c>
      <c r="Q548" s="9">
        <f t="shared" ca="1" si="54"/>
        <v>0</v>
      </c>
      <c r="R548" s="3"/>
      <c r="S548" s="3"/>
      <c r="T548" s="9" t="str">
        <f t="shared" si="55"/>
        <v>-</v>
      </c>
      <c r="U548" s="3" t="s">
        <v>25</v>
      </c>
      <c r="V548" s="9" t="str">
        <f t="shared" si="56"/>
        <v>-</v>
      </c>
      <c r="W548" s="4"/>
      <c r="X548" s="38"/>
      <c r="Y548" s="1">
        <f t="shared" ca="1" si="52"/>
        <v>46162</v>
      </c>
      <c r="Z548" s="1" cm="1">
        <f t="array" ref="Z548">IF(D548&gt;DATE(2015,5,16),0,
K548*
(
INT((MIN(Y548,DATE(2015,5,16))-D548)/365)
+
CEILING(MOD((MIN(Y548,DATE(2015,5,16))-D548)/365,1),0.25)
)
*
_xlfn.SWITCH(J548,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48" s="1" cm="1">
        <f t="array" aca="1" ref="AA548" ca="1">IF(Y548&lt;DATE(2015,5,17),0,
K548*
(
INT((MIN(Y548,DATE(2018,9,23))-MAX(D548,DATE(2015,5,17)))/365)
+
CEILING(MOD((MIN(Y548,DATE(2018,9,23))-MAX(D548,DATE(2015,5,17)))/365,1),0.25)
)
*
_xlfn.SWITCH(J548,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48" s="1" cm="1">
        <f t="array" aca="1" ref="AB548" ca="1">IF(Y548&lt;DATE(2018,9,24),0,
IF(J548="زراعة",
K548*
(
INT((MIN(Y548,DATE(2023,4,30))-MAX(D548,DATE(2018,9,24)))/365)
+
CEILING(MOD((MIN(Y548,DATE(2023,4,30))-MAX(D548,DATE(2018,9,24)))/365,1),0.25)
)
*1,
K548*
(
DATEDIF(MAX(D548,DATE(2018,9,24)),MIN(Y548,DATE(2023,4,30)),"m")+1
)
*
_xlfn.SWITCH(J548,
"موقف/تندة",IF(D548&lt;DATE(2019,11,30),6,30),
"تشوينات",IF(D548&lt;DATE(2019,11,30),4,20),
"مشاتل",IF(D548&lt;DATE(2019,11,30),2,10),
"كافيتيريا",IF(D548&lt;DATE(2019,11,30),30,150),
"نوادي",IF(D548&lt;DATE(2019,11,30),6,30),
"رسو مراكب",IF(D548&lt;DATE(2019,11,30),2,10),
"مباني",IF(D548&lt;DATE(2018,9,24),2,10),
"عشش",IF(D548&lt;DATE(2019,11,30),2,10),
"كشك (تجاري/صناعي)",IF(D548&lt;DATE(2019,11,30),10,50),
"ردم",20,
0)))</f>
        <v>0</v>
      </c>
      <c r="AC548" s="1" cm="1">
        <f t="array" aca="1" ref="AC548" ca="1">IF(Y548&lt;DATE(2023,5,1),0,
IF(J548="زراعة",
K548*
(
INT((Y548-MAX(DATE(2023,5,1),D548))/365)
+
CEILING(MOD((Y548-MAX(DATE(2023,5,1),D548))/365,1),0.25)
)
*3,
IF(J548="ردم",
K548*20,
K548*
(
DATEDIF(MAX(DATE(2023,5,1),D548),Y548,"m")+1
)
*
_xlfn.SWITCH(J548,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48" s="1">
        <f t="shared" ca="1" si="53"/>
        <v>50</v>
      </c>
    </row>
    <row r="549" spans="1:30" ht="18.75" x14ac:dyDescent="0.25">
      <c r="A549" s="84">
        <v>494</v>
      </c>
      <c r="B549" s="82">
        <v>31</v>
      </c>
      <c r="C549" s="6">
        <v>2019</v>
      </c>
      <c r="D549" s="7">
        <v>43509</v>
      </c>
      <c r="E549" s="12"/>
      <c r="F549" s="6"/>
      <c r="G549" s="6" t="s">
        <v>702</v>
      </c>
      <c r="H549" s="6"/>
      <c r="I549" s="6" t="s">
        <v>144</v>
      </c>
      <c r="J549" s="3" t="s">
        <v>751</v>
      </c>
      <c r="K549" s="6"/>
      <c r="L549" s="3"/>
      <c r="M549" s="7"/>
      <c r="N549" s="6"/>
      <c r="O549" s="9">
        <f>0.47*Table2[[#This Row],[قيمة المحضر]]</f>
        <v>0</v>
      </c>
      <c r="P549" s="9">
        <f>0.17*Table2[[#This Row],[قيمة المحضر]]</f>
        <v>0</v>
      </c>
      <c r="Q549" s="9">
        <f t="shared" ca="1" si="54"/>
        <v>0</v>
      </c>
      <c r="R549" s="3"/>
      <c r="S549" s="3"/>
      <c r="T549" s="9" t="str">
        <f t="shared" si="55"/>
        <v>-</v>
      </c>
      <c r="U549" s="3" t="s">
        <v>25</v>
      </c>
      <c r="V549" s="9" t="str">
        <f t="shared" si="56"/>
        <v>-</v>
      </c>
      <c r="W549" s="4"/>
      <c r="X549" s="38"/>
      <c r="Y549" s="1">
        <f t="shared" ca="1" si="52"/>
        <v>46162</v>
      </c>
      <c r="Z549" s="1" cm="1">
        <f t="array" ref="Z549">IF(D549&gt;DATE(2015,5,16),0,
K549*
(
INT((MIN(Y549,DATE(2015,5,16))-D549)/365)
+
CEILING(MOD((MIN(Y549,DATE(2015,5,16))-D549)/365,1),0.25)
)
*
_xlfn.SWITCH(J549,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49" s="1" cm="1">
        <f t="array" aca="1" ref="AA549" ca="1">IF(Y549&lt;DATE(2015,5,17),0,
K549*
(
INT((MIN(Y549,DATE(2018,9,23))-MAX(D549,DATE(2015,5,17)))/365)
+
CEILING(MOD((MIN(Y549,DATE(2018,9,23))-MAX(D549,DATE(2015,5,17)))/365,1),0.25)
)
*
_xlfn.SWITCH(J549,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49" s="1" cm="1">
        <f t="array" aca="1" ref="AB549" ca="1">IF(Y549&lt;DATE(2018,9,24),0,
IF(J549="زراعة",
K549*
(
INT((MIN(Y549,DATE(2023,4,30))-MAX(D549,DATE(2018,9,24)))/365)
+
CEILING(MOD((MIN(Y549,DATE(2023,4,30))-MAX(D549,DATE(2018,9,24)))/365,1),0.25)
)
*1,
K549*
(
DATEDIF(MAX(D549,DATE(2018,9,24)),MIN(Y549,DATE(2023,4,30)),"m")+1
)
*
_xlfn.SWITCH(J549,
"موقف/تندة",IF(D549&lt;DATE(2019,11,30),6,30),
"تشوينات",IF(D549&lt;DATE(2019,11,30),4,20),
"مشاتل",IF(D549&lt;DATE(2019,11,30),2,10),
"كافيتيريا",IF(D549&lt;DATE(2019,11,30),30,150),
"نوادي",IF(D549&lt;DATE(2019,11,30),6,30),
"رسو مراكب",IF(D549&lt;DATE(2019,11,30),2,10),
"مباني",IF(D549&lt;DATE(2018,9,24),2,10),
"عشش",IF(D549&lt;DATE(2019,11,30),2,10),
"كشك (تجاري/صناعي)",IF(D549&lt;DATE(2019,11,30),10,50),
"ردم",20,
0)))</f>
        <v>0</v>
      </c>
      <c r="AC549" s="1" cm="1">
        <f t="array" aca="1" ref="AC549" ca="1">IF(Y549&lt;DATE(2023,5,1),0,
IF(J549="زراعة",
K549*
(
INT((Y549-MAX(DATE(2023,5,1),D549))/365)
+
CEILING(MOD((Y549-MAX(DATE(2023,5,1),D549))/365,1),0.25)
)
*3,
IF(J549="ردم",
K549*20,
K549*
(
DATEDIF(MAX(DATE(2023,5,1),D549),Y549,"m")+1
)
*
_xlfn.SWITCH(J549,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49" s="1">
        <f t="shared" ca="1" si="53"/>
        <v>50</v>
      </c>
    </row>
    <row r="550" spans="1:30" ht="18.75" x14ac:dyDescent="0.25">
      <c r="A550" s="84">
        <v>494</v>
      </c>
      <c r="B550" s="82">
        <v>31</v>
      </c>
      <c r="C550" s="6">
        <v>2019</v>
      </c>
      <c r="D550" s="7">
        <v>43509</v>
      </c>
      <c r="E550" s="12"/>
      <c r="F550" s="6"/>
      <c r="G550" s="6" t="s">
        <v>702</v>
      </c>
      <c r="H550" s="6"/>
      <c r="I550" s="6" t="s">
        <v>144</v>
      </c>
      <c r="J550" s="3" t="s">
        <v>194</v>
      </c>
      <c r="K550" s="6"/>
      <c r="L550" s="3"/>
      <c r="M550" s="7"/>
      <c r="N550" s="6"/>
      <c r="O550" s="9">
        <f>0.47*Table2[[#This Row],[قيمة المحضر]]</f>
        <v>0</v>
      </c>
      <c r="P550" s="9">
        <f>0.17*Table2[[#This Row],[قيمة المحضر]]</f>
        <v>0</v>
      </c>
      <c r="Q550" s="9">
        <f t="shared" ca="1" si="54"/>
        <v>0</v>
      </c>
      <c r="R550" s="3"/>
      <c r="S550" s="3"/>
      <c r="T550" s="9" t="str">
        <f t="shared" si="55"/>
        <v>-</v>
      </c>
      <c r="U550" s="3" t="s">
        <v>25</v>
      </c>
      <c r="V550" s="9" t="str">
        <f t="shared" si="56"/>
        <v>-</v>
      </c>
      <c r="W550" s="4"/>
      <c r="X550" s="38"/>
      <c r="Y550" s="1">
        <f t="shared" ca="1" si="52"/>
        <v>46162</v>
      </c>
      <c r="Z550" s="1" cm="1">
        <f t="array" ref="Z550">IF(D550&gt;DATE(2015,5,16),0,
K550*
(
INT((MIN(Y550,DATE(2015,5,16))-D550)/365)
+
CEILING(MOD((MIN(Y550,DATE(2015,5,16))-D550)/365,1),0.25)
)
*
_xlfn.SWITCH(J550,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50" s="1" cm="1">
        <f t="array" aca="1" ref="AA550" ca="1">IF(Y550&lt;DATE(2015,5,17),0,
K550*
(
INT((MIN(Y550,DATE(2018,9,23))-MAX(D550,DATE(2015,5,17)))/365)
+
CEILING(MOD((MIN(Y550,DATE(2018,9,23))-MAX(D550,DATE(2015,5,17)))/365,1),0.25)
)
*
_xlfn.SWITCH(J550,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50" s="1" cm="1">
        <f t="array" aca="1" ref="AB550" ca="1">IF(Y550&lt;DATE(2018,9,24),0,
IF(J550="زراعة",
K550*
(
INT((MIN(Y550,DATE(2023,4,30))-MAX(D550,DATE(2018,9,24)))/365)
+
CEILING(MOD((MIN(Y550,DATE(2023,4,30))-MAX(D550,DATE(2018,9,24)))/365,1),0.25)
)
*1,
K550*
(
DATEDIF(MAX(D550,DATE(2018,9,24)),MIN(Y550,DATE(2023,4,30)),"m")+1
)
*
_xlfn.SWITCH(J550,
"موقف/تندة",IF(D550&lt;DATE(2019,11,30),6,30),
"تشوينات",IF(D550&lt;DATE(2019,11,30),4,20),
"مشاتل",IF(D550&lt;DATE(2019,11,30),2,10),
"كافيتيريا",IF(D550&lt;DATE(2019,11,30),30,150),
"نوادي",IF(D550&lt;DATE(2019,11,30),6,30),
"رسو مراكب",IF(D550&lt;DATE(2019,11,30),2,10),
"مباني",IF(D550&lt;DATE(2018,9,24),2,10),
"عشش",IF(D550&lt;DATE(2019,11,30),2,10),
"كشك (تجاري/صناعي)",IF(D550&lt;DATE(2019,11,30),10,50),
"ردم",20,
0)))</f>
        <v>0</v>
      </c>
      <c r="AC550" s="1" cm="1">
        <f t="array" aca="1" ref="AC550" ca="1">IF(Y550&lt;DATE(2023,5,1),0,
IF(J550="زراعة",
K550*
(
INT((Y550-MAX(DATE(2023,5,1),D550))/365)
+
CEILING(MOD((Y550-MAX(DATE(2023,5,1),D550))/365,1),0.25)
)
*3,
IF(J550="ردم",
K550*20,
K550*
(
DATEDIF(MAX(DATE(2023,5,1),D550),Y550,"m")+1
)
*
_xlfn.SWITCH(J550,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50" s="1">
        <f t="shared" ca="1" si="53"/>
        <v>50</v>
      </c>
    </row>
    <row r="551" spans="1:30" ht="18.75" x14ac:dyDescent="0.25">
      <c r="A551" s="84">
        <v>495</v>
      </c>
      <c r="B551" s="82">
        <v>32</v>
      </c>
      <c r="C551" s="6">
        <v>2019</v>
      </c>
      <c r="D551" s="7">
        <v>43509</v>
      </c>
      <c r="E551" s="12"/>
      <c r="F551" s="6"/>
      <c r="G551" s="6" t="s">
        <v>703</v>
      </c>
      <c r="H551" s="6"/>
      <c r="I551" s="6" t="s">
        <v>144</v>
      </c>
      <c r="J551" s="3" t="s">
        <v>751</v>
      </c>
      <c r="K551" s="6"/>
      <c r="L551" s="3"/>
      <c r="M551" s="7"/>
      <c r="N551" s="6"/>
      <c r="O551" s="9">
        <f>0.47*Table2[[#This Row],[قيمة المحضر]]</f>
        <v>0</v>
      </c>
      <c r="P551" s="9">
        <f>0.17*Table2[[#This Row],[قيمة المحضر]]</f>
        <v>0</v>
      </c>
      <c r="Q551" s="9">
        <f t="shared" ca="1" si="54"/>
        <v>0</v>
      </c>
      <c r="R551" s="3"/>
      <c r="S551" s="3"/>
      <c r="T551" s="9" t="str">
        <f t="shared" si="55"/>
        <v>-</v>
      </c>
      <c r="U551" s="3" t="s">
        <v>25</v>
      </c>
      <c r="V551" s="9" t="str">
        <f t="shared" si="56"/>
        <v>-</v>
      </c>
      <c r="W551" s="4"/>
      <c r="X551" s="38"/>
      <c r="Y551" s="1">
        <f t="shared" ca="1" si="52"/>
        <v>46162</v>
      </c>
      <c r="Z551" s="1" cm="1">
        <f t="array" ref="Z551">IF(D551&gt;DATE(2015,5,16),0,
K551*
(
INT((MIN(Y551,DATE(2015,5,16))-D551)/365)
+
CEILING(MOD((MIN(Y551,DATE(2015,5,16))-D551)/365,1),0.25)
)
*
_xlfn.SWITCH(J551,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51" s="1" cm="1">
        <f t="array" aca="1" ref="AA551" ca="1">IF(Y551&lt;DATE(2015,5,17),0,
K551*
(
INT((MIN(Y551,DATE(2018,9,23))-MAX(D551,DATE(2015,5,17)))/365)
+
CEILING(MOD((MIN(Y551,DATE(2018,9,23))-MAX(D551,DATE(2015,5,17)))/365,1),0.25)
)
*
_xlfn.SWITCH(J551,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51" s="1" cm="1">
        <f t="array" aca="1" ref="AB551" ca="1">IF(Y551&lt;DATE(2018,9,24),0,
IF(J551="زراعة",
K551*
(
INT((MIN(Y551,DATE(2023,4,30))-MAX(D551,DATE(2018,9,24)))/365)
+
CEILING(MOD((MIN(Y551,DATE(2023,4,30))-MAX(D551,DATE(2018,9,24)))/365,1),0.25)
)
*1,
K551*
(
DATEDIF(MAX(D551,DATE(2018,9,24)),MIN(Y551,DATE(2023,4,30)),"m")+1
)
*
_xlfn.SWITCH(J551,
"موقف/تندة",IF(D551&lt;DATE(2019,11,30),6,30),
"تشوينات",IF(D551&lt;DATE(2019,11,30),4,20),
"مشاتل",IF(D551&lt;DATE(2019,11,30),2,10),
"كافيتيريا",IF(D551&lt;DATE(2019,11,30),30,150),
"نوادي",IF(D551&lt;DATE(2019,11,30),6,30),
"رسو مراكب",IF(D551&lt;DATE(2019,11,30),2,10),
"مباني",IF(D551&lt;DATE(2018,9,24),2,10),
"عشش",IF(D551&lt;DATE(2019,11,30),2,10),
"كشك (تجاري/صناعي)",IF(D551&lt;DATE(2019,11,30),10,50),
"ردم",20,
0)))</f>
        <v>0</v>
      </c>
      <c r="AC551" s="1" cm="1">
        <f t="array" aca="1" ref="AC551" ca="1">IF(Y551&lt;DATE(2023,5,1),0,
IF(J551="زراعة",
K551*
(
INT((Y551-MAX(DATE(2023,5,1),D551))/365)
+
CEILING(MOD((Y551-MAX(DATE(2023,5,1),D551))/365,1),0.25)
)
*3,
IF(J551="ردم",
K551*20,
K551*
(
DATEDIF(MAX(DATE(2023,5,1),D551),Y551,"m")+1
)
*
_xlfn.SWITCH(J551,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51" s="1">
        <f t="shared" ca="1" si="53"/>
        <v>50</v>
      </c>
    </row>
    <row r="552" spans="1:30" ht="18.75" x14ac:dyDescent="0.25">
      <c r="A552" s="84">
        <v>495</v>
      </c>
      <c r="B552" s="82">
        <v>32</v>
      </c>
      <c r="C552" s="6">
        <v>2019</v>
      </c>
      <c r="D552" s="7">
        <v>43509</v>
      </c>
      <c r="E552" s="12"/>
      <c r="F552" s="6"/>
      <c r="G552" s="6" t="s">
        <v>703</v>
      </c>
      <c r="H552" s="6"/>
      <c r="I552" s="6" t="s">
        <v>144</v>
      </c>
      <c r="J552" s="3" t="s">
        <v>194</v>
      </c>
      <c r="K552" s="6"/>
      <c r="L552" s="3"/>
      <c r="M552" s="7"/>
      <c r="N552" s="6"/>
      <c r="O552" s="9">
        <f>0.47*Table2[[#This Row],[قيمة المحضر]]</f>
        <v>0</v>
      </c>
      <c r="P552" s="9">
        <f>0.17*Table2[[#This Row],[قيمة المحضر]]</f>
        <v>0</v>
      </c>
      <c r="Q552" s="9">
        <f t="shared" ca="1" si="54"/>
        <v>0</v>
      </c>
      <c r="R552" s="3"/>
      <c r="S552" s="3"/>
      <c r="T552" s="9" t="str">
        <f t="shared" si="55"/>
        <v>-</v>
      </c>
      <c r="U552" s="3" t="s">
        <v>25</v>
      </c>
      <c r="V552" s="9" t="str">
        <f t="shared" si="56"/>
        <v>-</v>
      </c>
      <c r="W552" s="4"/>
      <c r="X552" s="38"/>
      <c r="Y552" s="1">
        <f t="shared" ca="1" si="52"/>
        <v>46162</v>
      </c>
      <c r="Z552" s="1" cm="1">
        <f t="array" ref="Z552">IF(D552&gt;DATE(2015,5,16),0,
K552*
(
INT((MIN(Y552,DATE(2015,5,16))-D552)/365)
+
CEILING(MOD((MIN(Y552,DATE(2015,5,16))-D552)/365,1),0.25)
)
*
_xlfn.SWITCH(J552,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52" s="1" cm="1">
        <f t="array" aca="1" ref="AA552" ca="1">IF(Y552&lt;DATE(2015,5,17),0,
K552*
(
INT((MIN(Y552,DATE(2018,9,23))-MAX(D552,DATE(2015,5,17)))/365)
+
CEILING(MOD((MIN(Y552,DATE(2018,9,23))-MAX(D552,DATE(2015,5,17)))/365,1),0.25)
)
*
_xlfn.SWITCH(J552,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52" s="1" cm="1">
        <f t="array" aca="1" ref="AB552" ca="1">IF(Y552&lt;DATE(2018,9,24),0,
IF(J552="زراعة",
K552*
(
INT((MIN(Y552,DATE(2023,4,30))-MAX(D552,DATE(2018,9,24)))/365)
+
CEILING(MOD((MIN(Y552,DATE(2023,4,30))-MAX(D552,DATE(2018,9,24)))/365,1),0.25)
)
*1,
K552*
(
DATEDIF(MAX(D552,DATE(2018,9,24)),MIN(Y552,DATE(2023,4,30)),"m")+1
)
*
_xlfn.SWITCH(J552,
"موقف/تندة",IF(D552&lt;DATE(2019,11,30),6,30),
"تشوينات",IF(D552&lt;DATE(2019,11,30),4,20),
"مشاتل",IF(D552&lt;DATE(2019,11,30),2,10),
"كافيتيريا",IF(D552&lt;DATE(2019,11,30),30,150),
"نوادي",IF(D552&lt;DATE(2019,11,30),6,30),
"رسو مراكب",IF(D552&lt;DATE(2019,11,30),2,10),
"مباني",IF(D552&lt;DATE(2018,9,24),2,10),
"عشش",IF(D552&lt;DATE(2019,11,30),2,10),
"كشك (تجاري/صناعي)",IF(D552&lt;DATE(2019,11,30),10,50),
"ردم",20,
0)))</f>
        <v>0</v>
      </c>
      <c r="AC552" s="1" cm="1">
        <f t="array" aca="1" ref="AC552" ca="1">IF(Y552&lt;DATE(2023,5,1),0,
IF(J552="زراعة",
K552*
(
INT((Y552-MAX(DATE(2023,5,1),D552))/365)
+
CEILING(MOD((Y552-MAX(DATE(2023,5,1),D552))/365,1),0.25)
)
*3,
IF(J552="ردم",
K552*20,
K552*
(
DATEDIF(MAX(DATE(2023,5,1),D552),Y552,"m")+1
)
*
_xlfn.SWITCH(J552,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52" s="1">
        <f t="shared" ca="1" si="53"/>
        <v>50</v>
      </c>
    </row>
    <row r="553" spans="1:30" ht="18.75" x14ac:dyDescent="0.25">
      <c r="A553" s="84">
        <v>496</v>
      </c>
      <c r="B553" s="82">
        <v>33</v>
      </c>
      <c r="C553" s="6">
        <v>2019</v>
      </c>
      <c r="D553" s="7">
        <v>43509</v>
      </c>
      <c r="E553" s="12"/>
      <c r="F553" s="6"/>
      <c r="G553" s="6" t="s">
        <v>704</v>
      </c>
      <c r="H553" s="6"/>
      <c r="I553" s="6" t="s">
        <v>144</v>
      </c>
      <c r="J553" s="3" t="s">
        <v>751</v>
      </c>
      <c r="K553" s="6"/>
      <c r="L553" s="3"/>
      <c r="M553" s="7"/>
      <c r="N553" s="6"/>
      <c r="O553" s="9">
        <f>0.47*Table2[[#This Row],[قيمة المحضر]]</f>
        <v>0</v>
      </c>
      <c r="P553" s="9">
        <f>0.17*Table2[[#This Row],[قيمة المحضر]]</f>
        <v>0</v>
      </c>
      <c r="Q553" s="9">
        <f t="shared" ca="1" si="54"/>
        <v>0</v>
      </c>
      <c r="R553" s="3"/>
      <c r="S553" s="3"/>
      <c r="T553" s="9" t="str">
        <f t="shared" si="55"/>
        <v>-</v>
      </c>
      <c r="U553" s="3" t="s">
        <v>25</v>
      </c>
      <c r="V553" s="9" t="str">
        <f t="shared" si="56"/>
        <v>-</v>
      </c>
      <c r="W553" s="4"/>
      <c r="X553" s="38"/>
      <c r="Y553" s="1">
        <f t="shared" ca="1" si="52"/>
        <v>46162</v>
      </c>
      <c r="Z553" s="1" cm="1">
        <f t="array" ref="Z553">IF(D553&gt;DATE(2015,5,16),0,
K553*
(
INT((MIN(Y553,DATE(2015,5,16))-D553)/365)
+
CEILING(MOD((MIN(Y553,DATE(2015,5,16))-D553)/365,1),0.25)
)
*
_xlfn.SWITCH(J553,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53" s="1" cm="1">
        <f t="array" aca="1" ref="AA553" ca="1">IF(Y553&lt;DATE(2015,5,17),0,
K553*
(
INT((MIN(Y553,DATE(2018,9,23))-MAX(D553,DATE(2015,5,17)))/365)
+
CEILING(MOD((MIN(Y553,DATE(2018,9,23))-MAX(D553,DATE(2015,5,17)))/365,1),0.25)
)
*
_xlfn.SWITCH(J553,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53" s="1" cm="1">
        <f t="array" aca="1" ref="AB553" ca="1">IF(Y553&lt;DATE(2018,9,24),0,
IF(J553="زراعة",
K553*
(
INT((MIN(Y553,DATE(2023,4,30))-MAX(D553,DATE(2018,9,24)))/365)
+
CEILING(MOD((MIN(Y553,DATE(2023,4,30))-MAX(D553,DATE(2018,9,24)))/365,1),0.25)
)
*1,
K553*
(
DATEDIF(MAX(D553,DATE(2018,9,24)),MIN(Y553,DATE(2023,4,30)),"m")+1
)
*
_xlfn.SWITCH(J553,
"موقف/تندة",IF(D553&lt;DATE(2019,11,30),6,30),
"تشوينات",IF(D553&lt;DATE(2019,11,30),4,20),
"مشاتل",IF(D553&lt;DATE(2019,11,30),2,10),
"كافيتيريا",IF(D553&lt;DATE(2019,11,30),30,150),
"نوادي",IF(D553&lt;DATE(2019,11,30),6,30),
"رسو مراكب",IF(D553&lt;DATE(2019,11,30),2,10),
"مباني",IF(D553&lt;DATE(2018,9,24),2,10),
"عشش",IF(D553&lt;DATE(2019,11,30),2,10),
"كشك (تجاري/صناعي)",IF(D553&lt;DATE(2019,11,30),10,50),
"ردم",20,
0)))</f>
        <v>0</v>
      </c>
      <c r="AC553" s="1" cm="1">
        <f t="array" aca="1" ref="AC553" ca="1">IF(Y553&lt;DATE(2023,5,1),0,
IF(J553="زراعة",
K553*
(
INT((Y553-MAX(DATE(2023,5,1),D553))/365)
+
CEILING(MOD((Y553-MAX(DATE(2023,5,1),D553))/365,1),0.25)
)
*3,
IF(J553="ردم",
K553*20,
K553*
(
DATEDIF(MAX(DATE(2023,5,1),D553),Y553,"m")+1
)
*
_xlfn.SWITCH(J553,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53" s="1">
        <f t="shared" ca="1" si="53"/>
        <v>50</v>
      </c>
    </row>
    <row r="554" spans="1:30" ht="18.75" x14ac:dyDescent="0.25">
      <c r="A554" s="84">
        <v>496</v>
      </c>
      <c r="B554" s="82">
        <v>33</v>
      </c>
      <c r="C554" s="6">
        <v>2019</v>
      </c>
      <c r="D554" s="7">
        <v>43509</v>
      </c>
      <c r="E554" s="12"/>
      <c r="F554" s="6"/>
      <c r="G554" s="6" t="s">
        <v>704</v>
      </c>
      <c r="H554" s="6"/>
      <c r="I554" s="6" t="s">
        <v>144</v>
      </c>
      <c r="J554" s="3" t="s">
        <v>194</v>
      </c>
      <c r="K554" s="6"/>
      <c r="L554" s="3"/>
      <c r="M554" s="7"/>
      <c r="N554" s="6"/>
      <c r="O554" s="9">
        <f>0.47*Table2[[#This Row],[قيمة المحضر]]</f>
        <v>0</v>
      </c>
      <c r="P554" s="9">
        <f>0.17*Table2[[#This Row],[قيمة المحضر]]</f>
        <v>0</v>
      </c>
      <c r="Q554" s="9">
        <f t="shared" ca="1" si="54"/>
        <v>0</v>
      </c>
      <c r="R554" s="3"/>
      <c r="S554" s="3"/>
      <c r="T554" s="9" t="str">
        <f t="shared" si="55"/>
        <v>-</v>
      </c>
      <c r="U554" s="3" t="s">
        <v>25</v>
      </c>
      <c r="V554" s="9" t="str">
        <f t="shared" si="56"/>
        <v>-</v>
      </c>
      <c r="W554" s="4"/>
      <c r="X554" s="38"/>
      <c r="Y554" s="1">
        <f t="shared" ca="1" si="52"/>
        <v>46162</v>
      </c>
      <c r="Z554" s="1" cm="1">
        <f t="array" ref="Z554">IF(D554&gt;DATE(2015,5,16),0,
K554*
(
INT((MIN(Y554,DATE(2015,5,16))-D554)/365)
+
CEILING(MOD((MIN(Y554,DATE(2015,5,16))-D554)/365,1),0.25)
)
*
_xlfn.SWITCH(J554,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54" s="1" cm="1">
        <f t="array" aca="1" ref="AA554" ca="1">IF(Y554&lt;DATE(2015,5,17),0,
K554*
(
INT((MIN(Y554,DATE(2018,9,23))-MAX(D554,DATE(2015,5,17)))/365)
+
CEILING(MOD((MIN(Y554,DATE(2018,9,23))-MAX(D554,DATE(2015,5,17)))/365,1),0.25)
)
*
_xlfn.SWITCH(J554,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54" s="1" cm="1">
        <f t="array" aca="1" ref="AB554" ca="1">IF(Y554&lt;DATE(2018,9,24),0,
IF(J554="زراعة",
K554*
(
INT((MIN(Y554,DATE(2023,4,30))-MAX(D554,DATE(2018,9,24)))/365)
+
CEILING(MOD((MIN(Y554,DATE(2023,4,30))-MAX(D554,DATE(2018,9,24)))/365,1),0.25)
)
*1,
K554*
(
DATEDIF(MAX(D554,DATE(2018,9,24)),MIN(Y554,DATE(2023,4,30)),"m")+1
)
*
_xlfn.SWITCH(J554,
"موقف/تندة",IF(D554&lt;DATE(2019,11,30),6,30),
"تشوينات",IF(D554&lt;DATE(2019,11,30),4,20),
"مشاتل",IF(D554&lt;DATE(2019,11,30),2,10),
"كافيتيريا",IF(D554&lt;DATE(2019,11,30),30,150),
"نوادي",IF(D554&lt;DATE(2019,11,30),6,30),
"رسو مراكب",IF(D554&lt;DATE(2019,11,30),2,10),
"مباني",IF(D554&lt;DATE(2018,9,24),2,10),
"عشش",IF(D554&lt;DATE(2019,11,30),2,10),
"كشك (تجاري/صناعي)",IF(D554&lt;DATE(2019,11,30),10,50),
"ردم",20,
0)))</f>
        <v>0</v>
      </c>
      <c r="AC554" s="1" cm="1">
        <f t="array" aca="1" ref="AC554" ca="1">IF(Y554&lt;DATE(2023,5,1),0,
IF(J554="زراعة",
K554*
(
INT((Y554-MAX(DATE(2023,5,1),D554))/365)
+
CEILING(MOD((Y554-MAX(DATE(2023,5,1),D554))/365,1),0.25)
)
*3,
IF(J554="ردم",
K554*20,
K554*
(
DATEDIF(MAX(DATE(2023,5,1),D554),Y554,"m")+1
)
*
_xlfn.SWITCH(J554,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54" s="1">
        <f t="shared" ca="1" si="53"/>
        <v>50</v>
      </c>
    </row>
    <row r="555" spans="1:30" ht="18.75" x14ac:dyDescent="0.25">
      <c r="A555" s="84">
        <v>497</v>
      </c>
      <c r="B555" s="82">
        <v>34</v>
      </c>
      <c r="C555" s="6">
        <v>2019</v>
      </c>
      <c r="D555" s="7">
        <v>43509</v>
      </c>
      <c r="E555" s="12"/>
      <c r="F555" s="6"/>
      <c r="G555" s="6" t="s">
        <v>705</v>
      </c>
      <c r="H555" s="6"/>
      <c r="I555" s="6" t="s">
        <v>144</v>
      </c>
      <c r="J555" s="3" t="s">
        <v>751</v>
      </c>
      <c r="K555" s="6"/>
      <c r="L555" s="3"/>
      <c r="M555" s="7"/>
      <c r="N555" s="6"/>
      <c r="O555" s="9">
        <f>0.47*Table2[[#This Row],[قيمة المحضر]]</f>
        <v>0</v>
      </c>
      <c r="P555" s="9">
        <f>0.17*Table2[[#This Row],[قيمة المحضر]]</f>
        <v>0</v>
      </c>
      <c r="Q555" s="9">
        <f t="shared" ca="1" si="54"/>
        <v>0</v>
      </c>
      <c r="R555" s="3"/>
      <c r="S555" s="3"/>
      <c r="T555" s="9" t="str">
        <f t="shared" si="55"/>
        <v>-</v>
      </c>
      <c r="U555" s="3" t="s">
        <v>25</v>
      </c>
      <c r="V555" s="9" t="str">
        <f t="shared" si="56"/>
        <v>-</v>
      </c>
      <c r="W555" s="4"/>
      <c r="X555" s="38"/>
      <c r="Y555" s="1">
        <f t="shared" ca="1" si="52"/>
        <v>46162</v>
      </c>
      <c r="Z555" s="1" cm="1">
        <f t="array" ref="Z555">IF(D555&gt;DATE(2015,5,16),0,
K555*
(
INT((MIN(Y555,DATE(2015,5,16))-D555)/365)
+
CEILING(MOD((MIN(Y555,DATE(2015,5,16))-D555)/365,1),0.25)
)
*
_xlfn.SWITCH(J555,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55" s="1" cm="1">
        <f t="array" aca="1" ref="AA555" ca="1">IF(Y555&lt;DATE(2015,5,17),0,
K555*
(
INT((MIN(Y555,DATE(2018,9,23))-MAX(D555,DATE(2015,5,17)))/365)
+
CEILING(MOD((MIN(Y555,DATE(2018,9,23))-MAX(D555,DATE(2015,5,17)))/365,1),0.25)
)
*
_xlfn.SWITCH(J555,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55" s="1" cm="1">
        <f t="array" aca="1" ref="AB555" ca="1">IF(Y555&lt;DATE(2018,9,24),0,
IF(J555="زراعة",
K555*
(
INT((MIN(Y555,DATE(2023,4,30))-MAX(D555,DATE(2018,9,24)))/365)
+
CEILING(MOD((MIN(Y555,DATE(2023,4,30))-MAX(D555,DATE(2018,9,24)))/365,1),0.25)
)
*1,
K555*
(
DATEDIF(MAX(D555,DATE(2018,9,24)),MIN(Y555,DATE(2023,4,30)),"m")+1
)
*
_xlfn.SWITCH(J555,
"موقف/تندة",IF(D555&lt;DATE(2019,11,30),6,30),
"تشوينات",IF(D555&lt;DATE(2019,11,30),4,20),
"مشاتل",IF(D555&lt;DATE(2019,11,30),2,10),
"كافيتيريا",IF(D555&lt;DATE(2019,11,30),30,150),
"نوادي",IF(D555&lt;DATE(2019,11,30),6,30),
"رسو مراكب",IF(D555&lt;DATE(2019,11,30),2,10),
"مباني",IF(D555&lt;DATE(2018,9,24),2,10),
"عشش",IF(D555&lt;DATE(2019,11,30),2,10),
"كشك (تجاري/صناعي)",IF(D555&lt;DATE(2019,11,30),10,50),
"ردم",20,
0)))</f>
        <v>0</v>
      </c>
      <c r="AC555" s="1" cm="1">
        <f t="array" aca="1" ref="AC555" ca="1">IF(Y555&lt;DATE(2023,5,1),0,
IF(J555="زراعة",
K555*
(
INT((Y555-MAX(DATE(2023,5,1),D555))/365)
+
CEILING(MOD((Y555-MAX(DATE(2023,5,1),D555))/365,1),0.25)
)
*3,
IF(J555="ردم",
K555*20,
K555*
(
DATEDIF(MAX(DATE(2023,5,1),D555),Y555,"m")+1
)
*
_xlfn.SWITCH(J555,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55" s="1">
        <f t="shared" ca="1" si="53"/>
        <v>50</v>
      </c>
    </row>
    <row r="556" spans="1:30" ht="18.75" x14ac:dyDescent="0.25">
      <c r="A556" s="84">
        <v>497</v>
      </c>
      <c r="B556" s="82">
        <v>34</v>
      </c>
      <c r="C556" s="6">
        <v>2019</v>
      </c>
      <c r="D556" s="7">
        <v>43509</v>
      </c>
      <c r="E556" s="12"/>
      <c r="F556" s="6"/>
      <c r="G556" s="6" t="s">
        <v>705</v>
      </c>
      <c r="H556" s="6"/>
      <c r="I556" s="6" t="s">
        <v>144</v>
      </c>
      <c r="J556" s="3" t="s">
        <v>194</v>
      </c>
      <c r="K556" s="6"/>
      <c r="L556" s="3"/>
      <c r="M556" s="7"/>
      <c r="N556" s="6"/>
      <c r="O556" s="9">
        <f>0.47*Table2[[#This Row],[قيمة المحضر]]</f>
        <v>0</v>
      </c>
      <c r="P556" s="9">
        <f>0.17*Table2[[#This Row],[قيمة المحضر]]</f>
        <v>0</v>
      </c>
      <c r="Q556" s="9">
        <f t="shared" ca="1" si="54"/>
        <v>0</v>
      </c>
      <c r="R556" s="3"/>
      <c r="S556" s="3"/>
      <c r="T556" s="9" t="str">
        <f t="shared" si="55"/>
        <v>-</v>
      </c>
      <c r="U556" s="3" t="s">
        <v>25</v>
      </c>
      <c r="V556" s="9" t="str">
        <f t="shared" si="56"/>
        <v>-</v>
      </c>
      <c r="W556" s="4"/>
      <c r="X556" s="38"/>
      <c r="Y556" s="1">
        <f t="shared" ca="1" si="52"/>
        <v>46162</v>
      </c>
      <c r="Z556" s="1" cm="1">
        <f t="array" ref="Z556">IF(D556&gt;DATE(2015,5,16),0,
K556*
(
INT((MIN(Y556,DATE(2015,5,16))-D556)/365)
+
CEILING(MOD((MIN(Y556,DATE(2015,5,16))-D556)/365,1),0.25)
)
*
_xlfn.SWITCH(J556,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56" s="1" cm="1">
        <f t="array" aca="1" ref="AA556" ca="1">IF(Y556&lt;DATE(2015,5,17),0,
K556*
(
INT((MIN(Y556,DATE(2018,9,23))-MAX(D556,DATE(2015,5,17)))/365)
+
CEILING(MOD((MIN(Y556,DATE(2018,9,23))-MAX(D556,DATE(2015,5,17)))/365,1),0.25)
)
*
_xlfn.SWITCH(J556,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56" s="1" cm="1">
        <f t="array" aca="1" ref="AB556" ca="1">IF(Y556&lt;DATE(2018,9,24),0,
IF(J556="زراعة",
K556*
(
INT((MIN(Y556,DATE(2023,4,30))-MAX(D556,DATE(2018,9,24)))/365)
+
CEILING(MOD((MIN(Y556,DATE(2023,4,30))-MAX(D556,DATE(2018,9,24)))/365,1),0.25)
)
*1,
K556*
(
DATEDIF(MAX(D556,DATE(2018,9,24)),MIN(Y556,DATE(2023,4,30)),"m")+1
)
*
_xlfn.SWITCH(J556,
"موقف/تندة",IF(D556&lt;DATE(2019,11,30),6,30),
"تشوينات",IF(D556&lt;DATE(2019,11,30),4,20),
"مشاتل",IF(D556&lt;DATE(2019,11,30),2,10),
"كافيتيريا",IF(D556&lt;DATE(2019,11,30),30,150),
"نوادي",IF(D556&lt;DATE(2019,11,30),6,30),
"رسو مراكب",IF(D556&lt;DATE(2019,11,30),2,10),
"مباني",IF(D556&lt;DATE(2018,9,24),2,10),
"عشش",IF(D556&lt;DATE(2019,11,30),2,10),
"كشك (تجاري/صناعي)",IF(D556&lt;DATE(2019,11,30),10,50),
"ردم",20,
0)))</f>
        <v>0</v>
      </c>
      <c r="AC556" s="1" cm="1">
        <f t="array" aca="1" ref="AC556" ca="1">IF(Y556&lt;DATE(2023,5,1),0,
IF(J556="زراعة",
K556*
(
INT((Y556-MAX(DATE(2023,5,1),D556))/365)
+
CEILING(MOD((Y556-MAX(DATE(2023,5,1),D556))/365,1),0.25)
)
*3,
IF(J556="ردم",
K556*20,
K556*
(
DATEDIF(MAX(DATE(2023,5,1),D556),Y556,"m")+1
)
*
_xlfn.SWITCH(J556,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56" s="1">
        <f t="shared" ca="1" si="53"/>
        <v>50</v>
      </c>
    </row>
    <row r="557" spans="1:30" ht="18.75" x14ac:dyDescent="0.25">
      <c r="A557" s="84">
        <v>498</v>
      </c>
      <c r="B557" s="82">
        <v>35</v>
      </c>
      <c r="C557" s="6">
        <v>2019</v>
      </c>
      <c r="D557" s="7">
        <v>43509</v>
      </c>
      <c r="E557" s="12"/>
      <c r="F557" s="6"/>
      <c r="G557" s="6" t="s">
        <v>706</v>
      </c>
      <c r="H557" s="6"/>
      <c r="I557" s="6" t="s">
        <v>144</v>
      </c>
      <c r="J557" s="3" t="s">
        <v>751</v>
      </c>
      <c r="K557" s="6"/>
      <c r="L557" s="3"/>
      <c r="M557" s="7"/>
      <c r="N557" s="6"/>
      <c r="O557" s="9">
        <f>0.47*Table2[[#This Row],[قيمة المحضر]]</f>
        <v>0</v>
      </c>
      <c r="P557" s="9">
        <f>0.17*Table2[[#This Row],[قيمة المحضر]]</f>
        <v>0</v>
      </c>
      <c r="Q557" s="9">
        <f t="shared" ca="1" si="54"/>
        <v>0</v>
      </c>
      <c r="R557" s="3"/>
      <c r="S557" s="3"/>
      <c r="T557" s="9" t="str">
        <f t="shared" si="55"/>
        <v>-</v>
      </c>
      <c r="U557" s="3" t="s">
        <v>25</v>
      </c>
      <c r="V557" s="9" t="str">
        <f t="shared" si="56"/>
        <v>-</v>
      </c>
      <c r="W557" s="4"/>
      <c r="X557" s="38"/>
      <c r="Y557" s="1">
        <f t="shared" ca="1" si="52"/>
        <v>46162</v>
      </c>
      <c r="Z557" s="1" cm="1">
        <f t="array" ref="Z557">IF(D557&gt;DATE(2015,5,16),0,
K557*
(
INT((MIN(Y557,DATE(2015,5,16))-D557)/365)
+
CEILING(MOD((MIN(Y557,DATE(2015,5,16))-D557)/365,1),0.25)
)
*
_xlfn.SWITCH(J557,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57" s="1" cm="1">
        <f t="array" aca="1" ref="AA557" ca="1">IF(Y557&lt;DATE(2015,5,17),0,
K557*
(
INT((MIN(Y557,DATE(2018,9,23))-MAX(D557,DATE(2015,5,17)))/365)
+
CEILING(MOD((MIN(Y557,DATE(2018,9,23))-MAX(D557,DATE(2015,5,17)))/365,1),0.25)
)
*
_xlfn.SWITCH(J557,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57" s="1" cm="1">
        <f t="array" aca="1" ref="AB557" ca="1">IF(Y557&lt;DATE(2018,9,24),0,
IF(J557="زراعة",
K557*
(
INT((MIN(Y557,DATE(2023,4,30))-MAX(D557,DATE(2018,9,24)))/365)
+
CEILING(MOD((MIN(Y557,DATE(2023,4,30))-MAX(D557,DATE(2018,9,24)))/365,1),0.25)
)
*1,
K557*
(
DATEDIF(MAX(D557,DATE(2018,9,24)),MIN(Y557,DATE(2023,4,30)),"m")+1
)
*
_xlfn.SWITCH(J557,
"موقف/تندة",IF(D557&lt;DATE(2019,11,30),6,30),
"تشوينات",IF(D557&lt;DATE(2019,11,30),4,20),
"مشاتل",IF(D557&lt;DATE(2019,11,30),2,10),
"كافيتيريا",IF(D557&lt;DATE(2019,11,30),30,150),
"نوادي",IF(D557&lt;DATE(2019,11,30),6,30),
"رسو مراكب",IF(D557&lt;DATE(2019,11,30),2,10),
"مباني",IF(D557&lt;DATE(2018,9,24),2,10),
"عشش",IF(D557&lt;DATE(2019,11,30),2,10),
"كشك (تجاري/صناعي)",IF(D557&lt;DATE(2019,11,30),10,50),
"ردم",20,
0)))</f>
        <v>0</v>
      </c>
      <c r="AC557" s="1" cm="1">
        <f t="array" aca="1" ref="AC557" ca="1">IF(Y557&lt;DATE(2023,5,1),0,
IF(J557="زراعة",
K557*
(
INT((Y557-MAX(DATE(2023,5,1),D557))/365)
+
CEILING(MOD((Y557-MAX(DATE(2023,5,1),D557))/365,1),0.25)
)
*3,
IF(J557="ردم",
K557*20,
K557*
(
DATEDIF(MAX(DATE(2023,5,1),D557),Y557,"m")+1
)
*
_xlfn.SWITCH(J557,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57" s="1">
        <f t="shared" ca="1" si="53"/>
        <v>50</v>
      </c>
    </row>
    <row r="558" spans="1:30" ht="18.75" x14ac:dyDescent="0.25">
      <c r="A558" s="84">
        <v>498</v>
      </c>
      <c r="B558" s="82">
        <v>35</v>
      </c>
      <c r="C558" s="6">
        <v>2019</v>
      </c>
      <c r="D558" s="7">
        <v>43509</v>
      </c>
      <c r="E558" s="12"/>
      <c r="F558" s="6"/>
      <c r="G558" s="6" t="s">
        <v>706</v>
      </c>
      <c r="H558" s="6"/>
      <c r="I558" s="6" t="s">
        <v>144</v>
      </c>
      <c r="J558" s="3" t="s">
        <v>194</v>
      </c>
      <c r="K558" s="6"/>
      <c r="L558" s="3"/>
      <c r="M558" s="7"/>
      <c r="N558" s="6"/>
      <c r="O558" s="9">
        <f>0.47*Table2[[#This Row],[قيمة المحضر]]</f>
        <v>0</v>
      </c>
      <c r="P558" s="9">
        <f>0.17*Table2[[#This Row],[قيمة المحضر]]</f>
        <v>0</v>
      </c>
      <c r="Q558" s="9">
        <f t="shared" ca="1" si="54"/>
        <v>0</v>
      </c>
      <c r="R558" s="3"/>
      <c r="S558" s="3"/>
      <c r="T558" s="9" t="str">
        <f t="shared" si="55"/>
        <v>-</v>
      </c>
      <c r="U558" s="3" t="s">
        <v>25</v>
      </c>
      <c r="V558" s="9" t="str">
        <f t="shared" si="56"/>
        <v>-</v>
      </c>
      <c r="W558" s="4"/>
      <c r="X558" s="38"/>
      <c r="Y558" s="1">
        <f t="shared" ca="1" si="52"/>
        <v>46162</v>
      </c>
      <c r="Z558" s="1" cm="1">
        <f t="array" ref="Z558">IF(D558&gt;DATE(2015,5,16),0,
K558*
(
INT((MIN(Y558,DATE(2015,5,16))-D558)/365)
+
CEILING(MOD((MIN(Y558,DATE(2015,5,16))-D558)/365,1),0.25)
)
*
_xlfn.SWITCH(J558,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58" s="1" cm="1">
        <f t="array" aca="1" ref="AA558" ca="1">IF(Y558&lt;DATE(2015,5,17),0,
K558*
(
INT((MIN(Y558,DATE(2018,9,23))-MAX(D558,DATE(2015,5,17)))/365)
+
CEILING(MOD((MIN(Y558,DATE(2018,9,23))-MAX(D558,DATE(2015,5,17)))/365,1),0.25)
)
*
_xlfn.SWITCH(J558,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58" s="1" cm="1">
        <f t="array" aca="1" ref="AB558" ca="1">IF(Y558&lt;DATE(2018,9,24),0,
IF(J558="زراعة",
K558*
(
INT((MIN(Y558,DATE(2023,4,30))-MAX(D558,DATE(2018,9,24)))/365)
+
CEILING(MOD((MIN(Y558,DATE(2023,4,30))-MAX(D558,DATE(2018,9,24)))/365,1),0.25)
)
*1,
K558*
(
DATEDIF(MAX(D558,DATE(2018,9,24)),MIN(Y558,DATE(2023,4,30)),"m")+1
)
*
_xlfn.SWITCH(J558,
"موقف/تندة",IF(D558&lt;DATE(2019,11,30),6,30),
"تشوينات",IF(D558&lt;DATE(2019,11,30),4,20),
"مشاتل",IF(D558&lt;DATE(2019,11,30),2,10),
"كافيتيريا",IF(D558&lt;DATE(2019,11,30),30,150),
"نوادي",IF(D558&lt;DATE(2019,11,30),6,30),
"رسو مراكب",IF(D558&lt;DATE(2019,11,30),2,10),
"مباني",IF(D558&lt;DATE(2018,9,24),2,10),
"عشش",IF(D558&lt;DATE(2019,11,30),2,10),
"كشك (تجاري/صناعي)",IF(D558&lt;DATE(2019,11,30),10,50),
"ردم",20,
0)))</f>
        <v>0</v>
      </c>
      <c r="AC558" s="1" cm="1">
        <f t="array" aca="1" ref="AC558" ca="1">IF(Y558&lt;DATE(2023,5,1),0,
IF(J558="زراعة",
K558*
(
INT((Y558-MAX(DATE(2023,5,1),D558))/365)
+
CEILING(MOD((Y558-MAX(DATE(2023,5,1),D558))/365,1),0.25)
)
*3,
IF(J558="ردم",
K558*20,
K558*
(
DATEDIF(MAX(DATE(2023,5,1),D558),Y558,"m")+1
)
*
_xlfn.SWITCH(J558,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58" s="1">
        <f t="shared" ca="1" si="53"/>
        <v>50</v>
      </c>
    </row>
    <row r="559" spans="1:30" ht="18.75" x14ac:dyDescent="0.25">
      <c r="A559" s="84">
        <v>499</v>
      </c>
      <c r="B559" s="82">
        <v>36</v>
      </c>
      <c r="C559" s="6">
        <v>2019</v>
      </c>
      <c r="D559" s="7">
        <v>43509</v>
      </c>
      <c r="E559" s="12"/>
      <c r="F559" s="6"/>
      <c r="G559" s="6" t="s">
        <v>707</v>
      </c>
      <c r="H559" s="6"/>
      <c r="I559" s="6" t="s">
        <v>144</v>
      </c>
      <c r="J559" s="3" t="s">
        <v>751</v>
      </c>
      <c r="K559" s="6"/>
      <c r="L559" s="3"/>
      <c r="M559" s="7"/>
      <c r="N559" s="6"/>
      <c r="O559" s="9">
        <f>0.47*Table2[[#This Row],[قيمة المحضر]]</f>
        <v>0</v>
      </c>
      <c r="P559" s="9">
        <f>0.17*Table2[[#This Row],[قيمة المحضر]]</f>
        <v>0</v>
      </c>
      <c r="Q559" s="9">
        <f t="shared" ca="1" si="54"/>
        <v>0</v>
      </c>
      <c r="R559" s="3"/>
      <c r="S559" s="3"/>
      <c r="T559" s="9" t="str">
        <f t="shared" si="55"/>
        <v>-</v>
      </c>
      <c r="U559" s="3" t="s">
        <v>25</v>
      </c>
      <c r="V559" s="9" t="str">
        <f t="shared" si="56"/>
        <v>-</v>
      </c>
      <c r="W559" s="4"/>
      <c r="X559" s="38"/>
      <c r="Y559" s="1">
        <f t="shared" ca="1" si="52"/>
        <v>46162</v>
      </c>
      <c r="Z559" s="1" cm="1">
        <f t="array" ref="Z559">IF(D559&gt;DATE(2015,5,16),0,
K559*
(
INT((MIN(Y559,DATE(2015,5,16))-D559)/365)
+
CEILING(MOD((MIN(Y559,DATE(2015,5,16))-D559)/365,1),0.25)
)
*
_xlfn.SWITCH(J559,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59" s="1" cm="1">
        <f t="array" aca="1" ref="AA559" ca="1">IF(Y559&lt;DATE(2015,5,17),0,
K559*
(
INT((MIN(Y559,DATE(2018,9,23))-MAX(D559,DATE(2015,5,17)))/365)
+
CEILING(MOD((MIN(Y559,DATE(2018,9,23))-MAX(D559,DATE(2015,5,17)))/365,1),0.25)
)
*
_xlfn.SWITCH(J559,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59" s="1" cm="1">
        <f t="array" aca="1" ref="AB559" ca="1">IF(Y559&lt;DATE(2018,9,24),0,
IF(J559="زراعة",
K559*
(
INT((MIN(Y559,DATE(2023,4,30))-MAX(D559,DATE(2018,9,24)))/365)
+
CEILING(MOD((MIN(Y559,DATE(2023,4,30))-MAX(D559,DATE(2018,9,24)))/365,1),0.25)
)
*1,
K559*
(
DATEDIF(MAX(D559,DATE(2018,9,24)),MIN(Y559,DATE(2023,4,30)),"m")+1
)
*
_xlfn.SWITCH(J559,
"موقف/تندة",IF(D559&lt;DATE(2019,11,30),6,30),
"تشوينات",IF(D559&lt;DATE(2019,11,30),4,20),
"مشاتل",IF(D559&lt;DATE(2019,11,30),2,10),
"كافيتيريا",IF(D559&lt;DATE(2019,11,30),30,150),
"نوادي",IF(D559&lt;DATE(2019,11,30),6,30),
"رسو مراكب",IF(D559&lt;DATE(2019,11,30),2,10),
"مباني",IF(D559&lt;DATE(2018,9,24),2,10),
"عشش",IF(D559&lt;DATE(2019,11,30),2,10),
"كشك (تجاري/صناعي)",IF(D559&lt;DATE(2019,11,30),10,50),
"ردم",20,
0)))</f>
        <v>0</v>
      </c>
      <c r="AC559" s="1" cm="1">
        <f t="array" aca="1" ref="AC559" ca="1">IF(Y559&lt;DATE(2023,5,1),0,
IF(J559="زراعة",
K559*
(
INT((Y559-MAX(DATE(2023,5,1),D559))/365)
+
CEILING(MOD((Y559-MAX(DATE(2023,5,1),D559))/365,1),0.25)
)
*3,
IF(J559="ردم",
K559*20,
K559*
(
DATEDIF(MAX(DATE(2023,5,1),D559),Y559,"m")+1
)
*
_xlfn.SWITCH(J559,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59" s="1">
        <f t="shared" ca="1" si="53"/>
        <v>50</v>
      </c>
    </row>
    <row r="560" spans="1:30" ht="18.75" x14ac:dyDescent="0.25">
      <c r="A560" s="84">
        <v>499</v>
      </c>
      <c r="B560" s="82">
        <v>36</v>
      </c>
      <c r="C560" s="6">
        <v>2019</v>
      </c>
      <c r="D560" s="7">
        <v>43509</v>
      </c>
      <c r="E560" s="12"/>
      <c r="F560" s="6"/>
      <c r="G560" s="6" t="s">
        <v>707</v>
      </c>
      <c r="H560" s="6"/>
      <c r="I560" s="6" t="s">
        <v>144</v>
      </c>
      <c r="J560" s="3" t="s">
        <v>194</v>
      </c>
      <c r="K560" s="6"/>
      <c r="L560" s="3"/>
      <c r="M560" s="7"/>
      <c r="N560" s="6"/>
      <c r="O560" s="9">
        <f>0.47*Table2[[#This Row],[قيمة المحضر]]</f>
        <v>0</v>
      </c>
      <c r="P560" s="9">
        <f>0.17*Table2[[#This Row],[قيمة المحضر]]</f>
        <v>0</v>
      </c>
      <c r="Q560" s="9">
        <f t="shared" ca="1" si="54"/>
        <v>0</v>
      </c>
      <c r="R560" s="3"/>
      <c r="S560" s="3"/>
      <c r="T560" s="9" t="str">
        <f t="shared" si="55"/>
        <v>-</v>
      </c>
      <c r="U560" s="3" t="s">
        <v>25</v>
      </c>
      <c r="V560" s="9" t="str">
        <f t="shared" si="56"/>
        <v>-</v>
      </c>
      <c r="W560" s="4"/>
      <c r="X560" s="38"/>
      <c r="Y560" s="1">
        <f t="shared" ca="1" si="52"/>
        <v>46162</v>
      </c>
      <c r="Z560" s="1" cm="1">
        <f t="array" ref="Z560">IF(D560&gt;DATE(2015,5,16),0,
K560*
(
INT((MIN(Y560,DATE(2015,5,16))-D560)/365)
+
CEILING(MOD((MIN(Y560,DATE(2015,5,16))-D560)/365,1),0.25)
)
*
_xlfn.SWITCH(J560,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60" s="1" cm="1">
        <f t="array" aca="1" ref="AA560" ca="1">IF(Y560&lt;DATE(2015,5,17),0,
K560*
(
INT((MIN(Y560,DATE(2018,9,23))-MAX(D560,DATE(2015,5,17)))/365)
+
CEILING(MOD((MIN(Y560,DATE(2018,9,23))-MAX(D560,DATE(2015,5,17)))/365,1),0.25)
)
*
_xlfn.SWITCH(J560,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60" s="1" cm="1">
        <f t="array" aca="1" ref="AB560" ca="1">IF(Y560&lt;DATE(2018,9,24),0,
IF(J560="زراعة",
K560*
(
INT((MIN(Y560,DATE(2023,4,30))-MAX(D560,DATE(2018,9,24)))/365)
+
CEILING(MOD((MIN(Y560,DATE(2023,4,30))-MAX(D560,DATE(2018,9,24)))/365,1),0.25)
)
*1,
K560*
(
DATEDIF(MAX(D560,DATE(2018,9,24)),MIN(Y560,DATE(2023,4,30)),"m")+1
)
*
_xlfn.SWITCH(J560,
"موقف/تندة",IF(D560&lt;DATE(2019,11,30),6,30),
"تشوينات",IF(D560&lt;DATE(2019,11,30),4,20),
"مشاتل",IF(D560&lt;DATE(2019,11,30),2,10),
"كافيتيريا",IF(D560&lt;DATE(2019,11,30),30,150),
"نوادي",IF(D560&lt;DATE(2019,11,30),6,30),
"رسو مراكب",IF(D560&lt;DATE(2019,11,30),2,10),
"مباني",IF(D560&lt;DATE(2018,9,24),2,10),
"عشش",IF(D560&lt;DATE(2019,11,30),2,10),
"كشك (تجاري/صناعي)",IF(D560&lt;DATE(2019,11,30),10,50),
"ردم",20,
0)))</f>
        <v>0</v>
      </c>
      <c r="AC560" s="1" cm="1">
        <f t="array" aca="1" ref="AC560" ca="1">IF(Y560&lt;DATE(2023,5,1),0,
IF(J560="زراعة",
K560*
(
INT((Y560-MAX(DATE(2023,5,1),D560))/365)
+
CEILING(MOD((Y560-MAX(DATE(2023,5,1),D560))/365,1),0.25)
)
*3,
IF(J560="ردم",
K560*20,
K560*
(
DATEDIF(MAX(DATE(2023,5,1),D560),Y560,"m")+1
)
*
_xlfn.SWITCH(J560,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60" s="1">
        <f t="shared" ca="1" si="53"/>
        <v>50</v>
      </c>
    </row>
    <row r="561" spans="1:30" ht="18.75" x14ac:dyDescent="0.25">
      <c r="A561" s="52">
        <v>500</v>
      </c>
      <c r="B561" s="6">
        <v>37</v>
      </c>
      <c r="C561" s="6">
        <v>2019</v>
      </c>
      <c r="D561" s="7">
        <v>43643</v>
      </c>
      <c r="E561" s="12"/>
      <c r="F561" s="6"/>
      <c r="G561" s="6" t="s">
        <v>708</v>
      </c>
      <c r="H561" s="6"/>
      <c r="I561" s="6" t="s">
        <v>103</v>
      </c>
      <c r="J561" s="3" t="s">
        <v>27</v>
      </c>
      <c r="K561" s="6">
        <v>36</v>
      </c>
      <c r="L561" s="3"/>
      <c r="M561" s="7"/>
      <c r="N561" s="6"/>
      <c r="O561" s="9">
        <f>0.47*Table2[[#This Row],[قيمة المحضر]]</f>
        <v>0</v>
      </c>
      <c r="P561" s="9">
        <f>0.17*Table2[[#This Row],[قيمة المحضر]]</f>
        <v>0</v>
      </c>
      <c r="Q561" s="9">
        <f t="shared" ca="1" si="54"/>
        <v>20700</v>
      </c>
      <c r="R561" s="3"/>
      <c r="S561" s="3"/>
      <c r="T561" s="9" t="str">
        <f t="shared" si="55"/>
        <v>-</v>
      </c>
      <c r="U561" s="3" t="s">
        <v>25</v>
      </c>
      <c r="V561" s="9" t="str">
        <f t="shared" si="56"/>
        <v>-</v>
      </c>
      <c r="W561" s="4"/>
      <c r="X561" s="38"/>
      <c r="Y561" s="1">
        <f t="shared" ca="1" si="52"/>
        <v>46162</v>
      </c>
      <c r="Z561" s="1" cm="1">
        <f t="array" ref="Z561">IF(D561&gt;DATE(2015,5,16),0,
K561*
(
INT((MIN(Y561,DATE(2015,5,16))-D561)/365)
+
CEILING(MOD((MIN(Y561,DATE(2015,5,16))-D561)/365,1),0.25)
)
*
_xlfn.SWITCH(J561,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61" s="1" cm="1">
        <f t="array" aca="1" ref="AA561" ca="1">IF(Y561&lt;DATE(2015,5,17),0,
K561*
(
INT((MIN(Y561,DATE(2018,9,23))-MAX(D561,DATE(2015,5,17)))/365)
+
CEILING(MOD((MIN(Y561,DATE(2018,9,23))-MAX(D561,DATE(2015,5,17)))/365,1),0.25)
)
*
_xlfn.SWITCH(J561,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-216</v>
      </c>
      <c r="AB561" s="1" cm="1">
        <f t="array" aca="1" ref="AB561" ca="1">IF(Y561&lt;DATE(2018,9,24),0,
IF(J561="زراعة",
K561*
(
INT((MIN(Y561,DATE(2023,4,30))-MAX(D561,DATE(2018,9,24)))/365)
+
CEILING(MOD((MIN(Y561,DATE(2023,4,30))-MAX(D561,DATE(2018,9,24)))/365,1),0.25)
)
*1,
K561*
(
DATEDIF(MAX(D561,DATE(2018,9,24)),MIN(Y561,DATE(2023,4,30)),"m")+1
)
*
_xlfn.SWITCH(J561,
"موقف/تندة",IF(D561&lt;DATE(2019,11,30),6,30),
"تشوينات",IF(D561&lt;DATE(2019,11,30),4,20),
"مشاتل",IF(D561&lt;DATE(2019,11,30),2,10),
"كافيتيريا",IF(D561&lt;DATE(2019,11,30),30,150),
"نوادي",IF(D561&lt;DATE(2019,11,30),6,30),
"رسو مراكب",IF(D561&lt;DATE(2019,11,30),2,10),
"مباني",IF(D561&lt;DATE(2018,9,24),2,10),
"عشش",IF(D561&lt;DATE(2019,11,30),2,10),
"كشك (تجاري/صناعي)",IF(D561&lt;DATE(2019,11,30),10,50),
"ردم",20,
0)))</f>
        <v>16920</v>
      </c>
      <c r="AC561" s="1" cm="1">
        <f t="array" aca="1" ref="AC561" ca="1">IF(Y561&lt;DATE(2023,5,1),0,
IF(J561="زراعة",
K561*
(
INT((Y561-MAX(DATE(2023,5,1),D561))/365)
+
CEILING(MOD((Y561-MAX(DATE(2023,5,1),D561))/365,1),0.25)
)
*3,
IF(J561="ردم",
K561*20,
K561*
(
DATEDIF(MAX(DATE(2023,5,1),D561),Y561,"m")+1
)
*
_xlfn.SWITCH(J561,
"موقف/تندة",6,
"تشوينات",4,
"مشاتل",2,
"رسو مراكب",6,
"مباني",3,
"عشش",1,
"كشك (تجاري/صناعي)",20,
"مواسير صرف صحي (&lt;1م)",16,
"مواسير صرف صحي (&gt;1م)",18,
0))))</f>
        <v>3996</v>
      </c>
      <c r="AD561" s="1">
        <f t="shared" ca="1" si="53"/>
        <v>46</v>
      </c>
    </row>
    <row r="562" spans="1:30" ht="18.75" x14ac:dyDescent="0.25">
      <c r="A562" s="52">
        <v>501</v>
      </c>
      <c r="B562" s="6">
        <v>38</v>
      </c>
      <c r="C562" s="6">
        <v>2019</v>
      </c>
      <c r="D562" s="7">
        <v>43643</v>
      </c>
      <c r="E562" s="12"/>
      <c r="F562" s="6"/>
      <c r="G562" s="6" t="s">
        <v>709</v>
      </c>
      <c r="H562" s="6"/>
      <c r="I562" s="6" t="s">
        <v>103</v>
      </c>
      <c r="J562" s="3" t="s">
        <v>27</v>
      </c>
      <c r="K562" s="6">
        <v>50</v>
      </c>
      <c r="L562" s="3"/>
      <c r="M562" s="7"/>
      <c r="N562" s="6"/>
      <c r="O562" s="9">
        <f>0.47*Table2[[#This Row],[قيمة المحضر]]</f>
        <v>0</v>
      </c>
      <c r="P562" s="9">
        <f>0.17*Table2[[#This Row],[قيمة المحضر]]</f>
        <v>0</v>
      </c>
      <c r="Q562" s="9">
        <f t="shared" ca="1" si="54"/>
        <v>28750</v>
      </c>
      <c r="R562" s="3"/>
      <c r="S562" s="3"/>
      <c r="T562" s="9" t="str">
        <f t="shared" si="55"/>
        <v>-</v>
      </c>
      <c r="U562" s="3" t="s">
        <v>25</v>
      </c>
      <c r="V562" s="9" t="str">
        <f t="shared" si="56"/>
        <v>-</v>
      </c>
      <c r="W562" s="4"/>
      <c r="X562" s="38"/>
      <c r="Y562" s="1">
        <f t="shared" ca="1" si="52"/>
        <v>46162</v>
      </c>
      <c r="Z562" s="1" cm="1">
        <f t="array" ref="Z562">IF(D562&gt;DATE(2015,5,16),0,
K562*
(
INT((MIN(Y562,DATE(2015,5,16))-D562)/365)
+
CEILING(MOD((MIN(Y562,DATE(2015,5,16))-D562)/365,1),0.25)
)
*
_xlfn.SWITCH(J562,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62" s="1" cm="1">
        <f t="array" aca="1" ref="AA562" ca="1">IF(Y562&lt;DATE(2015,5,17),0,
K562*
(
INT((MIN(Y562,DATE(2018,9,23))-MAX(D562,DATE(2015,5,17)))/365)
+
CEILING(MOD((MIN(Y562,DATE(2018,9,23))-MAX(D562,DATE(2015,5,17)))/365,1),0.25)
)
*
_xlfn.SWITCH(J562,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-300</v>
      </c>
      <c r="AB562" s="1" cm="1">
        <f t="array" aca="1" ref="AB562" ca="1">IF(Y562&lt;DATE(2018,9,24),0,
IF(J562="زراعة",
K562*
(
INT((MIN(Y562,DATE(2023,4,30))-MAX(D562,DATE(2018,9,24)))/365)
+
CEILING(MOD((MIN(Y562,DATE(2023,4,30))-MAX(D562,DATE(2018,9,24)))/365,1),0.25)
)
*1,
K562*
(
DATEDIF(MAX(D562,DATE(2018,9,24)),MIN(Y562,DATE(2023,4,30)),"m")+1
)
*
_xlfn.SWITCH(J562,
"موقف/تندة",IF(D562&lt;DATE(2019,11,30),6,30),
"تشوينات",IF(D562&lt;DATE(2019,11,30),4,20),
"مشاتل",IF(D562&lt;DATE(2019,11,30),2,10),
"كافيتيريا",IF(D562&lt;DATE(2019,11,30),30,150),
"نوادي",IF(D562&lt;DATE(2019,11,30),6,30),
"رسو مراكب",IF(D562&lt;DATE(2019,11,30),2,10),
"مباني",IF(D562&lt;DATE(2018,9,24),2,10),
"عشش",IF(D562&lt;DATE(2019,11,30),2,10),
"كشك (تجاري/صناعي)",IF(D562&lt;DATE(2019,11,30),10,50),
"ردم",20,
0)))</f>
        <v>23500</v>
      </c>
      <c r="AC562" s="1" cm="1">
        <f t="array" aca="1" ref="AC562" ca="1">IF(Y562&lt;DATE(2023,5,1),0,
IF(J562="زراعة",
K562*
(
INT((Y562-MAX(DATE(2023,5,1),D562))/365)
+
CEILING(MOD((Y562-MAX(DATE(2023,5,1),D562))/365,1),0.25)
)
*3,
IF(J562="ردم",
K562*20,
K562*
(
DATEDIF(MAX(DATE(2023,5,1),D562),Y562,"m")+1
)
*
_xlfn.SWITCH(J562,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562" s="1">
        <f t="shared" ca="1" si="53"/>
        <v>46</v>
      </c>
    </row>
    <row r="563" spans="1:30" ht="18.75" x14ac:dyDescent="0.25">
      <c r="A563" s="52">
        <v>502</v>
      </c>
      <c r="B563" s="6">
        <v>39</v>
      </c>
      <c r="C563" s="6">
        <v>2019</v>
      </c>
      <c r="D563" s="7">
        <v>43643</v>
      </c>
      <c r="E563" s="12"/>
      <c r="F563" s="6"/>
      <c r="G563" s="6" t="s">
        <v>710</v>
      </c>
      <c r="H563" s="6"/>
      <c r="I563" s="6" t="s">
        <v>103</v>
      </c>
      <c r="J563" s="3" t="s">
        <v>27</v>
      </c>
      <c r="K563" s="6">
        <v>50</v>
      </c>
      <c r="L563" s="3"/>
      <c r="M563" s="7"/>
      <c r="N563" s="6"/>
      <c r="O563" s="9">
        <f>0.47*Table2[[#This Row],[قيمة المحضر]]</f>
        <v>0</v>
      </c>
      <c r="P563" s="9">
        <f>0.17*Table2[[#This Row],[قيمة المحضر]]</f>
        <v>0</v>
      </c>
      <c r="Q563" s="9">
        <f t="shared" ca="1" si="54"/>
        <v>28750</v>
      </c>
      <c r="R563" s="3"/>
      <c r="S563" s="3"/>
      <c r="T563" s="9" t="str">
        <f t="shared" si="55"/>
        <v>-</v>
      </c>
      <c r="U563" s="3" t="s">
        <v>25</v>
      </c>
      <c r="V563" s="9" t="str">
        <f t="shared" si="56"/>
        <v>-</v>
      </c>
      <c r="W563" s="4"/>
      <c r="X563" s="38"/>
      <c r="Y563" s="1">
        <f t="shared" ca="1" si="52"/>
        <v>46162</v>
      </c>
      <c r="Z563" s="1" cm="1">
        <f t="array" ref="Z563">IF(D563&gt;DATE(2015,5,16),0,
K563*
(
INT((MIN(Y563,DATE(2015,5,16))-D563)/365)
+
CEILING(MOD((MIN(Y563,DATE(2015,5,16))-D563)/365,1),0.25)
)
*
_xlfn.SWITCH(J563,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63" s="1" cm="1">
        <f t="array" aca="1" ref="AA563" ca="1">IF(Y563&lt;DATE(2015,5,17),0,
K563*
(
INT((MIN(Y563,DATE(2018,9,23))-MAX(D563,DATE(2015,5,17)))/365)
+
CEILING(MOD((MIN(Y563,DATE(2018,9,23))-MAX(D563,DATE(2015,5,17)))/365,1),0.25)
)
*
_xlfn.SWITCH(J563,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-300</v>
      </c>
      <c r="AB563" s="1" cm="1">
        <f t="array" aca="1" ref="AB563" ca="1">IF(Y563&lt;DATE(2018,9,24),0,
IF(J563="زراعة",
K563*
(
INT((MIN(Y563,DATE(2023,4,30))-MAX(D563,DATE(2018,9,24)))/365)
+
CEILING(MOD((MIN(Y563,DATE(2023,4,30))-MAX(D563,DATE(2018,9,24)))/365,1),0.25)
)
*1,
K563*
(
DATEDIF(MAX(D563,DATE(2018,9,24)),MIN(Y563,DATE(2023,4,30)),"m")+1
)
*
_xlfn.SWITCH(J563,
"موقف/تندة",IF(D563&lt;DATE(2019,11,30),6,30),
"تشوينات",IF(D563&lt;DATE(2019,11,30),4,20),
"مشاتل",IF(D563&lt;DATE(2019,11,30),2,10),
"كافيتيريا",IF(D563&lt;DATE(2019,11,30),30,150),
"نوادي",IF(D563&lt;DATE(2019,11,30),6,30),
"رسو مراكب",IF(D563&lt;DATE(2019,11,30),2,10),
"مباني",IF(D563&lt;DATE(2018,9,24),2,10),
"عشش",IF(D563&lt;DATE(2019,11,30),2,10),
"كشك (تجاري/صناعي)",IF(D563&lt;DATE(2019,11,30),10,50),
"ردم",20,
0)))</f>
        <v>23500</v>
      </c>
      <c r="AC563" s="1" cm="1">
        <f t="array" aca="1" ref="AC563" ca="1">IF(Y563&lt;DATE(2023,5,1),0,
IF(J563="زراعة",
K563*
(
INT((Y563-MAX(DATE(2023,5,1),D563))/365)
+
CEILING(MOD((Y563-MAX(DATE(2023,5,1),D563))/365,1),0.25)
)
*3,
IF(J563="ردم",
K563*20,
K563*
(
DATEDIF(MAX(DATE(2023,5,1),D563),Y563,"m")+1
)
*
_xlfn.SWITCH(J563,
"موقف/تندة",6,
"تشوينات",4,
"مشاتل",2,
"رسو مراكب",6,
"مباني",3,
"عشش",1,
"كشك (تجاري/صناعي)",20,
"مواسير صرف صحي (&lt;1م)",16,
"مواسير صرف صحي (&gt;1م)",18,
0))))</f>
        <v>5550</v>
      </c>
      <c r="AD563" s="1">
        <f t="shared" ca="1" si="53"/>
        <v>46</v>
      </c>
    </row>
    <row r="564" spans="1:30" ht="18.75" x14ac:dyDescent="0.25">
      <c r="A564" s="52">
        <v>503</v>
      </c>
      <c r="B564" s="6">
        <v>40</v>
      </c>
      <c r="C564" s="6">
        <v>2019</v>
      </c>
      <c r="D564" s="7">
        <v>43643</v>
      </c>
      <c r="E564" s="12"/>
      <c r="F564" s="6"/>
      <c r="G564" s="6" t="s">
        <v>711</v>
      </c>
      <c r="H564" s="6"/>
      <c r="I564" s="6" t="s">
        <v>103</v>
      </c>
      <c r="J564" s="3" t="s">
        <v>27</v>
      </c>
      <c r="K564" s="6">
        <f>6*12</f>
        <v>72</v>
      </c>
      <c r="L564" s="3"/>
      <c r="M564" s="7"/>
      <c r="N564" s="6"/>
      <c r="O564" s="9">
        <f>0.47*Table2[[#This Row],[قيمة المحضر]]</f>
        <v>0</v>
      </c>
      <c r="P564" s="9">
        <f>0.17*Table2[[#This Row],[قيمة المحضر]]</f>
        <v>0</v>
      </c>
      <c r="Q564" s="9">
        <f t="shared" ca="1" si="54"/>
        <v>41400</v>
      </c>
      <c r="R564" s="3"/>
      <c r="S564" s="3"/>
      <c r="T564" s="9" t="str">
        <f t="shared" si="55"/>
        <v>-</v>
      </c>
      <c r="U564" s="3" t="s">
        <v>25</v>
      </c>
      <c r="V564" s="9" t="str">
        <f t="shared" si="56"/>
        <v>-</v>
      </c>
      <c r="W564" s="4"/>
      <c r="X564" s="38"/>
      <c r="Y564" s="1">
        <f t="shared" ca="1" si="52"/>
        <v>46162</v>
      </c>
      <c r="Z564" s="1" cm="1">
        <f t="array" ref="Z564">IF(D564&gt;DATE(2015,5,16),0,
K564*
(
INT((MIN(Y564,DATE(2015,5,16))-D564)/365)
+
CEILING(MOD((MIN(Y564,DATE(2015,5,16))-D564)/365,1),0.25)
)
*
_xlfn.SWITCH(J564,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64" s="1" cm="1">
        <f t="array" aca="1" ref="AA564" ca="1">IF(Y564&lt;DATE(2015,5,17),0,
K564*
(
INT((MIN(Y564,DATE(2018,9,23))-MAX(D564,DATE(2015,5,17)))/365)
+
CEILING(MOD((MIN(Y564,DATE(2018,9,23))-MAX(D564,DATE(2015,5,17)))/365,1),0.25)
)
*
_xlfn.SWITCH(J564,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-432</v>
      </c>
      <c r="AB564" s="1" cm="1">
        <f t="array" aca="1" ref="AB564" ca="1">IF(Y564&lt;DATE(2018,9,24),0,
IF(J564="زراعة",
K564*
(
INT((MIN(Y564,DATE(2023,4,30))-MAX(D564,DATE(2018,9,24)))/365)
+
CEILING(MOD((MIN(Y564,DATE(2023,4,30))-MAX(D564,DATE(2018,9,24)))/365,1),0.25)
)
*1,
K564*
(
DATEDIF(MAX(D564,DATE(2018,9,24)),MIN(Y564,DATE(2023,4,30)),"m")+1
)
*
_xlfn.SWITCH(J564,
"موقف/تندة",IF(D564&lt;DATE(2019,11,30),6,30),
"تشوينات",IF(D564&lt;DATE(2019,11,30),4,20),
"مشاتل",IF(D564&lt;DATE(2019,11,30),2,10),
"كافيتيريا",IF(D564&lt;DATE(2019,11,30),30,150),
"نوادي",IF(D564&lt;DATE(2019,11,30),6,30),
"رسو مراكب",IF(D564&lt;DATE(2019,11,30),2,10),
"مباني",IF(D564&lt;DATE(2018,9,24),2,10),
"عشش",IF(D564&lt;DATE(2019,11,30),2,10),
"كشك (تجاري/صناعي)",IF(D564&lt;DATE(2019,11,30),10,50),
"ردم",20,
0)))</f>
        <v>33840</v>
      </c>
      <c r="AC564" s="1" cm="1">
        <f t="array" aca="1" ref="AC564" ca="1">IF(Y564&lt;DATE(2023,5,1),0,
IF(J564="زراعة",
K564*
(
INT((Y564-MAX(DATE(2023,5,1),D564))/365)
+
CEILING(MOD((Y564-MAX(DATE(2023,5,1),D564))/365,1),0.25)
)
*3,
IF(J564="ردم",
K564*20,
K564*
(
DATEDIF(MAX(DATE(2023,5,1),D564),Y564,"m")+1
)
*
_xlfn.SWITCH(J564,
"موقف/تندة",6,
"تشوينات",4,
"مشاتل",2,
"رسو مراكب",6,
"مباني",3,
"عشش",1,
"كشك (تجاري/صناعي)",20,
"مواسير صرف صحي (&lt;1م)",16,
"مواسير صرف صحي (&gt;1م)",18,
0))))</f>
        <v>7992</v>
      </c>
      <c r="AD564" s="1">
        <f t="shared" ca="1" si="53"/>
        <v>46</v>
      </c>
    </row>
    <row r="565" spans="1:30" ht="18.75" x14ac:dyDescent="0.25">
      <c r="A565" s="52">
        <v>504</v>
      </c>
      <c r="B565" s="6">
        <v>41</v>
      </c>
      <c r="C565" s="6">
        <v>2019</v>
      </c>
      <c r="D565" s="7">
        <v>43643</v>
      </c>
      <c r="E565" s="12"/>
      <c r="F565" s="6"/>
      <c r="G565" s="6" t="s">
        <v>712</v>
      </c>
      <c r="H565" s="6"/>
      <c r="I565" s="6" t="s">
        <v>103</v>
      </c>
      <c r="J565" s="3" t="s">
        <v>27</v>
      </c>
      <c r="K565" s="6">
        <v>54</v>
      </c>
      <c r="L565" s="3"/>
      <c r="M565" s="7"/>
      <c r="N565" s="6"/>
      <c r="O565" s="9">
        <f>0.47*Table2[[#This Row],[قيمة المحضر]]</f>
        <v>0</v>
      </c>
      <c r="P565" s="9">
        <f>0.17*Table2[[#This Row],[قيمة المحضر]]</f>
        <v>0</v>
      </c>
      <c r="Q565" s="9">
        <f t="shared" ca="1" si="54"/>
        <v>31050</v>
      </c>
      <c r="R565" s="3"/>
      <c r="S565" s="3"/>
      <c r="T565" s="9" t="str">
        <f t="shared" si="55"/>
        <v>-</v>
      </c>
      <c r="U565" s="3" t="s">
        <v>25</v>
      </c>
      <c r="V565" s="9" t="str">
        <f t="shared" si="56"/>
        <v>-</v>
      </c>
      <c r="W565" s="4"/>
      <c r="X565" s="38"/>
      <c r="Y565" s="1">
        <f t="shared" ca="1" si="52"/>
        <v>46162</v>
      </c>
      <c r="Z565" s="1" cm="1">
        <f t="array" ref="Z565">IF(D565&gt;DATE(2015,5,16),0,
K565*
(
INT((MIN(Y565,DATE(2015,5,16))-D565)/365)
+
CEILING(MOD((MIN(Y565,DATE(2015,5,16))-D565)/365,1),0.25)
)
*
_xlfn.SWITCH(J565,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65" s="1" cm="1">
        <f t="array" aca="1" ref="AA565" ca="1">IF(Y565&lt;DATE(2015,5,17),0,
K565*
(
INT((MIN(Y565,DATE(2018,9,23))-MAX(D565,DATE(2015,5,17)))/365)
+
CEILING(MOD((MIN(Y565,DATE(2018,9,23))-MAX(D565,DATE(2015,5,17)))/365,1),0.25)
)
*
_xlfn.SWITCH(J565,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-324</v>
      </c>
      <c r="AB565" s="1" cm="1">
        <f t="array" aca="1" ref="AB565" ca="1">IF(Y565&lt;DATE(2018,9,24),0,
IF(J565="زراعة",
K565*
(
INT((MIN(Y565,DATE(2023,4,30))-MAX(D565,DATE(2018,9,24)))/365)
+
CEILING(MOD((MIN(Y565,DATE(2023,4,30))-MAX(D565,DATE(2018,9,24)))/365,1),0.25)
)
*1,
K565*
(
DATEDIF(MAX(D565,DATE(2018,9,24)),MIN(Y565,DATE(2023,4,30)),"m")+1
)
*
_xlfn.SWITCH(J565,
"موقف/تندة",IF(D565&lt;DATE(2019,11,30),6,30),
"تشوينات",IF(D565&lt;DATE(2019,11,30),4,20),
"مشاتل",IF(D565&lt;DATE(2019,11,30),2,10),
"كافيتيريا",IF(D565&lt;DATE(2019,11,30),30,150),
"نوادي",IF(D565&lt;DATE(2019,11,30),6,30),
"رسو مراكب",IF(D565&lt;DATE(2019,11,30),2,10),
"مباني",IF(D565&lt;DATE(2018,9,24),2,10),
"عشش",IF(D565&lt;DATE(2019,11,30),2,10),
"كشك (تجاري/صناعي)",IF(D565&lt;DATE(2019,11,30),10,50),
"ردم",20,
0)))</f>
        <v>25380</v>
      </c>
      <c r="AC565" s="1" cm="1">
        <f t="array" aca="1" ref="AC565" ca="1">IF(Y565&lt;DATE(2023,5,1),0,
IF(J565="زراعة",
K565*
(
INT((Y565-MAX(DATE(2023,5,1),D565))/365)
+
CEILING(MOD((Y565-MAX(DATE(2023,5,1),D565))/365,1),0.25)
)
*3,
IF(J565="ردم",
K565*20,
K565*
(
DATEDIF(MAX(DATE(2023,5,1),D565),Y565,"m")+1
)
*
_xlfn.SWITCH(J565,
"موقف/تندة",6,
"تشوينات",4,
"مشاتل",2,
"رسو مراكب",6,
"مباني",3,
"عشش",1,
"كشك (تجاري/صناعي)",20,
"مواسير صرف صحي (&lt;1م)",16,
"مواسير صرف صحي (&gt;1م)",18,
0))))</f>
        <v>5994</v>
      </c>
      <c r="AD565" s="1">
        <f t="shared" ca="1" si="53"/>
        <v>46</v>
      </c>
    </row>
    <row r="566" spans="1:30" ht="18.75" x14ac:dyDescent="0.25">
      <c r="A566" s="52">
        <v>505</v>
      </c>
      <c r="B566" s="6">
        <v>42</v>
      </c>
      <c r="C566" s="6">
        <v>2019</v>
      </c>
      <c r="D566" s="7">
        <v>43643</v>
      </c>
      <c r="E566" s="12"/>
      <c r="F566" s="6"/>
      <c r="G566" s="6" t="s">
        <v>713</v>
      </c>
      <c r="H566" s="6"/>
      <c r="I566" s="6" t="s">
        <v>372</v>
      </c>
      <c r="J566" s="3" t="s">
        <v>145</v>
      </c>
      <c r="K566" s="6"/>
      <c r="L566" s="3"/>
      <c r="M566" s="7"/>
      <c r="N566" s="6"/>
      <c r="O566" s="9">
        <f>0.47*Table2[[#This Row],[قيمة المحضر]]</f>
        <v>0</v>
      </c>
      <c r="P566" s="9">
        <f>0.17*Table2[[#This Row],[قيمة المحضر]]</f>
        <v>0</v>
      </c>
      <c r="Q566" s="9">
        <f t="shared" ca="1" si="54"/>
        <v>0</v>
      </c>
      <c r="R566" s="3"/>
      <c r="S566" s="3"/>
      <c r="T566" s="9" t="str">
        <f t="shared" si="55"/>
        <v>-</v>
      </c>
      <c r="U566" s="3" t="s">
        <v>25</v>
      </c>
      <c r="V566" s="9" t="str">
        <f t="shared" si="56"/>
        <v>-</v>
      </c>
      <c r="W566" s="4"/>
      <c r="X566" s="38"/>
      <c r="Y566" s="1">
        <f t="shared" ca="1" si="52"/>
        <v>46162</v>
      </c>
      <c r="Z566" s="1" cm="1">
        <f t="array" ref="Z566">IF(D566&gt;DATE(2015,5,16),0,
K566*
(
INT((MIN(Y566,DATE(2015,5,16))-D566)/365)
+
CEILING(MOD((MIN(Y566,DATE(2015,5,16))-D566)/365,1),0.25)
)
*
_xlfn.SWITCH(J566,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66" s="1" cm="1">
        <f t="array" aca="1" ref="AA566" ca="1">IF(Y566&lt;DATE(2015,5,17),0,
K566*
(
INT((MIN(Y566,DATE(2018,9,23))-MAX(D566,DATE(2015,5,17)))/365)
+
CEILING(MOD((MIN(Y566,DATE(2018,9,23))-MAX(D566,DATE(2015,5,17)))/365,1),0.25)
)
*
_xlfn.SWITCH(J566,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566" s="1" cm="1">
        <f t="array" aca="1" ref="AB566" ca="1">IF(Y566&lt;DATE(2018,9,24),0,
IF(J566="زراعة",
K566*
(
INT((MIN(Y566,DATE(2023,4,30))-MAX(D566,DATE(2018,9,24)))/365)
+
CEILING(MOD((MIN(Y566,DATE(2023,4,30))-MAX(D566,DATE(2018,9,24)))/365,1),0.25)
)
*1,
K566*
(
DATEDIF(MAX(D566,DATE(2018,9,24)),MIN(Y566,DATE(2023,4,30)),"m")+1
)
*
_xlfn.SWITCH(J566,
"موقف/تندة",IF(D566&lt;DATE(2019,11,30),6,30),
"تشوينات",IF(D566&lt;DATE(2019,11,30),4,20),
"مشاتل",IF(D566&lt;DATE(2019,11,30),2,10),
"كافيتيريا",IF(D566&lt;DATE(2019,11,30),30,150),
"نوادي",IF(D566&lt;DATE(2019,11,30),6,30),
"رسو مراكب",IF(D566&lt;DATE(2019,11,30),2,10),
"مباني",IF(D566&lt;DATE(2018,9,24),2,10),
"عشش",IF(D566&lt;DATE(2019,11,30),2,10),
"كشك (تجاري/صناعي)",IF(D566&lt;DATE(2019,11,30),10,50),
"ردم",20,
0)))</f>
        <v>0</v>
      </c>
      <c r="AC566" s="1" cm="1">
        <f t="array" aca="1" ref="AC566" ca="1">IF(Y566&lt;DATE(2023,5,1),0,
IF(J566="زراعة",
K566*
(
INT((Y566-MAX(DATE(2023,5,1),D566))/365)
+
CEILING(MOD((Y566-MAX(DATE(2023,5,1),D566))/365,1),0.25)
)
*3,
IF(J566="ردم",
K566*20,
K566*
(
DATEDIF(MAX(DATE(2023,5,1),D566),Y566,"m")+1
)
*
_xlfn.SWITCH(J566,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566" s="1">
        <f t="shared" ca="1" si="53"/>
        <v>46</v>
      </c>
    </row>
    <row r="567" spans="1:30" ht="18.75" x14ac:dyDescent="0.25">
      <c r="A567" s="52">
        <v>506</v>
      </c>
      <c r="B567" s="6">
        <v>43</v>
      </c>
      <c r="C567" s="6">
        <v>2019</v>
      </c>
      <c r="D567" s="7">
        <v>43653</v>
      </c>
      <c r="E567" s="12"/>
      <c r="F567" s="6"/>
      <c r="G567" s="6" t="s">
        <v>139</v>
      </c>
      <c r="H567" s="6"/>
      <c r="I567" s="6" t="s">
        <v>144</v>
      </c>
      <c r="J567" s="3" t="s">
        <v>27</v>
      </c>
      <c r="K567" s="6">
        <v>45</v>
      </c>
      <c r="L567" s="3"/>
      <c r="M567" s="7"/>
      <c r="N567" s="6"/>
      <c r="O567" s="9">
        <f>0.47*Table2[[#This Row],[قيمة المحضر]]</f>
        <v>0</v>
      </c>
      <c r="P567" s="9">
        <f>0.17*Table2[[#This Row],[قيمة المحضر]]</f>
        <v>0</v>
      </c>
      <c r="Q567" s="9">
        <f t="shared" ca="1" si="54"/>
        <v>25425</v>
      </c>
      <c r="R567" s="3"/>
      <c r="S567" s="3"/>
      <c r="T567" s="9" t="str">
        <f t="shared" si="55"/>
        <v>-</v>
      </c>
      <c r="U567" s="3" t="s">
        <v>25</v>
      </c>
      <c r="V567" s="9" t="str">
        <f t="shared" si="56"/>
        <v>-</v>
      </c>
      <c r="W567" s="4"/>
      <c r="X567" s="38"/>
      <c r="Y567" s="1">
        <f t="shared" ca="1" si="52"/>
        <v>46162</v>
      </c>
      <c r="Z567" s="1" cm="1">
        <f t="array" ref="Z567">IF(D567&gt;DATE(2015,5,16),0,
K567*
(
INT((MIN(Y567,DATE(2015,5,16))-D567)/365)
+
CEILING(MOD((MIN(Y567,DATE(2015,5,16))-D567)/365,1),0.25)
)
*
_xlfn.SWITCH(J567,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67" s="1" cm="1">
        <f t="array" aca="1" ref="AA567" ca="1">IF(Y567&lt;DATE(2015,5,17),0,
K567*
(
INT((MIN(Y567,DATE(2018,9,23))-MAX(D567,DATE(2015,5,17)))/365)
+
CEILING(MOD((MIN(Y567,DATE(2018,9,23))-MAX(D567,DATE(2015,5,17)))/365,1),0.25)
)
*
_xlfn.SWITCH(J567,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-270</v>
      </c>
      <c r="AB567" s="1" cm="1">
        <f t="array" aca="1" ref="AB567" ca="1">IF(Y567&lt;DATE(2018,9,24),0,
IF(J567="زراعة",
K567*
(
INT((MIN(Y567,DATE(2023,4,30))-MAX(D567,DATE(2018,9,24)))/365)
+
CEILING(MOD((MIN(Y567,DATE(2023,4,30))-MAX(D567,DATE(2018,9,24)))/365,1),0.25)
)
*1,
K567*
(
DATEDIF(MAX(D567,DATE(2018,9,24)),MIN(Y567,DATE(2023,4,30)),"m")+1
)
*
_xlfn.SWITCH(J567,
"موقف/تندة",IF(D567&lt;DATE(2019,11,30),6,30),
"تشوينات",IF(D567&lt;DATE(2019,11,30),4,20),
"مشاتل",IF(D567&lt;DATE(2019,11,30),2,10),
"كافيتيريا",IF(D567&lt;DATE(2019,11,30),30,150),
"نوادي",IF(D567&lt;DATE(2019,11,30),6,30),
"رسو مراكب",IF(D567&lt;DATE(2019,11,30),2,10),
"مباني",IF(D567&lt;DATE(2018,9,24),2,10),
"عشش",IF(D567&lt;DATE(2019,11,30),2,10),
"كشك (تجاري/صناعي)",IF(D567&lt;DATE(2019,11,30),10,50),
"ردم",20,
0)))</f>
        <v>20700</v>
      </c>
      <c r="AC567" s="1" cm="1">
        <f t="array" aca="1" ref="AC567" ca="1">IF(Y567&lt;DATE(2023,5,1),0,
IF(J567="زراعة",
K567*
(
INT((Y567-MAX(DATE(2023,5,1),D567))/365)
+
CEILING(MOD((Y567-MAX(DATE(2023,5,1),D567))/365,1),0.25)
)
*3,
IF(J567="ردم",
K567*20,
K567*
(
DATEDIF(MAX(DATE(2023,5,1),D567),Y567,"m")+1
)
*
_xlfn.SWITCH(J567,
"موقف/تندة",6,
"تشوينات",4,
"مشاتل",2,
"رسو مراكب",6,
"مباني",3,
"عشش",1,
"كشك (تجاري/صناعي)",20,
"مواسير صرف صحي (&lt;1م)",16,
"مواسير صرف صحي (&gt;1م)",18,
0))))</f>
        <v>4995</v>
      </c>
      <c r="AD567" s="1">
        <f t="shared" ca="1" si="53"/>
        <v>45</v>
      </c>
    </row>
    <row r="568" spans="1:30" ht="18.75" x14ac:dyDescent="0.25">
      <c r="A568" s="52">
        <v>507</v>
      </c>
      <c r="B568" s="6">
        <v>44</v>
      </c>
      <c r="C568" s="6">
        <v>2019</v>
      </c>
      <c r="D568" s="7">
        <v>43653</v>
      </c>
      <c r="E568" s="12"/>
      <c r="F568" s="6"/>
      <c r="G568" s="6" t="s">
        <v>714</v>
      </c>
      <c r="H568" s="6"/>
      <c r="I568" s="6" t="s">
        <v>104</v>
      </c>
      <c r="J568" s="3" t="s">
        <v>27</v>
      </c>
      <c r="K568" s="6">
        <v>64</v>
      </c>
      <c r="L568" s="3"/>
      <c r="M568" s="7"/>
      <c r="N568" s="6"/>
      <c r="O568" s="9">
        <f>0.47*Table2[[#This Row],[قيمة المحضر]]</f>
        <v>0</v>
      </c>
      <c r="P568" s="9">
        <f>0.17*Table2[[#This Row],[قيمة المحضر]]</f>
        <v>0</v>
      </c>
      <c r="Q568" s="9">
        <f t="shared" ca="1" si="54"/>
        <v>36160</v>
      </c>
      <c r="R568" s="3"/>
      <c r="S568" s="3"/>
      <c r="T568" s="9" t="str">
        <f t="shared" si="55"/>
        <v>-</v>
      </c>
      <c r="U568" s="3" t="s">
        <v>25</v>
      </c>
      <c r="V568" s="9" t="str">
        <f t="shared" si="56"/>
        <v>-</v>
      </c>
      <c r="W568" s="4"/>
      <c r="X568" s="38"/>
      <c r="Y568" s="1">
        <f t="shared" ca="1" si="52"/>
        <v>46162</v>
      </c>
      <c r="Z568" s="1" cm="1">
        <f t="array" ref="Z568">IF(D568&gt;DATE(2015,5,16),0,
K568*
(
INT((MIN(Y568,DATE(2015,5,16))-D568)/365)
+
CEILING(MOD((MIN(Y568,DATE(2015,5,16))-D568)/365,1),0.25)
)
*
_xlfn.SWITCH(J568,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68" s="1" cm="1">
        <f t="array" aca="1" ref="AA568" ca="1">IF(Y568&lt;DATE(2015,5,17),0,
K568*
(
INT((MIN(Y568,DATE(2018,9,23))-MAX(D568,DATE(2015,5,17)))/365)
+
CEILING(MOD((MIN(Y568,DATE(2018,9,23))-MAX(D568,DATE(2015,5,17)))/365,1),0.25)
)
*
_xlfn.SWITCH(J568,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-384</v>
      </c>
      <c r="AB568" s="1" cm="1">
        <f t="array" aca="1" ref="AB568" ca="1">IF(Y568&lt;DATE(2018,9,24),0,
IF(J568="زراعة",
K568*
(
INT((MIN(Y568,DATE(2023,4,30))-MAX(D568,DATE(2018,9,24)))/365)
+
CEILING(MOD((MIN(Y568,DATE(2023,4,30))-MAX(D568,DATE(2018,9,24)))/365,1),0.25)
)
*1,
K568*
(
DATEDIF(MAX(D568,DATE(2018,9,24)),MIN(Y568,DATE(2023,4,30)),"m")+1
)
*
_xlfn.SWITCH(J568,
"موقف/تندة",IF(D568&lt;DATE(2019,11,30),6,30),
"تشوينات",IF(D568&lt;DATE(2019,11,30),4,20),
"مشاتل",IF(D568&lt;DATE(2019,11,30),2,10),
"كافيتيريا",IF(D568&lt;DATE(2019,11,30),30,150),
"نوادي",IF(D568&lt;DATE(2019,11,30),6,30),
"رسو مراكب",IF(D568&lt;DATE(2019,11,30),2,10),
"مباني",IF(D568&lt;DATE(2018,9,24),2,10),
"عشش",IF(D568&lt;DATE(2019,11,30),2,10),
"كشك (تجاري/صناعي)",IF(D568&lt;DATE(2019,11,30),10,50),
"ردم",20,
0)))</f>
        <v>29440</v>
      </c>
      <c r="AC568" s="1" cm="1">
        <f t="array" aca="1" ref="AC568" ca="1">IF(Y568&lt;DATE(2023,5,1),0,
IF(J568="زراعة",
K568*
(
INT((Y568-MAX(DATE(2023,5,1),D568))/365)
+
CEILING(MOD((Y568-MAX(DATE(2023,5,1),D568))/365,1),0.25)
)
*3,
IF(J568="ردم",
K568*20,
K568*
(
DATEDIF(MAX(DATE(2023,5,1),D568),Y568,"m")+1
)
*
_xlfn.SWITCH(J568,
"موقف/تندة",6,
"تشوينات",4,
"مشاتل",2,
"رسو مراكب",6,
"مباني",3,
"عشش",1,
"كشك (تجاري/صناعي)",20,
"مواسير صرف صحي (&lt;1م)",16,
"مواسير صرف صحي (&gt;1م)",18,
0))))</f>
        <v>7104</v>
      </c>
      <c r="AD568" s="1">
        <f t="shared" ca="1" si="53"/>
        <v>45</v>
      </c>
    </row>
    <row r="569" spans="1:30" ht="18.75" x14ac:dyDescent="0.25">
      <c r="A569" s="52">
        <v>508</v>
      </c>
      <c r="B569" s="6">
        <v>45</v>
      </c>
      <c r="C569" s="6">
        <v>2019</v>
      </c>
      <c r="D569" s="7">
        <v>43653</v>
      </c>
      <c r="E569" s="12"/>
      <c r="F569" s="6"/>
      <c r="G569" s="6" t="s">
        <v>715</v>
      </c>
      <c r="H569" s="6"/>
      <c r="I569" s="6" t="s">
        <v>104</v>
      </c>
      <c r="J569" s="14" t="s">
        <v>27</v>
      </c>
      <c r="K569" s="6">
        <v>35</v>
      </c>
      <c r="L569" s="3"/>
      <c r="M569" s="7"/>
      <c r="N569" s="6"/>
      <c r="O569" s="9">
        <f>0.47*Table2[[#This Row],[قيمة المحضر]]</f>
        <v>0</v>
      </c>
      <c r="P569" s="9">
        <f>0.17*Table2[[#This Row],[قيمة المحضر]]</f>
        <v>0</v>
      </c>
      <c r="Q569" s="9">
        <f t="shared" ca="1" si="54"/>
        <v>19775</v>
      </c>
      <c r="R569" s="3"/>
      <c r="S569" s="3"/>
      <c r="T569" s="9" t="str">
        <f t="shared" si="55"/>
        <v>-</v>
      </c>
      <c r="U569" s="3" t="s">
        <v>25</v>
      </c>
      <c r="V569" s="9" t="str">
        <f t="shared" si="56"/>
        <v>-</v>
      </c>
      <c r="W569" s="4"/>
      <c r="X569" s="38"/>
      <c r="Y569" s="1">
        <f t="shared" ca="1" si="52"/>
        <v>46162</v>
      </c>
      <c r="Z569" s="1" cm="1">
        <f t="array" ref="Z569">IF(D569&gt;DATE(2015,5,16),0,
K569*
(
INT((MIN(Y569,DATE(2015,5,16))-D569)/365)
+
CEILING(MOD((MIN(Y569,DATE(2015,5,16))-D569)/365,1),0.25)
)
*
_xlfn.SWITCH(J569,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69" s="1" cm="1">
        <f t="array" aca="1" ref="AA569" ca="1">IF(Y569&lt;DATE(2015,5,17),0,
K569*
(
INT((MIN(Y569,DATE(2018,9,23))-MAX(D569,DATE(2015,5,17)))/365)
+
CEILING(MOD((MIN(Y569,DATE(2018,9,23))-MAX(D569,DATE(2015,5,17)))/365,1),0.25)
)
*
_xlfn.SWITCH(J569,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-210</v>
      </c>
      <c r="AB569" s="1" cm="1">
        <f t="array" aca="1" ref="AB569" ca="1">IF(Y569&lt;DATE(2018,9,24),0,
IF(J569="زراعة",
K569*
(
INT((MIN(Y569,DATE(2023,4,30))-MAX(D569,DATE(2018,9,24)))/365)
+
CEILING(MOD((MIN(Y569,DATE(2023,4,30))-MAX(D569,DATE(2018,9,24)))/365,1),0.25)
)
*1,
K569*
(
DATEDIF(MAX(D569,DATE(2018,9,24)),MIN(Y569,DATE(2023,4,30)),"m")+1
)
*
_xlfn.SWITCH(J569,
"موقف/تندة",IF(D569&lt;DATE(2019,11,30),6,30),
"تشوينات",IF(D569&lt;DATE(2019,11,30),4,20),
"مشاتل",IF(D569&lt;DATE(2019,11,30),2,10),
"كافيتيريا",IF(D569&lt;DATE(2019,11,30),30,150),
"نوادي",IF(D569&lt;DATE(2019,11,30),6,30),
"رسو مراكب",IF(D569&lt;DATE(2019,11,30),2,10),
"مباني",IF(D569&lt;DATE(2018,9,24),2,10),
"عشش",IF(D569&lt;DATE(2019,11,30),2,10),
"كشك (تجاري/صناعي)",IF(D569&lt;DATE(2019,11,30),10,50),
"ردم",20,
0)))</f>
        <v>16100</v>
      </c>
      <c r="AC569" s="1" cm="1">
        <f t="array" aca="1" ref="AC569" ca="1">IF(Y569&lt;DATE(2023,5,1),0,
IF(J569="زراعة",
K569*
(
INT((Y569-MAX(DATE(2023,5,1),D569))/365)
+
CEILING(MOD((Y569-MAX(DATE(2023,5,1),D569))/365,1),0.25)
)
*3,
IF(J569="ردم",
K569*20,
K569*
(
DATEDIF(MAX(DATE(2023,5,1),D569),Y569,"m")+1
)
*
_xlfn.SWITCH(J569,
"موقف/تندة",6,
"تشوينات",4,
"مشاتل",2,
"رسو مراكب",6,
"مباني",3,
"عشش",1,
"كشك (تجاري/صناعي)",20,
"مواسير صرف صحي (&lt;1م)",16,
"مواسير صرف صحي (&gt;1م)",18,
0))))</f>
        <v>3885</v>
      </c>
      <c r="AD569" s="1">
        <f t="shared" ca="1" si="53"/>
        <v>45</v>
      </c>
    </row>
    <row r="570" spans="1:30" ht="18.75" x14ac:dyDescent="0.25">
      <c r="A570" s="52">
        <v>509</v>
      </c>
      <c r="B570" s="6">
        <v>46</v>
      </c>
      <c r="C570" s="6">
        <v>2019</v>
      </c>
      <c r="D570" s="7">
        <v>43653</v>
      </c>
      <c r="E570" s="12"/>
      <c r="F570" s="6"/>
      <c r="G570" s="6" t="s">
        <v>716</v>
      </c>
      <c r="H570" s="6"/>
      <c r="I570" s="6" t="s">
        <v>105</v>
      </c>
      <c r="J570" s="3" t="s">
        <v>28</v>
      </c>
      <c r="K570" s="6">
        <v>6</v>
      </c>
      <c r="L570" s="3"/>
      <c r="M570" s="7"/>
      <c r="N570" s="6"/>
      <c r="O570" s="9">
        <f>0.47*Table2[[#This Row],[قيمة المحضر]]</f>
        <v>0</v>
      </c>
      <c r="P570" s="9">
        <f>0.17*Table2[[#This Row],[قيمة المحضر]]</f>
        <v>0</v>
      </c>
      <c r="Q570" s="9">
        <f t="shared" ca="1" si="54"/>
        <v>756</v>
      </c>
      <c r="R570" s="3"/>
      <c r="S570" s="3"/>
      <c r="T570" s="9" t="str">
        <f t="shared" si="55"/>
        <v>-</v>
      </c>
      <c r="U570" s="3" t="s">
        <v>25</v>
      </c>
      <c r="V570" s="9" t="str">
        <f t="shared" si="56"/>
        <v>-</v>
      </c>
      <c r="W570" s="4"/>
      <c r="X570" s="38"/>
      <c r="Y570" s="1">
        <f t="shared" ca="1" si="52"/>
        <v>46162</v>
      </c>
      <c r="Z570" s="1" cm="1">
        <f t="array" ref="Z570">IF(D570&gt;DATE(2015,5,16),0,
K570*
(
INT((MIN(Y570,DATE(2015,5,16))-D570)/365)
+
CEILING(MOD((MIN(Y570,DATE(2015,5,16))-D570)/365,1),0.25)
)
*
_xlfn.SWITCH(J570,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70" s="1" cm="1">
        <f t="array" aca="1" ref="AA570" ca="1">IF(Y570&lt;DATE(2015,5,17),0,
K570*
(
INT((MIN(Y570,DATE(2018,9,23))-MAX(D570,DATE(2015,5,17)))/365)
+
CEILING(MOD((MIN(Y570,DATE(2018,9,23))-MAX(D570,DATE(2015,5,17)))/365,1),0.25)
)
*
_xlfn.SWITCH(J570,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-18</v>
      </c>
      <c r="AB570" s="1" cm="1">
        <f t="array" aca="1" ref="AB570" ca="1">IF(Y570&lt;DATE(2018,9,24),0,
IF(J570="زراعة",
K570*
(
INT((MIN(Y570,DATE(2023,4,30))-MAX(D570,DATE(2018,9,24)))/365)
+
CEILING(MOD((MIN(Y570,DATE(2023,4,30))-MAX(D570,DATE(2018,9,24)))/365,1),0.25)
)
*1,
K570*
(
DATEDIF(MAX(D570,DATE(2018,9,24)),MIN(Y570,DATE(2023,4,30)),"m")+1
)
*
_xlfn.SWITCH(J570,
"موقف/تندة",IF(D570&lt;DATE(2019,11,30),6,30),
"تشوينات",IF(D570&lt;DATE(2019,11,30),4,20),
"مشاتل",IF(D570&lt;DATE(2019,11,30),2,10),
"كافيتيريا",IF(D570&lt;DATE(2019,11,30),30,150),
"نوادي",IF(D570&lt;DATE(2019,11,30),6,30),
"رسو مراكب",IF(D570&lt;DATE(2019,11,30),2,10),
"مباني",IF(D570&lt;DATE(2018,9,24),2,10),
"عشش",IF(D570&lt;DATE(2019,11,30),2,10),
"كشك (تجاري/صناعي)",IF(D570&lt;DATE(2019,11,30),10,50),
"ردم",20,
0)))</f>
        <v>552</v>
      </c>
      <c r="AC570" s="1" cm="1">
        <f t="array" aca="1" ref="AC570" ca="1">IF(Y570&lt;DATE(2023,5,1),0,
IF(J570="زراعة",
K570*
(
INT((Y570-MAX(DATE(2023,5,1),D570))/365)
+
CEILING(MOD((Y570-MAX(DATE(2023,5,1),D570))/365,1),0.25)
)
*3,
IF(J570="ردم",
K570*20,
K570*
(
DATEDIF(MAX(DATE(2023,5,1),D570),Y570,"m")+1
)
*
_xlfn.SWITCH(J570,
"موقف/تندة",6,
"تشوينات",4,
"مشاتل",2,
"رسو مراكب",6,
"مباني",3,
"عشش",1,
"كشك (تجاري/صناعي)",20,
"مواسير صرف صحي (&lt;1م)",16,
"مواسير صرف صحي (&gt;1م)",18,
0))))</f>
        <v>222</v>
      </c>
      <c r="AD570" s="1">
        <f t="shared" ca="1" si="53"/>
        <v>45</v>
      </c>
    </row>
    <row r="571" spans="1:30" ht="18.75" x14ac:dyDescent="0.25">
      <c r="A571" s="52">
        <v>510</v>
      </c>
      <c r="B571" s="6">
        <v>47</v>
      </c>
      <c r="C571" s="6">
        <v>2019</v>
      </c>
      <c r="D571" s="7">
        <v>43653</v>
      </c>
      <c r="E571" s="12"/>
      <c r="F571" s="6"/>
      <c r="G571" s="6" t="s">
        <v>717</v>
      </c>
      <c r="H571" s="6"/>
      <c r="I571" s="6" t="s">
        <v>105</v>
      </c>
      <c r="J571" s="3" t="s">
        <v>146</v>
      </c>
      <c r="K571" s="6">
        <v>120</v>
      </c>
      <c r="L571" s="3"/>
      <c r="M571" s="7"/>
      <c r="N571" s="6"/>
      <c r="O571" s="9">
        <f>0.47*Table2[[#This Row],[قيمة المحضر]]</f>
        <v>0</v>
      </c>
      <c r="P571" s="9">
        <f>0.17*Table2[[#This Row],[قيمة المحضر]]</f>
        <v>0</v>
      </c>
      <c r="Q571" s="9">
        <f t="shared" ca="1" si="54"/>
        <v>1623</v>
      </c>
      <c r="R571" s="3"/>
      <c r="S571" s="3"/>
      <c r="T571" s="9" t="str">
        <f t="shared" si="55"/>
        <v>-</v>
      </c>
      <c r="U571" s="3" t="s">
        <v>25</v>
      </c>
      <c r="V571" s="9" t="str">
        <f t="shared" si="56"/>
        <v>-</v>
      </c>
      <c r="W571" s="4"/>
      <c r="X571" s="38"/>
      <c r="Y571" s="1">
        <f t="shared" ca="1" si="52"/>
        <v>46162</v>
      </c>
      <c r="Z571" s="1" cm="1">
        <f t="array" ref="Z571">IF(D571&gt;DATE(2015,5,16),0,
K571*
(
INT((MIN(Y571,DATE(2015,5,16))-D571)/365)
+
CEILING(MOD((MIN(Y571,DATE(2015,5,16))-D571)/365,1),0.25)
)
*
_xlfn.SWITCH(J571,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71" s="1" cm="1">
        <f t="array" aca="1" ref="AA571" ca="1">IF(Y571&lt;DATE(2015,5,17),0,
K571*
(
INT((MIN(Y571,DATE(2018,9,23))-MAX(D571,DATE(2015,5,17)))/365)
+
CEILING(MOD((MIN(Y571,DATE(2018,9,23))-MAX(D571,DATE(2015,5,17)))/365,1),0.25)
)
*
_xlfn.SWITCH(J571,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-27</v>
      </c>
      <c r="AB571" s="1" cm="1">
        <f t="array" aca="1" ref="AB571" ca="1">IF(Y571&lt;DATE(2018,9,24),0,
IF(J571="زراعة",
K571*
(
INT((MIN(Y571,DATE(2023,4,30))-MAX(D571,DATE(2018,9,24)))/365)
+
CEILING(MOD((MIN(Y571,DATE(2023,4,30))-MAX(D571,DATE(2018,9,24)))/365,1),0.25)
)
*1,
K571*
(
DATEDIF(MAX(D571,DATE(2018,9,24)),MIN(Y571,DATE(2023,4,30)),"m")+1
)
*
_xlfn.SWITCH(J571,
"موقف/تندة",IF(D571&lt;DATE(2019,11,30),6,30),
"تشوينات",IF(D571&lt;DATE(2019,11,30),4,20),
"مشاتل",IF(D571&lt;DATE(2019,11,30),2,10),
"كافيتيريا",IF(D571&lt;DATE(2019,11,30),30,150),
"نوادي",IF(D571&lt;DATE(2019,11,30),6,30),
"رسو مراكب",IF(D571&lt;DATE(2019,11,30),2,10),
"مباني",IF(D571&lt;DATE(2018,9,24),2,10),
"عشش",IF(D571&lt;DATE(2019,11,30),2,10),
"كشك (تجاري/صناعي)",IF(D571&lt;DATE(2019,11,30),10,50),
"ردم",20,
0)))</f>
        <v>480</v>
      </c>
      <c r="AC571" s="1" cm="1">
        <f t="array" aca="1" ref="AC571" ca="1">IF(Y571&lt;DATE(2023,5,1),0,
IF(J571="زراعة",
K571*
(
INT((Y571-MAX(DATE(2023,5,1),D571))/365)
+
CEILING(MOD((Y571-MAX(DATE(2023,5,1),D571))/365,1),0.25)
)
*3,
IF(J571="ردم",
K571*20,
K571*
(
DATEDIF(MAX(DATE(2023,5,1),D571),Y571,"m")+1
)
*
_xlfn.SWITCH(J571,
"موقف/تندة",6,
"تشوينات",4,
"مشاتل",2,
"رسو مراكب",6,
"مباني",3,
"عشش",1,
"كشك (تجاري/صناعي)",20,
"مواسير صرف صحي (&lt;1م)",16,
"مواسير صرف صحي (&gt;1م)",18,
0))))</f>
        <v>1170</v>
      </c>
      <c r="AD571" s="1">
        <f t="shared" ca="1" si="53"/>
        <v>45</v>
      </c>
    </row>
    <row r="572" spans="1:30" ht="18.75" x14ac:dyDescent="0.25">
      <c r="A572" s="52">
        <v>511</v>
      </c>
      <c r="B572" s="6">
        <v>48</v>
      </c>
      <c r="C572" s="6">
        <v>2019</v>
      </c>
      <c r="D572" s="7">
        <v>43653</v>
      </c>
      <c r="E572" s="12"/>
      <c r="F572" s="6"/>
      <c r="G572" s="6" t="s">
        <v>718</v>
      </c>
      <c r="H572" s="6"/>
      <c r="I572" s="6" t="s">
        <v>105</v>
      </c>
      <c r="J572" s="3" t="s">
        <v>27</v>
      </c>
      <c r="K572" s="6">
        <v>100</v>
      </c>
      <c r="L572" s="3"/>
      <c r="M572" s="7"/>
      <c r="N572" s="6"/>
      <c r="O572" s="9">
        <f>0.47*Table2[[#This Row],[قيمة المحضر]]</f>
        <v>0</v>
      </c>
      <c r="P572" s="9">
        <f>0.17*Table2[[#This Row],[قيمة المحضر]]</f>
        <v>0</v>
      </c>
      <c r="Q572" s="9">
        <f t="shared" ca="1" si="54"/>
        <v>56500</v>
      </c>
      <c r="R572" s="3"/>
      <c r="S572" s="3"/>
      <c r="T572" s="9" t="str">
        <f t="shared" si="55"/>
        <v>-</v>
      </c>
      <c r="U572" s="3" t="s">
        <v>25</v>
      </c>
      <c r="V572" s="9" t="str">
        <f t="shared" si="56"/>
        <v>-</v>
      </c>
      <c r="W572" s="4"/>
      <c r="X572" s="38"/>
      <c r="Y572" s="1">
        <f t="shared" ca="1" si="52"/>
        <v>46162</v>
      </c>
      <c r="Z572" s="1" cm="1">
        <f t="array" ref="Z572">IF(D572&gt;DATE(2015,5,16),0,
K572*
(
INT((MIN(Y572,DATE(2015,5,16))-D572)/365)
+
CEILING(MOD((MIN(Y572,DATE(2015,5,16))-D572)/365,1),0.25)
)
*
_xlfn.SWITCH(J572,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72" s="1" cm="1">
        <f t="array" aca="1" ref="AA572" ca="1">IF(Y572&lt;DATE(2015,5,17),0,
K572*
(
INT((MIN(Y572,DATE(2018,9,23))-MAX(D572,DATE(2015,5,17)))/365)
+
CEILING(MOD((MIN(Y572,DATE(2018,9,23))-MAX(D572,DATE(2015,5,17)))/365,1),0.25)
)
*
_xlfn.SWITCH(J572,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-600</v>
      </c>
      <c r="AB572" s="1" cm="1">
        <f t="array" aca="1" ref="AB572" ca="1">IF(Y572&lt;DATE(2018,9,24),0,
IF(J572="زراعة",
K572*
(
INT((MIN(Y572,DATE(2023,4,30))-MAX(D572,DATE(2018,9,24)))/365)
+
CEILING(MOD((MIN(Y572,DATE(2023,4,30))-MAX(D572,DATE(2018,9,24)))/365,1),0.25)
)
*1,
K572*
(
DATEDIF(MAX(D572,DATE(2018,9,24)),MIN(Y572,DATE(2023,4,30)),"m")+1
)
*
_xlfn.SWITCH(J572,
"موقف/تندة",IF(D572&lt;DATE(2019,11,30),6,30),
"تشوينات",IF(D572&lt;DATE(2019,11,30),4,20),
"مشاتل",IF(D572&lt;DATE(2019,11,30),2,10),
"كافيتيريا",IF(D572&lt;DATE(2019,11,30),30,150),
"نوادي",IF(D572&lt;DATE(2019,11,30),6,30),
"رسو مراكب",IF(D572&lt;DATE(2019,11,30),2,10),
"مباني",IF(D572&lt;DATE(2018,9,24),2,10),
"عشش",IF(D572&lt;DATE(2019,11,30),2,10),
"كشك (تجاري/صناعي)",IF(D572&lt;DATE(2019,11,30),10,50),
"ردم",20,
0)))</f>
        <v>46000</v>
      </c>
      <c r="AC572" s="1" cm="1">
        <f t="array" aca="1" ref="AC572" ca="1">IF(Y572&lt;DATE(2023,5,1),0,
IF(J572="زراعة",
K572*
(
INT((Y572-MAX(DATE(2023,5,1),D572))/365)
+
CEILING(MOD((Y572-MAX(DATE(2023,5,1),D572))/365,1),0.25)
)
*3,
IF(J572="ردم",
K572*20,
K572*
(
DATEDIF(MAX(DATE(2023,5,1),D572),Y572,"m")+1
)
*
_xlfn.SWITCH(J572,
"موقف/تندة",6,
"تشوينات",4,
"مشاتل",2,
"رسو مراكب",6,
"مباني",3,
"عشش",1,
"كشك (تجاري/صناعي)",20,
"مواسير صرف صحي (&lt;1م)",16,
"مواسير صرف صحي (&gt;1م)",18,
0))))</f>
        <v>11100</v>
      </c>
      <c r="AD572" s="1">
        <f t="shared" ca="1" si="53"/>
        <v>45</v>
      </c>
    </row>
    <row r="573" spans="1:30" ht="18.75" x14ac:dyDescent="0.25">
      <c r="A573" s="52">
        <v>512</v>
      </c>
      <c r="B573" s="6">
        <v>49</v>
      </c>
      <c r="C573" s="6">
        <v>2019</v>
      </c>
      <c r="D573" s="7">
        <v>43753</v>
      </c>
      <c r="E573" s="12"/>
      <c r="F573" s="6"/>
      <c r="G573" s="6" t="s">
        <v>719</v>
      </c>
      <c r="H573" s="6"/>
      <c r="I573" s="6" t="s">
        <v>103</v>
      </c>
      <c r="J573" s="3" t="s">
        <v>28</v>
      </c>
      <c r="K573" s="6">
        <v>15</v>
      </c>
      <c r="L573" s="3"/>
      <c r="M573" s="7"/>
      <c r="N573" s="6"/>
      <c r="O573" s="9">
        <f>0.47*Table2[[#This Row],[قيمة المحضر]]</f>
        <v>0</v>
      </c>
      <c r="P573" s="9">
        <f>0.17*Table2[[#This Row],[قيمة المحضر]]</f>
        <v>0</v>
      </c>
      <c r="Q573" s="9">
        <f t="shared" ca="1" si="54"/>
        <v>1785</v>
      </c>
      <c r="R573" s="3"/>
      <c r="S573" s="3"/>
      <c r="T573" s="9" t="str">
        <f t="shared" si="55"/>
        <v>-</v>
      </c>
      <c r="U573" s="3" t="s">
        <v>25</v>
      </c>
      <c r="V573" s="9" t="str">
        <f t="shared" si="56"/>
        <v>-</v>
      </c>
      <c r="W573" s="4"/>
      <c r="X573" s="38"/>
      <c r="Y573" s="1">
        <f t="shared" ca="1" si="52"/>
        <v>46162</v>
      </c>
      <c r="Z573" s="1" cm="1">
        <f t="array" ref="Z573">IF(D573&gt;DATE(2015,5,16),0,
K573*
(
INT((MIN(Y573,DATE(2015,5,16))-D573)/365)
+
CEILING(MOD((MIN(Y573,DATE(2015,5,16))-D573)/365,1),0.25)
)
*
_xlfn.SWITCH(J573,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73" s="1" cm="1">
        <f t="array" aca="1" ref="AA573" ca="1">IF(Y573&lt;DATE(2015,5,17),0,
K573*
(
INT((MIN(Y573,DATE(2018,9,23))-MAX(D573,DATE(2015,5,17)))/365)
+
CEILING(MOD((MIN(Y573,DATE(2018,9,23))-MAX(D573,DATE(2015,5,17)))/365,1),0.25)
)
*
_xlfn.SWITCH(J573,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-60</v>
      </c>
      <c r="AB573" s="1" cm="1">
        <f t="array" aca="1" ref="AB573" ca="1">IF(Y573&lt;DATE(2018,9,24),0,
IF(J573="زراعة",
K573*
(
INT((MIN(Y573,DATE(2023,4,30))-MAX(D573,DATE(2018,9,24)))/365)
+
CEILING(MOD((MIN(Y573,DATE(2023,4,30))-MAX(D573,DATE(2018,9,24)))/365,1),0.25)
)
*1,
K573*
(
DATEDIF(MAX(D573,DATE(2018,9,24)),MIN(Y573,DATE(2023,4,30)),"m")+1
)
*
_xlfn.SWITCH(J573,
"موقف/تندة",IF(D573&lt;DATE(2019,11,30),6,30),
"تشوينات",IF(D573&lt;DATE(2019,11,30),4,20),
"مشاتل",IF(D573&lt;DATE(2019,11,30),2,10),
"كافيتيريا",IF(D573&lt;DATE(2019,11,30),30,150),
"نوادي",IF(D573&lt;DATE(2019,11,30),6,30),
"رسو مراكب",IF(D573&lt;DATE(2019,11,30),2,10),
"مباني",IF(D573&lt;DATE(2018,9,24),2,10),
"عشش",IF(D573&lt;DATE(2019,11,30),2,10),
"كشك (تجاري/صناعي)",IF(D573&lt;DATE(2019,11,30),10,50),
"ردم",20,
0)))</f>
        <v>1290</v>
      </c>
      <c r="AC573" s="1" cm="1">
        <f t="array" aca="1" ref="AC573" ca="1">IF(Y573&lt;DATE(2023,5,1),0,
IF(J573="زراعة",
K573*
(
INT((Y573-MAX(DATE(2023,5,1),D573))/365)
+
CEILING(MOD((Y573-MAX(DATE(2023,5,1),D573))/365,1),0.25)
)
*3,
IF(J573="ردم",
K573*20,
K573*
(
DATEDIF(MAX(DATE(2023,5,1),D573),Y573,"m")+1
)
*
_xlfn.SWITCH(J573,
"موقف/تندة",6,
"تشوينات",4,
"مشاتل",2,
"رسو مراكب",6,
"مباني",3,
"عشش",1,
"كشك (تجاري/صناعي)",20,
"مواسير صرف صحي (&lt;1م)",16,
"مواسير صرف صحي (&gt;1م)",18,
0))))</f>
        <v>555</v>
      </c>
      <c r="AD573" s="1">
        <f t="shared" ca="1" si="53"/>
        <v>42</v>
      </c>
    </row>
    <row r="574" spans="1:30" ht="18.75" x14ac:dyDescent="0.25">
      <c r="A574" s="52">
        <v>513</v>
      </c>
      <c r="B574" s="6">
        <v>50</v>
      </c>
      <c r="C574" s="6">
        <v>2019</v>
      </c>
      <c r="D574" s="7">
        <v>43753</v>
      </c>
      <c r="E574" s="12"/>
      <c r="F574" s="6"/>
      <c r="G574" s="6" t="s">
        <v>720</v>
      </c>
      <c r="H574" s="6"/>
      <c r="I574" s="6" t="s">
        <v>103</v>
      </c>
      <c r="J574" s="3" t="s">
        <v>28</v>
      </c>
      <c r="K574" s="6">
        <v>15</v>
      </c>
      <c r="L574" s="3"/>
      <c r="M574" s="7"/>
      <c r="N574" s="6"/>
      <c r="O574" s="9">
        <f>0.47*Table2[[#This Row],[قيمة المحضر]]</f>
        <v>0</v>
      </c>
      <c r="P574" s="9">
        <f>0.17*Table2[[#This Row],[قيمة المحضر]]</f>
        <v>0</v>
      </c>
      <c r="Q574" s="9">
        <f t="shared" ca="1" si="54"/>
        <v>1785</v>
      </c>
      <c r="R574" s="3"/>
      <c r="S574" s="3"/>
      <c r="T574" s="9" t="str">
        <f t="shared" si="55"/>
        <v>-</v>
      </c>
      <c r="U574" s="3" t="s">
        <v>25</v>
      </c>
      <c r="V574" s="9" t="str">
        <f t="shared" si="56"/>
        <v>-</v>
      </c>
      <c r="W574" s="4"/>
      <c r="X574" s="38"/>
      <c r="Y574" s="1">
        <f t="shared" ca="1" si="52"/>
        <v>46162</v>
      </c>
      <c r="Z574" s="1" cm="1">
        <f t="array" ref="Z574">IF(D574&gt;DATE(2015,5,16),0,
K574*
(
INT((MIN(Y574,DATE(2015,5,16))-D574)/365)
+
CEILING(MOD((MIN(Y574,DATE(2015,5,16))-D574)/365,1),0.25)
)
*
_xlfn.SWITCH(J574,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74" s="1" cm="1">
        <f t="array" aca="1" ref="AA574" ca="1">IF(Y574&lt;DATE(2015,5,17),0,
K574*
(
INT((MIN(Y574,DATE(2018,9,23))-MAX(D574,DATE(2015,5,17)))/365)
+
CEILING(MOD((MIN(Y574,DATE(2018,9,23))-MAX(D574,DATE(2015,5,17)))/365,1),0.25)
)
*
_xlfn.SWITCH(J574,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-60</v>
      </c>
      <c r="AB574" s="1" cm="1">
        <f t="array" aca="1" ref="AB574" ca="1">IF(Y574&lt;DATE(2018,9,24),0,
IF(J574="زراعة",
K574*
(
INT((MIN(Y574,DATE(2023,4,30))-MAX(D574,DATE(2018,9,24)))/365)
+
CEILING(MOD((MIN(Y574,DATE(2023,4,30))-MAX(D574,DATE(2018,9,24)))/365,1),0.25)
)
*1,
K574*
(
DATEDIF(MAX(D574,DATE(2018,9,24)),MIN(Y574,DATE(2023,4,30)),"m")+1
)
*
_xlfn.SWITCH(J574,
"موقف/تندة",IF(D574&lt;DATE(2019,11,30),6,30),
"تشوينات",IF(D574&lt;DATE(2019,11,30),4,20),
"مشاتل",IF(D574&lt;DATE(2019,11,30),2,10),
"كافيتيريا",IF(D574&lt;DATE(2019,11,30),30,150),
"نوادي",IF(D574&lt;DATE(2019,11,30),6,30),
"رسو مراكب",IF(D574&lt;DATE(2019,11,30),2,10),
"مباني",IF(D574&lt;DATE(2018,9,24),2,10),
"عشش",IF(D574&lt;DATE(2019,11,30),2,10),
"كشك (تجاري/صناعي)",IF(D574&lt;DATE(2019,11,30),10,50),
"ردم",20,
0)))</f>
        <v>1290</v>
      </c>
      <c r="AC574" s="1" cm="1">
        <f t="array" aca="1" ref="AC574" ca="1">IF(Y574&lt;DATE(2023,5,1),0,
IF(J574="زراعة",
K574*
(
INT((Y574-MAX(DATE(2023,5,1),D574))/365)
+
CEILING(MOD((Y574-MAX(DATE(2023,5,1),D574))/365,1),0.25)
)
*3,
IF(J574="ردم",
K574*20,
K574*
(
DATEDIF(MAX(DATE(2023,5,1),D574),Y574,"m")+1
)
*
_xlfn.SWITCH(J574,
"موقف/تندة",6,
"تشوينات",4,
"مشاتل",2,
"رسو مراكب",6,
"مباني",3,
"عشش",1,
"كشك (تجاري/صناعي)",20,
"مواسير صرف صحي (&lt;1م)",16,
"مواسير صرف صحي (&gt;1م)",18,
0))))</f>
        <v>555</v>
      </c>
      <c r="AD574" s="1">
        <f t="shared" ca="1" si="53"/>
        <v>42</v>
      </c>
    </row>
    <row r="575" spans="1:30" ht="18.75" x14ac:dyDescent="0.25">
      <c r="A575" s="52">
        <v>514</v>
      </c>
      <c r="B575" s="6">
        <v>51</v>
      </c>
      <c r="C575" s="6">
        <v>2019</v>
      </c>
      <c r="D575" s="7">
        <v>43753</v>
      </c>
      <c r="E575" s="12"/>
      <c r="F575" s="6"/>
      <c r="G575" s="6" t="s">
        <v>721</v>
      </c>
      <c r="H575" s="6"/>
      <c r="I575" s="6" t="s">
        <v>103</v>
      </c>
      <c r="J575" s="3" t="s">
        <v>28</v>
      </c>
      <c r="K575" s="6">
        <v>16</v>
      </c>
      <c r="L575" s="3"/>
      <c r="M575" s="7"/>
      <c r="N575" s="6"/>
      <c r="O575" s="9">
        <f>0.47*Table2[[#This Row],[قيمة المحضر]]</f>
        <v>0</v>
      </c>
      <c r="P575" s="9">
        <f>0.17*Table2[[#This Row],[قيمة المحضر]]</f>
        <v>0</v>
      </c>
      <c r="Q575" s="9">
        <f t="shared" ca="1" si="54"/>
        <v>1904</v>
      </c>
      <c r="R575" s="3"/>
      <c r="S575" s="3"/>
      <c r="T575" s="9" t="str">
        <f t="shared" si="55"/>
        <v>-</v>
      </c>
      <c r="U575" s="3" t="s">
        <v>25</v>
      </c>
      <c r="V575" s="9" t="str">
        <f t="shared" si="56"/>
        <v>-</v>
      </c>
      <c r="W575" s="4"/>
      <c r="X575" s="38"/>
      <c r="Y575" s="1">
        <f t="shared" ca="1" si="52"/>
        <v>46162</v>
      </c>
      <c r="Z575" s="1" cm="1">
        <f t="array" ref="Z575">IF(D575&gt;DATE(2015,5,16),0,
K575*
(
INT((MIN(Y575,DATE(2015,5,16))-D575)/365)
+
CEILING(MOD((MIN(Y575,DATE(2015,5,16))-D575)/365,1),0.25)
)
*
_xlfn.SWITCH(J575,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75" s="1" cm="1">
        <f t="array" aca="1" ref="AA575" ca="1">IF(Y575&lt;DATE(2015,5,17),0,
K575*
(
INT((MIN(Y575,DATE(2018,9,23))-MAX(D575,DATE(2015,5,17)))/365)
+
CEILING(MOD((MIN(Y575,DATE(2018,9,23))-MAX(D575,DATE(2015,5,17)))/365,1),0.25)
)
*
_xlfn.SWITCH(J575,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-64</v>
      </c>
      <c r="AB575" s="1" cm="1">
        <f t="array" aca="1" ref="AB575" ca="1">IF(Y575&lt;DATE(2018,9,24),0,
IF(J575="زراعة",
K575*
(
INT((MIN(Y575,DATE(2023,4,30))-MAX(D575,DATE(2018,9,24)))/365)
+
CEILING(MOD((MIN(Y575,DATE(2023,4,30))-MAX(D575,DATE(2018,9,24)))/365,1),0.25)
)
*1,
K575*
(
DATEDIF(MAX(D575,DATE(2018,9,24)),MIN(Y575,DATE(2023,4,30)),"m")+1
)
*
_xlfn.SWITCH(J575,
"موقف/تندة",IF(D575&lt;DATE(2019,11,30),6,30),
"تشوينات",IF(D575&lt;DATE(2019,11,30),4,20),
"مشاتل",IF(D575&lt;DATE(2019,11,30),2,10),
"كافيتيريا",IF(D575&lt;DATE(2019,11,30),30,150),
"نوادي",IF(D575&lt;DATE(2019,11,30),6,30),
"رسو مراكب",IF(D575&lt;DATE(2019,11,30),2,10),
"مباني",IF(D575&lt;DATE(2018,9,24),2,10),
"عشش",IF(D575&lt;DATE(2019,11,30),2,10),
"كشك (تجاري/صناعي)",IF(D575&lt;DATE(2019,11,30),10,50),
"ردم",20,
0)))</f>
        <v>1376</v>
      </c>
      <c r="AC575" s="1" cm="1">
        <f t="array" aca="1" ref="AC575" ca="1">IF(Y575&lt;DATE(2023,5,1),0,
IF(J575="زراعة",
K575*
(
INT((Y575-MAX(DATE(2023,5,1),D575))/365)
+
CEILING(MOD((Y575-MAX(DATE(2023,5,1),D575))/365,1),0.25)
)
*3,
IF(J575="ردم",
K575*20,
K575*
(
DATEDIF(MAX(DATE(2023,5,1),D575),Y575,"m")+1
)
*
_xlfn.SWITCH(J575,
"موقف/تندة",6,
"تشوينات",4,
"مشاتل",2,
"رسو مراكب",6,
"مباني",3,
"عشش",1,
"كشك (تجاري/صناعي)",20,
"مواسير صرف صحي (&lt;1م)",16,
"مواسير صرف صحي (&gt;1م)",18,
0))))</f>
        <v>592</v>
      </c>
      <c r="AD575" s="1">
        <f t="shared" ca="1" si="53"/>
        <v>42</v>
      </c>
    </row>
    <row r="576" spans="1:30" ht="18.75" x14ac:dyDescent="0.25">
      <c r="A576" s="52">
        <v>515</v>
      </c>
      <c r="B576" s="6">
        <v>52</v>
      </c>
      <c r="C576" s="6">
        <v>2019</v>
      </c>
      <c r="D576" s="7">
        <v>43753</v>
      </c>
      <c r="E576" s="12"/>
      <c r="F576" s="6"/>
      <c r="G576" s="6" t="s">
        <v>722</v>
      </c>
      <c r="H576" s="6"/>
      <c r="I576" s="6" t="s">
        <v>103</v>
      </c>
      <c r="J576" s="3" t="s">
        <v>27</v>
      </c>
      <c r="K576" s="6">
        <v>150</v>
      </c>
      <c r="L576" s="3"/>
      <c r="M576" s="7"/>
      <c r="N576" s="6"/>
      <c r="O576" s="9">
        <f>0.47*Table2[[#This Row],[قيمة المحضر]]</f>
        <v>0</v>
      </c>
      <c r="P576" s="9">
        <f>0.17*Table2[[#This Row],[قيمة المحضر]]</f>
        <v>0</v>
      </c>
      <c r="Q576" s="9">
        <f t="shared" ca="1" si="54"/>
        <v>79950</v>
      </c>
      <c r="R576" s="3"/>
      <c r="S576" s="3"/>
      <c r="T576" s="9" t="str">
        <f t="shared" si="55"/>
        <v>-</v>
      </c>
      <c r="U576" s="3" t="s">
        <v>25</v>
      </c>
      <c r="V576" s="9" t="str">
        <f t="shared" si="56"/>
        <v>-</v>
      </c>
      <c r="W576" s="4"/>
      <c r="X576" s="38"/>
      <c r="Y576" s="1">
        <f t="shared" ca="1" si="52"/>
        <v>46162</v>
      </c>
      <c r="Z576" s="1" cm="1">
        <f t="array" ref="Z576">IF(D576&gt;DATE(2015,5,16),0,
K576*
(
INT((MIN(Y576,DATE(2015,5,16))-D576)/365)
+
CEILING(MOD((MIN(Y576,DATE(2015,5,16))-D576)/365,1),0.25)
)
*
_xlfn.SWITCH(J576,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76" s="1" cm="1">
        <f t="array" aca="1" ref="AA576" ca="1">IF(Y576&lt;DATE(2015,5,17),0,
K576*
(
INT((MIN(Y576,DATE(2018,9,23))-MAX(D576,DATE(2015,5,17)))/365)
+
CEILING(MOD((MIN(Y576,DATE(2018,9,23))-MAX(D576,DATE(2015,5,17)))/365,1),0.25)
)
*
_xlfn.SWITCH(J576,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-1200</v>
      </c>
      <c r="AB576" s="1" cm="1">
        <f t="array" aca="1" ref="AB576" ca="1">IF(Y576&lt;DATE(2018,9,24),0,
IF(J576="زراعة",
K576*
(
INT((MIN(Y576,DATE(2023,4,30))-MAX(D576,DATE(2018,9,24)))/365)
+
CEILING(MOD((MIN(Y576,DATE(2023,4,30))-MAX(D576,DATE(2018,9,24)))/365,1),0.25)
)
*1,
K576*
(
DATEDIF(MAX(D576,DATE(2018,9,24)),MIN(Y576,DATE(2023,4,30)),"m")+1
)
*
_xlfn.SWITCH(J576,
"موقف/تندة",IF(D576&lt;DATE(2019,11,30),6,30),
"تشوينات",IF(D576&lt;DATE(2019,11,30),4,20),
"مشاتل",IF(D576&lt;DATE(2019,11,30),2,10),
"كافيتيريا",IF(D576&lt;DATE(2019,11,30),30,150),
"نوادي",IF(D576&lt;DATE(2019,11,30),6,30),
"رسو مراكب",IF(D576&lt;DATE(2019,11,30),2,10),
"مباني",IF(D576&lt;DATE(2018,9,24),2,10),
"عشش",IF(D576&lt;DATE(2019,11,30),2,10),
"كشك (تجاري/صناعي)",IF(D576&lt;DATE(2019,11,30),10,50),
"ردم",20,
0)))</f>
        <v>64500</v>
      </c>
      <c r="AC576" s="1" cm="1">
        <f t="array" aca="1" ref="AC576" ca="1">IF(Y576&lt;DATE(2023,5,1),0,
IF(J576="زراعة",
K576*
(
INT((Y576-MAX(DATE(2023,5,1),D576))/365)
+
CEILING(MOD((Y576-MAX(DATE(2023,5,1),D576))/365,1),0.25)
)
*3,
IF(J576="ردم",
K576*20,
K576*
(
DATEDIF(MAX(DATE(2023,5,1),D576),Y576,"m")+1
)
*
_xlfn.SWITCH(J576,
"موقف/تندة",6,
"تشوينات",4,
"مشاتل",2,
"رسو مراكب",6,
"مباني",3,
"عشش",1,
"كشك (تجاري/صناعي)",20,
"مواسير صرف صحي (&lt;1م)",16,
"مواسير صرف صحي (&gt;1م)",18,
0))))</f>
        <v>16650</v>
      </c>
      <c r="AD576" s="1">
        <f t="shared" ca="1" si="53"/>
        <v>42</v>
      </c>
    </row>
    <row r="577" spans="1:30" ht="18.75" x14ac:dyDescent="0.25">
      <c r="A577" s="52">
        <v>516</v>
      </c>
      <c r="B577" s="6">
        <v>53</v>
      </c>
      <c r="C577" s="6">
        <v>2019</v>
      </c>
      <c r="D577" s="7">
        <v>43773</v>
      </c>
      <c r="E577" s="12"/>
      <c r="F577" s="6"/>
      <c r="G577" s="6" t="s">
        <v>723</v>
      </c>
      <c r="H577" s="6"/>
      <c r="I577" s="6" t="s">
        <v>33</v>
      </c>
      <c r="J577" s="3" t="s">
        <v>438</v>
      </c>
      <c r="K577" s="6">
        <v>100</v>
      </c>
      <c r="L577" s="3"/>
      <c r="M577" s="7"/>
      <c r="N577" s="6"/>
      <c r="O577" s="9">
        <f>0.47*Table2[[#This Row],[قيمة المحضر]]</f>
        <v>0</v>
      </c>
      <c r="P577" s="9">
        <f>0.17*Table2[[#This Row],[قيمة المحضر]]</f>
        <v>0</v>
      </c>
      <c r="Q577" s="9">
        <f t="shared" ca="1" si="54"/>
        <v>30800</v>
      </c>
      <c r="R577" s="3"/>
      <c r="S577" s="3"/>
      <c r="T577" s="9" t="str">
        <f t="shared" si="55"/>
        <v>-</v>
      </c>
      <c r="U577" s="3" t="s">
        <v>25</v>
      </c>
      <c r="V577" s="9" t="str">
        <f t="shared" si="56"/>
        <v>-</v>
      </c>
      <c r="W577" s="4"/>
      <c r="X577" s="38"/>
      <c r="Y577" s="1">
        <f t="shared" ca="1" si="52"/>
        <v>46162</v>
      </c>
      <c r="Z577" s="1" cm="1">
        <f t="array" ref="Z577">IF(D577&gt;DATE(2015,5,16),0,
K577*
(
INT((MIN(Y577,DATE(2015,5,16))-D577)/365)
+
CEILING(MOD((MIN(Y577,DATE(2015,5,16))-D577)/365,1),0.25)
)
*
_xlfn.SWITCH(J577,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77" s="1" cm="1">
        <f t="array" aca="1" ref="AA577" ca="1">IF(Y577&lt;DATE(2015,5,17),0,
K577*
(
INT((MIN(Y577,DATE(2018,9,23))-MAX(D577,DATE(2015,5,17)))/365)
+
CEILING(MOD((MIN(Y577,DATE(2018,9,23))-MAX(D577,DATE(2015,5,17)))/365,1),0.25)
)
*
_xlfn.SWITCH(J577,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-800</v>
      </c>
      <c r="AB577" s="1" cm="1">
        <f t="array" aca="1" ref="AB577" ca="1">IF(Y577&lt;DATE(2018,9,24),0,
IF(J577="زراعة",
K577*
(
INT((MIN(Y577,DATE(2023,4,30))-MAX(D577,DATE(2018,9,24)))/365)
+
CEILING(MOD((MIN(Y577,DATE(2023,4,30))-MAX(D577,DATE(2018,9,24)))/365,1),0.25)
)
*1,
K577*
(
DATEDIF(MAX(D577,DATE(2018,9,24)),MIN(Y577,DATE(2023,4,30)),"m")+1
)
*
_xlfn.SWITCH(J577,
"موقف/تندة",IF(D577&lt;DATE(2019,11,30),6,30),
"تشوينات",IF(D577&lt;DATE(2019,11,30),4,20),
"مشاتل",IF(D577&lt;DATE(2019,11,30),2,10),
"كافيتيريا",IF(D577&lt;DATE(2019,11,30),30,150),
"نوادي",IF(D577&lt;DATE(2019,11,30),6,30),
"رسو مراكب",IF(D577&lt;DATE(2019,11,30),2,10),
"مباني",IF(D577&lt;DATE(2018,9,24),2,10),
"عشش",IF(D577&lt;DATE(2019,11,30),2,10),
"كشك (تجاري/صناعي)",IF(D577&lt;DATE(2019,11,30),10,50),
"ردم",20,
0)))</f>
        <v>16800</v>
      </c>
      <c r="AC577" s="1" cm="1">
        <f t="array" aca="1" ref="AC577" ca="1">IF(Y577&lt;DATE(2023,5,1),0,
IF(J577="زراعة",
K577*
(
INT((Y577-MAX(DATE(2023,5,1),D577))/365)
+
CEILING(MOD((Y577-MAX(DATE(2023,5,1),D577))/365,1),0.25)
)
*3,
IF(J577="ردم",
K577*20,
K577*
(
DATEDIF(MAX(DATE(2023,5,1),D577),Y577,"m")+1
)
*
_xlfn.SWITCH(J577,
"موقف/تندة",6,
"تشوينات",4,
"مشاتل",2,
"رسو مراكب",6,
"مباني",3,
"عشش",1,
"كشك (تجاري/صناعي)",20,
"مواسير صرف صحي (&lt;1م)",16,
"مواسير صرف صحي (&gt;1م)",18,
0))))</f>
        <v>14800</v>
      </c>
      <c r="AD577" s="1">
        <f t="shared" ca="1" si="53"/>
        <v>41</v>
      </c>
    </row>
    <row r="578" spans="1:30" ht="18.75" x14ac:dyDescent="0.25">
      <c r="A578" s="52">
        <v>517</v>
      </c>
      <c r="B578" s="6">
        <v>54</v>
      </c>
      <c r="C578" s="6">
        <v>2019</v>
      </c>
      <c r="D578" s="7">
        <v>43774</v>
      </c>
      <c r="E578" s="12"/>
      <c r="F578" s="6"/>
      <c r="G578" s="6" t="s">
        <v>724</v>
      </c>
      <c r="H578" s="6"/>
      <c r="I578" s="6" t="s">
        <v>144</v>
      </c>
      <c r="J578" s="3" t="s">
        <v>27</v>
      </c>
      <c r="K578" s="6">
        <v>24</v>
      </c>
      <c r="L578" s="3"/>
      <c r="M578" s="7"/>
      <c r="N578" s="6"/>
      <c r="O578" s="9">
        <f>0.47*Table2[[#This Row],[قيمة المحضر]]</f>
        <v>0</v>
      </c>
      <c r="P578" s="9">
        <f>0.17*Table2[[#This Row],[قيمة المحضر]]</f>
        <v>0</v>
      </c>
      <c r="Q578" s="9">
        <f t="shared" ca="1" si="54"/>
        <v>12552</v>
      </c>
      <c r="R578" s="3"/>
      <c r="S578" s="3"/>
      <c r="T578" s="9" t="str">
        <f t="shared" si="55"/>
        <v>-</v>
      </c>
      <c r="U578" s="3" t="s">
        <v>25</v>
      </c>
      <c r="V578" s="9" t="str">
        <f t="shared" si="56"/>
        <v>-</v>
      </c>
      <c r="W578" s="4"/>
      <c r="X578" s="38"/>
      <c r="Y578" s="1">
        <f t="shared" ca="1" si="52"/>
        <v>46162</v>
      </c>
      <c r="Z578" s="1" cm="1">
        <f t="array" ref="Z578">IF(D578&gt;DATE(2015,5,16),0,
K578*
(
INT((MIN(Y578,DATE(2015,5,16))-D578)/365)
+
CEILING(MOD((MIN(Y578,DATE(2015,5,16))-D578)/365,1),0.25)
)
*
_xlfn.SWITCH(J578,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78" s="1" cm="1">
        <f t="array" aca="1" ref="AA578" ca="1">IF(Y578&lt;DATE(2015,5,17),0,
K578*
(
INT((MIN(Y578,DATE(2018,9,23))-MAX(D578,DATE(2015,5,17)))/365)
+
CEILING(MOD((MIN(Y578,DATE(2018,9,23))-MAX(D578,DATE(2015,5,17)))/365,1),0.25)
)
*
_xlfn.SWITCH(J578,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-192</v>
      </c>
      <c r="AB578" s="1" cm="1">
        <f t="array" aca="1" ref="AB578" ca="1">IF(Y578&lt;DATE(2018,9,24),0,
IF(J578="زراعة",
K578*
(
INT((MIN(Y578,DATE(2023,4,30))-MAX(D578,DATE(2018,9,24)))/365)
+
CEILING(MOD((MIN(Y578,DATE(2023,4,30))-MAX(D578,DATE(2018,9,24)))/365,1),0.25)
)
*1,
K578*
(
DATEDIF(MAX(D578,DATE(2018,9,24)),MIN(Y578,DATE(2023,4,30)),"m")+1
)
*
_xlfn.SWITCH(J578,
"موقف/تندة",IF(D578&lt;DATE(2019,11,30),6,30),
"تشوينات",IF(D578&lt;DATE(2019,11,30),4,20),
"مشاتل",IF(D578&lt;DATE(2019,11,30),2,10),
"كافيتيريا",IF(D578&lt;DATE(2019,11,30),30,150),
"نوادي",IF(D578&lt;DATE(2019,11,30),6,30),
"رسو مراكب",IF(D578&lt;DATE(2019,11,30),2,10),
"مباني",IF(D578&lt;DATE(2018,9,24),2,10),
"عشش",IF(D578&lt;DATE(2019,11,30),2,10),
"كشك (تجاري/صناعي)",IF(D578&lt;DATE(2019,11,30),10,50),
"ردم",20,
0)))</f>
        <v>10080</v>
      </c>
      <c r="AC578" s="1" cm="1">
        <f t="array" aca="1" ref="AC578" ca="1">IF(Y578&lt;DATE(2023,5,1),0,
IF(J578="زراعة",
K578*
(
INT((Y578-MAX(DATE(2023,5,1),D578))/365)
+
CEILING(MOD((Y578-MAX(DATE(2023,5,1),D578))/365,1),0.25)
)
*3,
IF(J578="ردم",
K578*20,
K578*
(
DATEDIF(MAX(DATE(2023,5,1),D578),Y578,"m")+1
)
*
_xlfn.SWITCH(J578,
"موقف/تندة",6,
"تشوينات",4,
"مشاتل",2,
"رسو مراكب",6,
"مباني",3,
"عشش",1,
"كشك (تجاري/صناعي)",20,
"مواسير صرف صحي (&lt;1م)",16,
"مواسير صرف صحي (&gt;1م)",18,
0))))</f>
        <v>2664</v>
      </c>
      <c r="AD578" s="1">
        <f t="shared" ca="1" si="53"/>
        <v>41</v>
      </c>
    </row>
    <row r="579" spans="1:30" ht="18.75" x14ac:dyDescent="0.25">
      <c r="A579" s="52">
        <v>518</v>
      </c>
      <c r="B579" s="82">
        <v>55</v>
      </c>
      <c r="C579" s="6">
        <v>2019</v>
      </c>
      <c r="D579" s="7">
        <v>43774</v>
      </c>
      <c r="E579" s="12"/>
      <c r="F579" s="6"/>
      <c r="G579" s="6" t="s">
        <v>725</v>
      </c>
      <c r="H579" s="6"/>
      <c r="I579" s="6" t="s">
        <v>144</v>
      </c>
      <c r="J579" s="3" t="s">
        <v>27</v>
      </c>
      <c r="K579" s="6">
        <v>150</v>
      </c>
      <c r="L579" s="3"/>
      <c r="M579" s="7"/>
      <c r="N579" s="6"/>
      <c r="O579" s="9">
        <f>0.47*Table2[[#This Row],[قيمة المحضر]]</f>
        <v>0</v>
      </c>
      <c r="P579" s="9">
        <f>0.17*Table2[[#This Row],[قيمة المحضر]]</f>
        <v>0</v>
      </c>
      <c r="Q579" s="9">
        <f t="shared" ca="1" si="54"/>
        <v>78450</v>
      </c>
      <c r="R579" s="3"/>
      <c r="S579" s="3"/>
      <c r="T579" s="9" t="str">
        <f t="shared" si="55"/>
        <v>-</v>
      </c>
      <c r="U579" s="3" t="s">
        <v>25</v>
      </c>
      <c r="V579" s="9" t="str">
        <f t="shared" si="56"/>
        <v>-</v>
      </c>
      <c r="W579" s="4"/>
      <c r="X579" s="38"/>
      <c r="Y579" s="1">
        <f t="shared" ref="Y579:Y642" ca="1" si="57">IF(M579="",TODAY(),M579)</f>
        <v>46162</v>
      </c>
      <c r="Z579" s="1" cm="1">
        <f t="array" ref="Z579">IF(D579&gt;DATE(2015,5,16),0,
K579*
(
INT((MIN(Y579,DATE(2015,5,16))-D579)/365)
+
CEILING(MOD((MIN(Y579,DATE(2015,5,16))-D579)/365,1),0.25)
)
*
_xlfn.SWITCH(J579,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79" s="1" cm="1">
        <f t="array" aca="1" ref="AA579" ca="1">IF(Y579&lt;DATE(2015,5,17),0,
K579*
(
INT((MIN(Y579,DATE(2018,9,23))-MAX(D579,DATE(2015,5,17)))/365)
+
CEILING(MOD((MIN(Y579,DATE(2018,9,23))-MAX(D579,DATE(2015,5,17)))/365,1),0.25)
)
*
_xlfn.SWITCH(J579,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-1200</v>
      </c>
      <c r="AB579" s="1" cm="1">
        <f t="array" aca="1" ref="AB579" ca="1">IF(Y579&lt;DATE(2018,9,24),0,
IF(J579="زراعة",
K579*
(
INT((MIN(Y579,DATE(2023,4,30))-MAX(D579,DATE(2018,9,24)))/365)
+
CEILING(MOD((MIN(Y579,DATE(2023,4,30))-MAX(D579,DATE(2018,9,24)))/365,1),0.25)
)
*1,
K579*
(
DATEDIF(MAX(D579,DATE(2018,9,24)),MIN(Y579,DATE(2023,4,30)),"m")+1
)
*
_xlfn.SWITCH(J579,
"موقف/تندة",IF(D579&lt;DATE(2019,11,30),6,30),
"تشوينات",IF(D579&lt;DATE(2019,11,30),4,20),
"مشاتل",IF(D579&lt;DATE(2019,11,30),2,10),
"كافيتيريا",IF(D579&lt;DATE(2019,11,30),30,150),
"نوادي",IF(D579&lt;DATE(2019,11,30),6,30),
"رسو مراكب",IF(D579&lt;DATE(2019,11,30),2,10),
"مباني",IF(D579&lt;DATE(2018,9,24),2,10),
"عشش",IF(D579&lt;DATE(2019,11,30),2,10),
"كشك (تجاري/صناعي)",IF(D579&lt;DATE(2019,11,30),10,50),
"ردم",20,
0)))</f>
        <v>63000</v>
      </c>
      <c r="AC579" s="1" cm="1">
        <f t="array" aca="1" ref="AC579" ca="1">IF(Y579&lt;DATE(2023,5,1),0,
IF(J579="زراعة",
K579*
(
INT((Y579-MAX(DATE(2023,5,1),D579))/365)
+
CEILING(MOD((Y579-MAX(DATE(2023,5,1),D579))/365,1),0.25)
)
*3,
IF(J579="ردم",
K579*20,
K579*
(
DATEDIF(MAX(DATE(2023,5,1),D579),Y579,"m")+1
)
*
_xlfn.SWITCH(J579,
"موقف/تندة",6,
"تشوينات",4,
"مشاتل",2,
"رسو مراكب",6,
"مباني",3,
"عشش",1,
"كشك (تجاري/صناعي)",20,
"مواسير صرف صحي (&lt;1م)",16,
"مواسير صرف صحي (&gt;1م)",18,
0))))</f>
        <v>16650</v>
      </c>
      <c r="AD579" s="1">
        <f t="shared" ref="AD579:AD642" ca="1" si="58">DATEDIF(MAX(D579,DATE(2018,9,24)),MIN(Y579,DATE(2023,4,30)),"m")</f>
        <v>41</v>
      </c>
    </row>
    <row r="580" spans="1:30" ht="18.75" x14ac:dyDescent="0.25">
      <c r="A580" s="84">
        <v>518</v>
      </c>
      <c r="B580" s="82">
        <v>55</v>
      </c>
      <c r="C580" s="6">
        <v>2019</v>
      </c>
      <c r="D580" s="7">
        <v>43774</v>
      </c>
      <c r="E580" s="12"/>
      <c r="F580" s="6"/>
      <c r="G580" s="6" t="s">
        <v>725</v>
      </c>
      <c r="H580" s="6"/>
      <c r="I580" s="6" t="s">
        <v>144</v>
      </c>
      <c r="J580" s="3" t="s">
        <v>77</v>
      </c>
      <c r="K580" s="3">
        <v>150</v>
      </c>
      <c r="L580" s="3"/>
      <c r="M580" s="7"/>
      <c r="N580" s="6"/>
      <c r="O580" s="9">
        <f>0.47*Table2[[#This Row],[قيمة المحضر]]</f>
        <v>0</v>
      </c>
      <c r="P580" s="9">
        <f>0.17*Table2[[#This Row],[قيمة المحضر]]</f>
        <v>0</v>
      </c>
      <c r="Q580" s="9">
        <f t="shared" ca="1" si="54"/>
        <v>126000</v>
      </c>
      <c r="R580" s="3"/>
      <c r="S580" s="3"/>
      <c r="T580" s="9" t="str">
        <f t="shared" si="55"/>
        <v>-</v>
      </c>
      <c r="U580" s="3" t="s">
        <v>25</v>
      </c>
      <c r="V580" s="9" t="str">
        <f t="shared" si="56"/>
        <v>-</v>
      </c>
      <c r="W580" s="4"/>
      <c r="X580" s="38"/>
      <c r="Y580" s="1">
        <f t="shared" ca="1" si="57"/>
        <v>46162</v>
      </c>
      <c r="Z580" s="1" cm="1">
        <f t="array" ref="Z580">IF(D580&gt;DATE(2015,5,16),0,
K580*
(
INT((MIN(Y580,DATE(2015,5,16))-D580)/365)
+
CEILING(MOD((MIN(Y580,DATE(2015,5,16))-D580)/365,1),0.25)
)
*
_xlfn.SWITCH(J580,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80" s="1" cm="1">
        <f t="array" aca="1" ref="AA580" ca="1">IF(Y580&lt;DATE(2015,5,17),0,
K580*
(
INT((MIN(Y580,DATE(2018,9,23))-MAX(D580,DATE(2015,5,17)))/365)
+
CEILING(MOD((MIN(Y580,DATE(2018,9,23))-MAX(D580,DATE(2015,5,17)))/365,1),0.25)
)
*
_xlfn.SWITCH(J580,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-3000</v>
      </c>
      <c r="AB580" s="1" cm="1">
        <f t="array" aca="1" ref="AB580" ca="1">IF(Y580&lt;DATE(2018,9,24),0,
IF(J580="زراعة",
K580*
(
INT((MIN(Y580,DATE(2023,4,30))-MAX(D580,DATE(2018,9,24)))/365)
+
CEILING(MOD((MIN(Y580,DATE(2023,4,30))-MAX(D580,DATE(2018,9,24)))/365,1),0.25)
)
*1,
K580*
(
DATEDIF(MAX(D580,DATE(2018,9,24)),MIN(Y580,DATE(2023,4,30)),"m")+1
)
*
_xlfn.SWITCH(J580,
"موقف/تندة",IF(D580&lt;DATE(2019,11,30),6,30),
"تشوينات",IF(D580&lt;DATE(2019,11,30),4,20),
"مشاتل",IF(D580&lt;DATE(2019,11,30),2,10),
"كافيتيريا",IF(D580&lt;DATE(2019,11,30),30,150),
"نوادي",IF(D580&lt;DATE(2019,11,30),6,30),
"رسو مراكب",IF(D580&lt;DATE(2019,11,30),2,10),
"مباني",IF(D580&lt;DATE(2018,9,24),2,10),
"عشش",IF(D580&lt;DATE(2019,11,30),2,10),
"كشك (تجاري/صناعي)",IF(D580&lt;DATE(2019,11,30),10,50),
"ردم",20,
0)))</f>
        <v>126000</v>
      </c>
      <c r="AC580" s="1" cm="1">
        <f t="array" aca="1" ref="AC580" ca="1">IF(Y580&lt;DATE(2023,5,1),0,
IF(J580="زراعة",
K580*
(
INT((Y580-MAX(DATE(2023,5,1),D580))/365)
+
CEILING(MOD((Y580-MAX(DATE(2023,5,1),D580))/365,1),0.25)
)
*3,
IF(J580="ردم",
K580*20,
K580*
(
DATEDIF(MAX(DATE(2023,5,1),D580),Y580,"m")+1
)
*
_xlfn.SWITCH(J580,
"موقف/تندة",6,
"تشوينات",4,
"مشاتل",2,
"رسو مراكب",6,
"مباني",3,
"عشش",1,
"كشك (تجاري/صناعي)",20,
"مواسير صرف صحي (&lt;1م)",16,
"مواسير صرف صحي (&gt;1م)",18,
0))))</f>
        <v>3000</v>
      </c>
      <c r="AD580" s="1">
        <f t="shared" ca="1" si="58"/>
        <v>41</v>
      </c>
    </row>
    <row r="581" spans="1:30" ht="18.75" x14ac:dyDescent="0.25">
      <c r="A581" s="52">
        <v>519</v>
      </c>
      <c r="B581" s="6">
        <v>56</v>
      </c>
      <c r="C581" s="6">
        <v>2019</v>
      </c>
      <c r="D581" s="7">
        <v>43774</v>
      </c>
      <c r="E581" s="12"/>
      <c r="F581" s="6"/>
      <c r="G581" s="6" t="s">
        <v>726</v>
      </c>
      <c r="H581" s="6"/>
      <c r="I581" s="6" t="s">
        <v>144</v>
      </c>
      <c r="J581" s="3" t="s">
        <v>27</v>
      </c>
      <c r="K581" s="6">
        <v>60</v>
      </c>
      <c r="L581" s="3"/>
      <c r="M581" s="7"/>
      <c r="N581" s="6"/>
      <c r="O581" s="9">
        <f>0.47*Table2[[#This Row],[قيمة المحضر]]</f>
        <v>0</v>
      </c>
      <c r="P581" s="9">
        <f>0.17*Table2[[#This Row],[قيمة المحضر]]</f>
        <v>0</v>
      </c>
      <c r="Q581" s="9">
        <f t="shared" ca="1" si="54"/>
        <v>31380</v>
      </c>
      <c r="R581" s="3"/>
      <c r="S581" s="3"/>
      <c r="T581" s="9" t="str">
        <f t="shared" si="55"/>
        <v>-</v>
      </c>
      <c r="U581" s="3" t="s">
        <v>25</v>
      </c>
      <c r="V581" s="9" t="str">
        <f t="shared" si="56"/>
        <v>-</v>
      </c>
      <c r="W581" s="4"/>
      <c r="X581" s="38"/>
      <c r="Y581" s="1">
        <f t="shared" ca="1" si="57"/>
        <v>46162</v>
      </c>
      <c r="Z581" s="1" cm="1">
        <f t="array" ref="Z581">IF(D581&gt;DATE(2015,5,16),0,
K581*
(
INT((MIN(Y581,DATE(2015,5,16))-D581)/365)
+
CEILING(MOD((MIN(Y581,DATE(2015,5,16))-D581)/365,1),0.25)
)
*
_xlfn.SWITCH(J581,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81" s="1" cm="1">
        <f t="array" aca="1" ref="AA581" ca="1">IF(Y581&lt;DATE(2015,5,17),0,
K581*
(
INT((MIN(Y581,DATE(2018,9,23))-MAX(D581,DATE(2015,5,17)))/365)
+
CEILING(MOD((MIN(Y581,DATE(2018,9,23))-MAX(D581,DATE(2015,5,17)))/365,1),0.25)
)
*
_xlfn.SWITCH(J581,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-480</v>
      </c>
      <c r="AB581" s="1" cm="1">
        <f t="array" aca="1" ref="AB581" ca="1">IF(Y581&lt;DATE(2018,9,24),0,
IF(J581="زراعة",
K581*
(
INT((MIN(Y581,DATE(2023,4,30))-MAX(D581,DATE(2018,9,24)))/365)
+
CEILING(MOD((MIN(Y581,DATE(2023,4,30))-MAX(D581,DATE(2018,9,24)))/365,1),0.25)
)
*1,
K581*
(
DATEDIF(MAX(D581,DATE(2018,9,24)),MIN(Y581,DATE(2023,4,30)),"m")+1
)
*
_xlfn.SWITCH(J581,
"موقف/تندة",IF(D581&lt;DATE(2019,11,30),6,30),
"تشوينات",IF(D581&lt;DATE(2019,11,30),4,20),
"مشاتل",IF(D581&lt;DATE(2019,11,30),2,10),
"كافيتيريا",IF(D581&lt;DATE(2019,11,30),30,150),
"نوادي",IF(D581&lt;DATE(2019,11,30),6,30),
"رسو مراكب",IF(D581&lt;DATE(2019,11,30),2,10),
"مباني",IF(D581&lt;DATE(2018,9,24),2,10),
"عشش",IF(D581&lt;DATE(2019,11,30),2,10),
"كشك (تجاري/صناعي)",IF(D581&lt;DATE(2019,11,30),10,50),
"ردم",20,
0)))</f>
        <v>25200</v>
      </c>
      <c r="AC581" s="1" cm="1">
        <f t="array" aca="1" ref="AC581" ca="1">IF(Y581&lt;DATE(2023,5,1),0,
IF(J581="زراعة",
K581*
(
INT((Y581-MAX(DATE(2023,5,1),D581))/365)
+
CEILING(MOD((Y581-MAX(DATE(2023,5,1),D581))/365,1),0.25)
)
*3,
IF(J581="ردم",
K581*20,
K581*
(
DATEDIF(MAX(DATE(2023,5,1),D581),Y581,"m")+1
)
*
_xlfn.SWITCH(J581,
"موقف/تندة",6,
"تشوينات",4,
"مشاتل",2,
"رسو مراكب",6,
"مباني",3,
"عشش",1,
"كشك (تجاري/صناعي)",20,
"مواسير صرف صحي (&lt;1م)",16,
"مواسير صرف صحي (&gt;1م)",18,
0))))</f>
        <v>6660</v>
      </c>
      <c r="AD581" s="1">
        <f t="shared" ca="1" si="58"/>
        <v>41</v>
      </c>
    </row>
    <row r="582" spans="1:30" ht="18.75" x14ac:dyDescent="0.25">
      <c r="A582" s="52">
        <v>520</v>
      </c>
      <c r="B582" s="6">
        <v>57</v>
      </c>
      <c r="C582" s="6">
        <v>2019</v>
      </c>
      <c r="D582" s="7">
        <v>43774</v>
      </c>
      <c r="E582" s="12"/>
      <c r="F582" s="6"/>
      <c r="G582" s="6" t="s">
        <v>727</v>
      </c>
      <c r="H582" s="6"/>
      <c r="I582" s="6" t="s">
        <v>144</v>
      </c>
      <c r="J582" s="3" t="s">
        <v>27</v>
      </c>
      <c r="K582" s="6">
        <v>10</v>
      </c>
      <c r="L582" s="3"/>
      <c r="M582" s="7"/>
      <c r="N582" s="6"/>
      <c r="O582" s="9">
        <f>0.47*Table2[[#This Row],[قيمة المحضر]]</f>
        <v>0</v>
      </c>
      <c r="P582" s="9">
        <f>0.17*Table2[[#This Row],[قيمة المحضر]]</f>
        <v>0</v>
      </c>
      <c r="Q582" s="9">
        <f t="shared" ca="1" si="54"/>
        <v>5230</v>
      </c>
      <c r="R582" s="3"/>
      <c r="S582" s="3"/>
      <c r="T582" s="9" t="str">
        <f t="shared" si="55"/>
        <v>-</v>
      </c>
      <c r="U582" s="3" t="s">
        <v>25</v>
      </c>
      <c r="V582" s="9" t="str">
        <f t="shared" si="56"/>
        <v>-</v>
      </c>
      <c r="W582" s="4"/>
      <c r="X582" s="38"/>
      <c r="Y582" s="1">
        <f t="shared" ca="1" si="57"/>
        <v>46162</v>
      </c>
      <c r="Z582" s="1" cm="1">
        <f t="array" ref="Z582">IF(D582&gt;DATE(2015,5,16),0,
K582*
(
INT((MIN(Y582,DATE(2015,5,16))-D582)/365)
+
CEILING(MOD((MIN(Y582,DATE(2015,5,16))-D582)/365,1),0.25)
)
*
_xlfn.SWITCH(J582,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82" s="1" cm="1">
        <f t="array" aca="1" ref="AA582" ca="1">IF(Y582&lt;DATE(2015,5,17),0,
K582*
(
INT((MIN(Y582,DATE(2018,9,23))-MAX(D582,DATE(2015,5,17)))/365)
+
CEILING(MOD((MIN(Y582,DATE(2018,9,23))-MAX(D582,DATE(2015,5,17)))/365,1),0.25)
)
*
_xlfn.SWITCH(J582,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-80</v>
      </c>
      <c r="AB582" s="1" cm="1">
        <f t="array" aca="1" ref="AB582" ca="1">IF(Y582&lt;DATE(2018,9,24),0,
IF(J582="زراعة",
K582*
(
INT((MIN(Y582,DATE(2023,4,30))-MAX(D582,DATE(2018,9,24)))/365)
+
CEILING(MOD((MIN(Y582,DATE(2023,4,30))-MAX(D582,DATE(2018,9,24)))/365,1),0.25)
)
*1,
K582*
(
DATEDIF(MAX(D582,DATE(2018,9,24)),MIN(Y582,DATE(2023,4,30)),"m")+1
)
*
_xlfn.SWITCH(J582,
"موقف/تندة",IF(D582&lt;DATE(2019,11,30),6,30),
"تشوينات",IF(D582&lt;DATE(2019,11,30),4,20),
"مشاتل",IF(D582&lt;DATE(2019,11,30),2,10),
"كافيتيريا",IF(D582&lt;DATE(2019,11,30),30,150),
"نوادي",IF(D582&lt;DATE(2019,11,30),6,30),
"رسو مراكب",IF(D582&lt;DATE(2019,11,30),2,10),
"مباني",IF(D582&lt;DATE(2018,9,24),2,10),
"عشش",IF(D582&lt;DATE(2019,11,30),2,10),
"كشك (تجاري/صناعي)",IF(D582&lt;DATE(2019,11,30),10,50),
"ردم",20,
0)))</f>
        <v>4200</v>
      </c>
      <c r="AC582" s="1" cm="1">
        <f t="array" aca="1" ref="AC582" ca="1">IF(Y582&lt;DATE(2023,5,1),0,
IF(J582="زراعة",
K582*
(
INT((Y582-MAX(DATE(2023,5,1),D582))/365)
+
CEILING(MOD((Y582-MAX(DATE(2023,5,1),D582))/365,1),0.25)
)
*3,
IF(J582="ردم",
K582*20,
K582*
(
DATEDIF(MAX(DATE(2023,5,1),D582),Y582,"m")+1
)
*
_xlfn.SWITCH(J582,
"موقف/تندة",6,
"تشوينات",4,
"مشاتل",2,
"رسو مراكب",6,
"مباني",3,
"عشش",1,
"كشك (تجاري/صناعي)",20,
"مواسير صرف صحي (&lt;1م)",16,
"مواسير صرف صحي (&gt;1م)",18,
0))))</f>
        <v>1110</v>
      </c>
      <c r="AD582" s="1">
        <f t="shared" ca="1" si="58"/>
        <v>41</v>
      </c>
    </row>
    <row r="583" spans="1:30" ht="18.75" x14ac:dyDescent="0.25">
      <c r="A583" s="52">
        <v>521</v>
      </c>
      <c r="B583" s="6">
        <v>58</v>
      </c>
      <c r="C583" s="6">
        <v>2019</v>
      </c>
      <c r="D583" s="7">
        <v>43774</v>
      </c>
      <c r="E583" s="12"/>
      <c r="F583" s="6"/>
      <c r="G583" s="6" t="s">
        <v>728</v>
      </c>
      <c r="H583" s="6"/>
      <c r="I583" s="6" t="s">
        <v>144</v>
      </c>
      <c r="J583" s="3" t="s">
        <v>27</v>
      </c>
      <c r="K583" s="6">
        <f>15*5</f>
        <v>75</v>
      </c>
      <c r="L583" s="3"/>
      <c r="M583" s="7"/>
      <c r="N583" s="6"/>
      <c r="O583" s="9">
        <f>0.47*Table2[[#This Row],[قيمة المحضر]]</f>
        <v>0</v>
      </c>
      <c r="P583" s="9">
        <f>0.17*Table2[[#This Row],[قيمة المحضر]]</f>
        <v>0</v>
      </c>
      <c r="Q583" s="9">
        <f t="shared" ca="1" si="54"/>
        <v>39225</v>
      </c>
      <c r="R583" s="3"/>
      <c r="S583" s="3"/>
      <c r="T583" s="9" t="str">
        <f t="shared" si="55"/>
        <v>-</v>
      </c>
      <c r="U583" s="3" t="s">
        <v>25</v>
      </c>
      <c r="V583" s="9" t="str">
        <f t="shared" si="56"/>
        <v>-</v>
      </c>
      <c r="W583" s="4"/>
      <c r="X583" s="38"/>
      <c r="Y583" s="1">
        <f t="shared" ca="1" si="57"/>
        <v>46162</v>
      </c>
      <c r="Z583" s="1" cm="1">
        <f t="array" ref="Z583">IF(D583&gt;DATE(2015,5,16),0,
K583*
(
INT((MIN(Y583,DATE(2015,5,16))-D583)/365)
+
CEILING(MOD((MIN(Y583,DATE(2015,5,16))-D583)/365,1),0.25)
)
*
_xlfn.SWITCH(J583,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83" s="1" cm="1">
        <f t="array" aca="1" ref="AA583" ca="1">IF(Y583&lt;DATE(2015,5,17),0,
K583*
(
INT((MIN(Y583,DATE(2018,9,23))-MAX(D583,DATE(2015,5,17)))/365)
+
CEILING(MOD((MIN(Y583,DATE(2018,9,23))-MAX(D583,DATE(2015,5,17)))/365,1),0.25)
)
*
_xlfn.SWITCH(J583,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-600</v>
      </c>
      <c r="AB583" s="1" cm="1">
        <f t="array" aca="1" ref="AB583" ca="1">IF(Y583&lt;DATE(2018,9,24),0,
IF(J583="زراعة",
K583*
(
INT((MIN(Y583,DATE(2023,4,30))-MAX(D583,DATE(2018,9,24)))/365)
+
CEILING(MOD((MIN(Y583,DATE(2023,4,30))-MAX(D583,DATE(2018,9,24)))/365,1),0.25)
)
*1,
K583*
(
DATEDIF(MAX(D583,DATE(2018,9,24)),MIN(Y583,DATE(2023,4,30)),"m")+1
)
*
_xlfn.SWITCH(J583,
"موقف/تندة",IF(D583&lt;DATE(2019,11,30),6,30),
"تشوينات",IF(D583&lt;DATE(2019,11,30),4,20),
"مشاتل",IF(D583&lt;DATE(2019,11,30),2,10),
"كافيتيريا",IF(D583&lt;DATE(2019,11,30),30,150),
"نوادي",IF(D583&lt;DATE(2019,11,30),6,30),
"رسو مراكب",IF(D583&lt;DATE(2019,11,30),2,10),
"مباني",IF(D583&lt;DATE(2018,9,24),2,10),
"عشش",IF(D583&lt;DATE(2019,11,30),2,10),
"كشك (تجاري/صناعي)",IF(D583&lt;DATE(2019,11,30),10,50),
"ردم",20,
0)))</f>
        <v>31500</v>
      </c>
      <c r="AC583" s="1" cm="1">
        <f t="array" aca="1" ref="AC583" ca="1">IF(Y583&lt;DATE(2023,5,1),0,
IF(J583="زراعة",
K583*
(
INT((Y583-MAX(DATE(2023,5,1),D583))/365)
+
CEILING(MOD((Y583-MAX(DATE(2023,5,1),D583))/365,1),0.25)
)
*3,
IF(J583="ردم",
K583*20,
K583*
(
DATEDIF(MAX(DATE(2023,5,1),D583),Y583,"m")+1
)
*
_xlfn.SWITCH(J583,
"موقف/تندة",6,
"تشوينات",4,
"مشاتل",2,
"رسو مراكب",6,
"مباني",3,
"عشش",1,
"كشك (تجاري/صناعي)",20,
"مواسير صرف صحي (&lt;1م)",16,
"مواسير صرف صحي (&gt;1م)",18,
0))))</f>
        <v>8325</v>
      </c>
      <c r="AD583" s="1">
        <f t="shared" ca="1" si="58"/>
        <v>41</v>
      </c>
    </row>
    <row r="584" spans="1:30" ht="18.75" x14ac:dyDescent="0.25">
      <c r="A584" s="52">
        <v>522</v>
      </c>
      <c r="B584" s="6">
        <v>59</v>
      </c>
      <c r="C584" s="6">
        <v>2019</v>
      </c>
      <c r="D584" s="7">
        <v>43774</v>
      </c>
      <c r="E584" s="12"/>
      <c r="F584" s="6"/>
      <c r="G584" s="6" t="s">
        <v>729</v>
      </c>
      <c r="H584" s="6"/>
      <c r="I584" s="6" t="s">
        <v>144</v>
      </c>
      <c r="J584" s="3" t="s">
        <v>27</v>
      </c>
      <c r="K584" s="6">
        <v>30</v>
      </c>
      <c r="L584" s="3"/>
      <c r="M584" s="7"/>
      <c r="N584" s="6"/>
      <c r="O584" s="9">
        <f>0.47*Table2[[#This Row],[قيمة المحضر]]</f>
        <v>0</v>
      </c>
      <c r="P584" s="9">
        <f>0.17*Table2[[#This Row],[قيمة المحضر]]</f>
        <v>0</v>
      </c>
      <c r="Q584" s="9">
        <f t="shared" ca="1" si="54"/>
        <v>15690</v>
      </c>
      <c r="R584" s="3"/>
      <c r="S584" s="3"/>
      <c r="T584" s="9" t="str">
        <f t="shared" si="55"/>
        <v>-</v>
      </c>
      <c r="U584" s="3" t="s">
        <v>25</v>
      </c>
      <c r="V584" s="9" t="str">
        <f t="shared" si="56"/>
        <v>-</v>
      </c>
      <c r="W584" s="4"/>
      <c r="X584" s="38"/>
      <c r="Y584" s="1">
        <f t="shared" ca="1" si="57"/>
        <v>46162</v>
      </c>
      <c r="Z584" s="1" cm="1">
        <f t="array" ref="Z584">IF(D584&gt;DATE(2015,5,16),0,
K584*
(
INT((MIN(Y584,DATE(2015,5,16))-D584)/365)
+
CEILING(MOD((MIN(Y584,DATE(2015,5,16))-D584)/365,1),0.25)
)
*
_xlfn.SWITCH(J584,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84" s="1" cm="1">
        <f t="array" aca="1" ref="AA584" ca="1">IF(Y584&lt;DATE(2015,5,17),0,
K584*
(
INT((MIN(Y584,DATE(2018,9,23))-MAX(D584,DATE(2015,5,17)))/365)
+
CEILING(MOD((MIN(Y584,DATE(2018,9,23))-MAX(D584,DATE(2015,5,17)))/365,1),0.25)
)
*
_xlfn.SWITCH(J584,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-240</v>
      </c>
      <c r="AB584" s="1" cm="1">
        <f t="array" aca="1" ref="AB584" ca="1">IF(Y584&lt;DATE(2018,9,24),0,
IF(J584="زراعة",
K584*
(
INT((MIN(Y584,DATE(2023,4,30))-MAX(D584,DATE(2018,9,24)))/365)
+
CEILING(MOD((MIN(Y584,DATE(2023,4,30))-MAX(D584,DATE(2018,9,24)))/365,1),0.25)
)
*1,
K584*
(
DATEDIF(MAX(D584,DATE(2018,9,24)),MIN(Y584,DATE(2023,4,30)),"m")+1
)
*
_xlfn.SWITCH(J584,
"موقف/تندة",IF(D584&lt;DATE(2019,11,30),6,30),
"تشوينات",IF(D584&lt;DATE(2019,11,30),4,20),
"مشاتل",IF(D584&lt;DATE(2019,11,30),2,10),
"كافيتيريا",IF(D584&lt;DATE(2019,11,30),30,150),
"نوادي",IF(D584&lt;DATE(2019,11,30),6,30),
"رسو مراكب",IF(D584&lt;DATE(2019,11,30),2,10),
"مباني",IF(D584&lt;DATE(2018,9,24),2,10),
"عشش",IF(D584&lt;DATE(2019,11,30),2,10),
"كشك (تجاري/صناعي)",IF(D584&lt;DATE(2019,11,30),10,50),
"ردم",20,
0)))</f>
        <v>12600</v>
      </c>
      <c r="AC584" s="1" cm="1">
        <f t="array" aca="1" ref="AC584" ca="1">IF(Y584&lt;DATE(2023,5,1),0,
IF(J584="زراعة",
K584*
(
INT((Y584-MAX(DATE(2023,5,1),D584))/365)
+
CEILING(MOD((Y584-MAX(DATE(2023,5,1),D584))/365,1),0.25)
)
*3,
IF(J584="ردم",
K584*20,
K584*
(
DATEDIF(MAX(DATE(2023,5,1),D584),Y584,"m")+1
)
*
_xlfn.SWITCH(J584,
"موقف/تندة",6,
"تشوينات",4,
"مشاتل",2,
"رسو مراكب",6,
"مباني",3,
"عشش",1,
"كشك (تجاري/صناعي)",20,
"مواسير صرف صحي (&lt;1م)",16,
"مواسير صرف صحي (&gt;1م)",18,
0))))</f>
        <v>3330</v>
      </c>
      <c r="AD584" s="1">
        <f t="shared" ca="1" si="58"/>
        <v>41</v>
      </c>
    </row>
    <row r="585" spans="1:30" ht="18.75" x14ac:dyDescent="0.25">
      <c r="A585" s="52">
        <v>523</v>
      </c>
      <c r="B585" s="6">
        <v>60</v>
      </c>
      <c r="C585" s="6">
        <v>2019</v>
      </c>
      <c r="D585" s="7">
        <v>43774</v>
      </c>
      <c r="E585" s="12"/>
      <c r="F585" s="6"/>
      <c r="G585" s="6" t="s">
        <v>730</v>
      </c>
      <c r="H585" s="6"/>
      <c r="I585" s="6" t="s">
        <v>144</v>
      </c>
      <c r="J585" s="3" t="s">
        <v>27</v>
      </c>
      <c r="K585" s="6">
        <v>35</v>
      </c>
      <c r="L585" s="3"/>
      <c r="M585" s="7"/>
      <c r="N585" s="6"/>
      <c r="O585" s="9">
        <f>0.47*Table2[[#This Row],[قيمة المحضر]]</f>
        <v>0</v>
      </c>
      <c r="P585" s="9">
        <f>0.17*Table2[[#This Row],[قيمة المحضر]]</f>
        <v>0</v>
      </c>
      <c r="Q585" s="9">
        <f t="shared" ca="1" si="54"/>
        <v>18305</v>
      </c>
      <c r="R585" s="3"/>
      <c r="S585" s="3"/>
      <c r="T585" s="9" t="str">
        <f t="shared" si="55"/>
        <v>-</v>
      </c>
      <c r="U585" s="3" t="s">
        <v>25</v>
      </c>
      <c r="V585" s="9" t="str">
        <f t="shared" si="56"/>
        <v>-</v>
      </c>
      <c r="W585" s="4"/>
      <c r="X585" s="38"/>
      <c r="Y585" s="1">
        <f t="shared" ca="1" si="57"/>
        <v>46162</v>
      </c>
      <c r="Z585" s="1" cm="1">
        <f t="array" ref="Z585">IF(D585&gt;DATE(2015,5,16),0,
K585*
(
INT((MIN(Y585,DATE(2015,5,16))-D585)/365)
+
CEILING(MOD((MIN(Y585,DATE(2015,5,16))-D585)/365,1),0.25)
)
*
_xlfn.SWITCH(J585,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85" s="1" cm="1">
        <f t="array" aca="1" ref="AA585" ca="1">IF(Y585&lt;DATE(2015,5,17),0,
K585*
(
INT((MIN(Y585,DATE(2018,9,23))-MAX(D585,DATE(2015,5,17)))/365)
+
CEILING(MOD((MIN(Y585,DATE(2018,9,23))-MAX(D585,DATE(2015,5,17)))/365,1),0.25)
)
*
_xlfn.SWITCH(J585,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-280</v>
      </c>
      <c r="AB585" s="1" cm="1">
        <f t="array" aca="1" ref="AB585" ca="1">IF(Y585&lt;DATE(2018,9,24),0,
IF(J585="زراعة",
K585*
(
INT((MIN(Y585,DATE(2023,4,30))-MAX(D585,DATE(2018,9,24)))/365)
+
CEILING(MOD((MIN(Y585,DATE(2023,4,30))-MAX(D585,DATE(2018,9,24)))/365,1),0.25)
)
*1,
K585*
(
DATEDIF(MAX(D585,DATE(2018,9,24)),MIN(Y585,DATE(2023,4,30)),"m")+1
)
*
_xlfn.SWITCH(J585,
"موقف/تندة",IF(D585&lt;DATE(2019,11,30),6,30),
"تشوينات",IF(D585&lt;DATE(2019,11,30),4,20),
"مشاتل",IF(D585&lt;DATE(2019,11,30),2,10),
"كافيتيريا",IF(D585&lt;DATE(2019,11,30),30,150),
"نوادي",IF(D585&lt;DATE(2019,11,30),6,30),
"رسو مراكب",IF(D585&lt;DATE(2019,11,30),2,10),
"مباني",IF(D585&lt;DATE(2018,9,24),2,10),
"عشش",IF(D585&lt;DATE(2019,11,30),2,10),
"كشك (تجاري/صناعي)",IF(D585&lt;DATE(2019,11,30),10,50),
"ردم",20,
0)))</f>
        <v>14700</v>
      </c>
      <c r="AC585" s="1" cm="1">
        <f t="array" aca="1" ref="AC585" ca="1">IF(Y585&lt;DATE(2023,5,1),0,
IF(J585="زراعة",
K585*
(
INT((Y585-MAX(DATE(2023,5,1),D585))/365)
+
CEILING(MOD((Y585-MAX(DATE(2023,5,1),D585))/365,1),0.25)
)
*3,
IF(J585="ردم",
K585*20,
K585*
(
DATEDIF(MAX(DATE(2023,5,1),D585),Y585,"m")+1
)
*
_xlfn.SWITCH(J585,
"موقف/تندة",6,
"تشوينات",4,
"مشاتل",2,
"رسو مراكب",6,
"مباني",3,
"عشش",1,
"كشك (تجاري/صناعي)",20,
"مواسير صرف صحي (&lt;1م)",16,
"مواسير صرف صحي (&gt;1م)",18,
0))))</f>
        <v>3885</v>
      </c>
      <c r="AD585" s="1">
        <f t="shared" ca="1" si="58"/>
        <v>41</v>
      </c>
    </row>
    <row r="586" spans="1:30" ht="18.75" x14ac:dyDescent="0.25">
      <c r="A586" s="52">
        <v>524</v>
      </c>
      <c r="B586" s="6">
        <v>61</v>
      </c>
      <c r="C586" s="6">
        <v>2019</v>
      </c>
      <c r="D586" s="7">
        <v>43774</v>
      </c>
      <c r="E586" s="12"/>
      <c r="F586" s="6"/>
      <c r="G586" s="6" t="s">
        <v>731</v>
      </c>
      <c r="H586" s="6"/>
      <c r="I586" s="6" t="s">
        <v>144</v>
      </c>
      <c r="J586" s="3" t="s">
        <v>27</v>
      </c>
      <c r="K586" s="6">
        <f>7*9</f>
        <v>63</v>
      </c>
      <c r="L586" s="3"/>
      <c r="M586" s="7"/>
      <c r="N586" s="6"/>
      <c r="O586" s="9">
        <f>0.47*Table2[[#This Row],[قيمة المحضر]]</f>
        <v>0</v>
      </c>
      <c r="P586" s="9">
        <f>0.17*Table2[[#This Row],[قيمة المحضر]]</f>
        <v>0</v>
      </c>
      <c r="Q586" s="9">
        <f t="shared" ca="1" si="54"/>
        <v>32949</v>
      </c>
      <c r="R586" s="3"/>
      <c r="S586" s="3"/>
      <c r="T586" s="9" t="str">
        <f t="shared" si="55"/>
        <v>-</v>
      </c>
      <c r="U586" s="3" t="s">
        <v>25</v>
      </c>
      <c r="V586" s="9" t="str">
        <f t="shared" si="56"/>
        <v>-</v>
      </c>
      <c r="W586" s="4"/>
      <c r="X586" s="38"/>
      <c r="Y586" s="1">
        <f t="shared" ca="1" si="57"/>
        <v>46162</v>
      </c>
      <c r="Z586" s="1" cm="1">
        <f t="array" ref="Z586">IF(D586&gt;DATE(2015,5,16),0,
K586*
(
INT((MIN(Y586,DATE(2015,5,16))-D586)/365)
+
CEILING(MOD((MIN(Y586,DATE(2015,5,16))-D586)/365,1),0.25)
)
*
_xlfn.SWITCH(J586,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86" s="1" cm="1">
        <f t="array" aca="1" ref="AA586" ca="1">IF(Y586&lt;DATE(2015,5,17),0,
K586*
(
INT((MIN(Y586,DATE(2018,9,23))-MAX(D586,DATE(2015,5,17)))/365)
+
CEILING(MOD((MIN(Y586,DATE(2018,9,23))-MAX(D586,DATE(2015,5,17)))/365,1),0.25)
)
*
_xlfn.SWITCH(J586,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-504</v>
      </c>
      <c r="AB586" s="1" cm="1">
        <f t="array" aca="1" ref="AB586" ca="1">IF(Y586&lt;DATE(2018,9,24),0,
IF(J586="زراعة",
K586*
(
INT((MIN(Y586,DATE(2023,4,30))-MAX(D586,DATE(2018,9,24)))/365)
+
CEILING(MOD((MIN(Y586,DATE(2023,4,30))-MAX(D586,DATE(2018,9,24)))/365,1),0.25)
)
*1,
K586*
(
DATEDIF(MAX(D586,DATE(2018,9,24)),MIN(Y586,DATE(2023,4,30)),"m")+1
)
*
_xlfn.SWITCH(J586,
"موقف/تندة",IF(D586&lt;DATE(2019,11,30),6,30),
"تشوينات",IF(D586&lt;DATE(2019,11,30),4,20),
"مشاتل",IF(D586&lt;DATE(2019,11,30),2,10),
"كافيتيريا",IF(D586&lt;DATE(2019,11,30),30,150),
"نوادي",IF(D586&lt;DATE(2019,11,30),6,30),
"رسو مراكب",IF(D586&lt;DATE(2019,11,30),2,10),
"مباني",IF(D586&lt;DATE(2018,9,24),2,10),
"عشش",IF(D586&lt;DATE(2019,11,30),2,10),
"كشك (تجاري/صناعي)",IF(D586&lt;DATE(2019,11,30),10,50),
"ردم",20,
0)))</f>
        <v>26460</v>
      </c>
      <c r="AC586" s="1" cm="1">
        <f t="array" aca="1" ref="AC586" ca="1">IF(Y586&lt;DATE(2023,5,1),0,
IF(J586="زراعة",
K586*
(
INT((Y586-MAX(DATE(2023,5,1),D586))/365)
+
CEILING(MOD((Y586-MAX(DATE(2023,5,1),D586))/365,1),0.25)
)
*3,
IF(J586="ردم",
K586*20,
K586*
(
DATEDIF(MAX(DATE(2023,5,1),D586),Y586,"m")+1
)
*
_xlfn.SWITCH(J586,
"موقف/تندة",6,
"تشوينات",4,
"مشاتل",2,
"رسو مراكب",6,
"مباني",3,
"عشش",1,
"كشك (تجاري/صناعي)",20,
"مواسير صرف صحي (&lt;1م)",16,
"مواسير صرف صحي (&gt;1م)",18,
0))))</f>
        <v>6993</v>
      </c>
      <c r="AD586" s="1">
        <f t="shared" ca="1" si="58"/>
        <v>41</v>
      </c>
    </row>
    <row r="587" spans="1:30" ht="18.75" x14ac:dyDescent="0.25">
      <c r="A587" s="52">
        <v>525</v>
      </c>
      <c r="B587" s="6">
        <v>62</v>
      </c>
      <c r="C587" s="6">
        <v>2019</v>
      </c>
      <c r="D587" s="7">
        <v>43774</v>
      </c>
      <c r="E587" s="12"/>
      <c r="F587" s="6"/>
      <c r="G587" s="6" t="s">
        <v>732</v>
      </c>
      <c r="H587" s="6"/>
      <c r="I587" s="6" t="s">
        <v>144</v>
      </c>
      <c r="J587" s="3" t="s">
        <v>27</v>
      </c>
      <c r="K587" s="6">
        <v>28</v>
      </c>
      <c r="L587" s="3"/>
      <c r="M587" s="7"/>
      <c r="N587" s="6"/>
      <c r="O587" s="9">
        <f>0.47*Table2[[#This Row],[قيمة المحضر]]</f>
        <v>0</v>
      </c>
      <c r="P587" s="9">
        <f>0.17*Table2[[#This Row],[قيمة المحضر]]</f>
        <v>0</v>
      </c>
      <c r="Q587" s="9">
        <f t="shared" ca="1" si="54"/>
        <v>14644</v>
      </c>
      <c r="R587" s="3"/>
      <c r="S587" s="3"/>
      <c r="T587" s="9" t="str">
        <f t="shared" si="55"/>
        <v>-</v>
      </c>
      <c r="U587" s="3" t="s">
        <v>25</v>
      </c>
      <c r="V587" s="9" t="str">
        <f t="shared" si="56"/>
        <v>-</v>
      </c>
      <c r="W587" s="4"/>
      <c r="X587" s="38"/>
      <c r="Y587" s="1">
        <f t="shared" ca="1" si="57"/>
        <v>46162</v>
      </c>
      <c r="Z587" s="1" cm="1">
        <f t="array" ref="Z587">IF(D587&gt;DATE(2015,5,16),0,
K587*
(
INT((MIN(Y587,DATE(2015,5,16))-D587)/365)
+
CEILING(MOD((MIN(Y587,DATE(2015,5,16))-D587)/365,1),0.25)
)
*
_xlfn.SWITCH(J587,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87" s="1" cm="1">
        <f t="array" aca="1" ref="AA587" ca="1">IF(Y587&lt;DATE(2015,5,17),0,
K587*
(
INT((MIN(Y587,DATE(2018,9,23))-MAX(D587,DATE(2015,5,17)))/365)
+
CEILING(MOD((MIN(Y587,DATE(2018,9,23))-MAX(D587,DATE(2015,5,17)))/365,1),0.25)
)
*
_xlfn.SWITCH(J587,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-224</v>
      </c>
      <c r="AB587" s="1" cm="1">
        <f t="array" aca="1" ref="AB587" ca="1">IF(Y587&lt;DATE(2018,9,24),0,
IF(J587="زراعة",
K587*
(
INT((MIN(Y587,DATE(2023,4,30))-MAX(D587,DATE(2018,9,24)))/365)
+
CEILING(MOD((MIN(Y587,DATE(2023,4,30))-MAX(D587,DATE(2018,9,24)))/365,1),0.25)
)
*1,
K587*
(
DATEDIF(MAX(D587,DATE(2018,9,24)),MIN(Y587,DATE(2023,4,30)),"m")+1
)
*
_xlfn.SWITCH(J587,
"موقف/تندة",IF(D587&lt;DATE(2019,11,30),6,30),
"تشوينات",IF(D587&lt;DATE(2019,11,30),4,20),
"مشاتل",IF(D587&lt;DATE(2019,11,30),2,10),
"كافيتيريا",IF(D587&lt;DATE(2019,11,30),30,150),
"نوادي",IF(D587&lt;DATE(2019,11,30),6,30),
"رسو مراكب",IF(D587&lt;DATE(2019,11,30),2,10),
"مباني",IF(D587&lt;DATE(2018,9,24),2,10),
"عشش",IF(D587&lt;DATE(2019,11,30),2,10),
"كشك (تجاري/صناعي)",IF(D587&lt;DATE(2019,11,30),10,50),
"ردم",20,
0)))</f>
        <v>11760</v>
      </c>
      <c r="AC587" s="1" cm="1">
        <f t="array" aca="1" ref="AC587" ca="1">IF(Y587&lt;DATE(2023,5,1),0,
IF(J587="زراعة",
K587*
(
INT((Y587-MAX(DATE(2023,5,1),D587))/365)
+
CEILING(MOD((Y587-MAX(DATE(2023,5,1),D587))/365,1),0.25)
)
*3,
IF(J587="ردم",
K587*20,
K587*
(
DATEDIF(MAX(DATE(2023,5,1),D587),Y587,"m")+1
)
*
_xlfn.SWITCH(J587,
"موقف/تندة",6,
"تشوينات",4,
"مشاتل",2,
"رسو مراكب",6,
"مباني",3,
"عشش",1,
"كشك (تجاري/صناعي)",20,
"مواسير صرف صحي (&lt;1م)",16,
"مواسير صرف صحي (&gt;1م)",18,
0))))</f>
        <v>3108</v>
      </c>
      <c r="AD587" s="1">
        <f t="shared" ca="1" si="58"/>
        <v>41</v>
      </c>
    </row>
    <row r="588" spans="1:30" ht="18.75" x14ac:dyDescent="0.25">
      <c r="A588" s="52">
        <v>526</v>
      </c>
      <c r="B588" s="6">
        <v>63</v>
      </c>
      <c r="C588" s="6">
        <v>2019</v>
      </c>
      <c r="D588" s="7">
        <v>43774</v>
      </c>
      <c r="E588" s="12"/>
      <c r="F588" s="6"/>
      <c r="G588" s="6" t="s">
        <v>733</v>
      </c>
      <c r="H588" s="6"/>
      <c r="I588" s="6" t="s">
        <v>144</v>
      </c>
      <c r="J588" s="3" t="s">
        <v>27</v>
      </c>
      <c r="K588" s="6">
        <v>21</v>
      </c>
      <c r="L588" s="3"/>
      <c r="M588" s="7"/>
      <c r="N588" s="6"/>
      <c r="O588" s="9">
        <f>0.47*Table2[[#This Row],[قيمة المحضر]]</f>
        <v>0</v>
      </c>
      <c r="P588" s="9">
        <f>0.17*Table2[[#This Row],[قيمة المحضر]]</f>
        <v>0</v>
      </c>
      <c r="Q588" s="9">
        <f t="shared" ca="1" si="54"/>
        <v>10983</v>
      </c>
      <c r="R588" s="3"/>
      <c r="S588" s="3"/>
      <c r="T588" s="9" t="str">
        <f t="shared" si="55"/>
        <v>-</v>
      </c>
      <c r="U588" s="3" t="s">
        <v>25</v>
      </c>
      <c r="V588" s="9" t="str">
        <f t="shared" si="56"/>
        <v>-</v>
      </c>
      <c r="W588" s="4"/>
      <c r="X588" s="38"/>
      <c r="Y588" s="1">
        <f t="shared" ca="1" si="57"/>
        <v>46162</v>
      </c>
      <c r="Z588" s="1" cm="1">
        <f t="array" ref="Z588">IF(D588&gt;DATE(2015,5,16),0,
K588*
(
INT((MIN(Y588,DATE(2015,5,16))-D588)/365)
+
CEILING(MOD((MIN(Y588,DATE(2015,5,16))-D588)/365,1),0.25)
)
*
_xlfn.SWITCH(J588,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88" s="1" cm="1">
        <f t="array" aca="1" ref="AA588" ca="1">IF(Y588&lt;DATE(2015,5,17),0,
K588*
(
INT((MIN(Y588,DATE(2018,9,23))-MAX(D588,DATE(2015,5,17)))/365)
+
CEILING(MOD((MIN(Y588,DATE(2018,9,23))-MAX(D588,DATE(2015,5,17)))/365,1),0.25)
)
*
_xlfn.SWITCH(J588,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-168</v>
      </c>
      <c r="AB588" s="1" cm="1">
        <f t="array" aca="1" ref="AB588" ca="1">IF(Y588&lt;DATE(2018,9,24),0,
IF(J588="زراعة",
K588*
(
INT((MIN(Y588,DATE(2023,4,30))-MAX(D588,DATE(2018,9,24)))/365)
+
CEILING(MOD((MIN(Y588,DATE(2023,4,30))-MAX(D588,DATE(2018,9,24)))/365,1),0.25)
)
*1,
K588*
(
DATEDIF(MAX(D588,DATE(2018,9,24)),MIN(Y588,DATE(2023,4,30)),"m")+1
)
*
_xlfn.SWITCH(J588,
"موقف/تندة",IF(D588&lt;DATE(2019,11,30),6,30),
"تشوينات",IF(D588&lt;DATE(2019,11,30),4,20),
"مشاتل",IF(D588&lt;DATE(2019,11,30),2,10),
"كافيتيريا",IF(D588&lt;DATE(2019,11,30),30,150),
"نوادي",IF(D588&lt;DATE(2019,11,30),6,30),
"رسو مراكب",IF(D588&lt;DATE(2019,11,30),2,10),
"مباني",IF(D588&lt;DATE(2018,9,24),2,10),
"عشش",IF(D588&lt;DATE(2019,11,30),2,10),
"كشك (تجاري/صناعي)",IF(D588&lt;DATE(2019,11,30),10,50),
"ردم",20,
0)))</f>
        <v>8820</v>
      </c>
      <c r="AC588" s="1" cm="1">
        <f t="array" aca="1" ref="AC588" ca="1">IF(Y588&lt;DATE(2023,5,1),0,
IF(J588="زراعة",
K588*
(
INT((Y588-MAX(DATE(2023,5,1),D588))/365)
+
CEILING(MOD((Y588-MAX(DATE(2023,5,1),D588))/365,1),0.25)
)
*3,
IF(J588="ردم",
K588*20,
K588*
(
DATEDIF(MAX(DATE(2023,5,1),D588),Y588,"m")+1
)
*
_xlfn.SWITCH(J588,
"موقف/تندة",6,
"تشوينات",4,
"مشاتل",2,
"رسو مراكب",6,
"مباني",3,
"عشش",1,
"كشك (تجاري/صناعي)",20,
"مواسير صرف صحي (&lt;1م)",16,
"مواسير صرف صحي (&gt;1م)",18,
0))))</f>
        <v>2331</v>
      </c>
      <c r="AD588" s="1">
        <f t="shared" ca="1" si="58"/>
        <v>41</v>
      </c>
    </row>
    <row r="589" spans="1:30" ht="18.75" x14ac:dyDescent="0.25">
      <c r="A589" s="52">
        <v>527</v>
      </c>
      <c r="B589" s="6">
        <v>64</v>
      </c>
      <c r="C589" s="6">
        <v>2019</v>
      </c>
      <c r="D589" s="7">
        <v>43774</v>
      </c>
      <c r="E589" s="12"/>
      <c r="F589" s="6"/>
      <c r="G589" s="6" t="s">
        <v>734</v>
      </c>
      <c r="H589" s="6"/>
      <c r="I589" s="6" t="s">
        <v>144</v>
      </c>
      <c r="J589" s="3" t="s">
        <v>27</v>
      </c>
      <c r="K589" s="6">
        <v>35</v>
      </c>
      <c r="L589" s="3"/>
      <c r="M589" s="7"/>
      <c r="N589" s="6"/>
      <c r="O589" s="9">
        <f>0.47*Table2[[#This Row],[قيمة المحضر]]</f>
        <v>0</v>
      </c>
      <c r="P589" s="9">
        <f>0.17*Table2[[#This Row],[قيمة المحضر]]</f>
        <v>0</v>
      </c>
      <c r="Q589" s="9">
        <f t="shared" ca="1" si="54"/>
        <v>18305</v>
      </c>
      <c r="R589" s="3"/>
      <c r="S589" s="3"/>
      <c r="T589" s="9" t="str">
        <f t="shared" si="55"/>
        <v>-</v>
      </c>
      <c r="U589" s="3" t="s">
        <v>25</v>
      </c>
      <c r="V589" s="9" t="str">
        <f t="shared" si="56"/>
        <v>-</v>
      </c>
      <c r="W589" s="4"/>
      <c r="X589" s="38"/>
      <c r="Y589" s="1">
        <f t="shared" ca="1" si="57"/>
        <v>46162</v>
      </c>
      <c r="Z589" s="1" cm="1">
        <f t="array" ref="Z589">IF(D589&gt;DATE(2015,5,16),0,
K589*
(
INT((MIN(Y589,DATE(2015,5,16))-D589)/365)
+
CEILING(MOD((MIN(Y589,DATE(2015,5,16))-D589)/365,1),0.25)
)
*
_xlfn.SWITCH(J589,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89" s="1" cm="1">
        <f t="array" aca="1" ref="AA589" ca="1">IF(Y589&lt;DATE(2015,5,17),0,
K589*
(
INT((MIN(Y589,DATE(2018,9,23))-MAX(D589,DATE(2015,5,17)))/365)
+
CEILING(MOD((MIN(Y589,DATE(2018,9,23))-MAX(D589,DATE(2015,5,17)))/365,1),0.25)
)
*
_xlfn.SWITCH(J589,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-280</v>
      </c>
      <c r="AB589" s="1" cm="1">
        <f t="array" aca="1" ref="AB589" ca="1">IF(Y589&lt;DATE(2018,9,24),0,
IF(J589="زراعة",
K589*
(
INT((MIN(Y589,DATE(2023,4,30))-MAX(D589,DATE(2018,9,24)))/365)
+
CEILING(MOD((MIN(Y589,DATE(2023,4,30))-MAX(D589,DATE(2018,9,24)))/365,1),0.25)
)
*1,
K589*
(
DATEDIF(MAX(D589,DATE(2018,9,24)),MIN(Y589,DATE(2023,4,30)),"m")+1
)
*
_xlfn.SWITCH(J589,
"موقف/تندة",IF(D589&lt;DATE(2019,11,30),6,30),
"تشوينات",IF(D589&lt;DATE(2019,11,30),4,20),
"مشاتل",IF(D589&lt;DATE(2019,11,30),2,10),
"كافيتيريا",IF(D589&lt;DATE(2019,11,30),30,150),
"نوادي",IF(D589&lt;DATE(2019,11,30),6,30),
"رسو مراكب",IF(D589&lt;DATE(2019,11,30),2,10),
"مباني",IF(D589&lt;DATE(2018,9,24),2,10),
"عشش",IF(D589&lt;DATE(2019,11,30),2,10),
"كشك (تجاري/صناعي)",IF(D589&lt;DATE(2019,11,30),10,50),
"ردم",20,
0)))</f>
        <v>14700</v>
      </c>
      <c r="AC589" s="1" cm="1">
        <f t="array" aca="1" ref="AC589" ca="1">IF(Y589&lt;DATE(2023,5,1),0,
IF(J589="زراعة",
K589*
(
INT((Y589-MAX(DATE(2023,5,1),D589))/365)
+
CEILING(MOD((Y589-MAX(DATE(2023,5,1),D589))/365,1),0.25)
)
*3,
IF(J589="ردم",
K589*20,
K589*
(
DATEDIF(MAX(DATE(2023,5,1),D589),Y589,"m")+1
)
*
_xlfn.SWITCH(J589,
"موقف/تندة",6,
"تشوينات",4,
"مشاتل",2,
"رسو مراكب",6,
"مباني",3,
"عشش",1,
"كشك (تجاري/صناعي)",20,
"مواسير صرف صحي (&lt;1م)",16,
"مواسير صرف صحي (&gt;1م)",18,
0))))</f>
        <v>3885</v>
      </c>
      <c r="AD589" s="1">
        <f t="shared" ca="1" si="58"/>
        <v>41</v>
      </c>
    </row>
    <row r="590" spans="1:30" ht="18.75" x14ac:dyDescent="0.25">
      <c r="A590" s="52">
        <v>528</v>
      </c>
      <c r="B590" s="6">
        <v>65</v>
      </c>
      <c r="C590" s="6">
        <v>2019</v>
      </c>
      <c r="D590" s="7">
        <v>43774</v>
      </c>
      <c r="E590" s="12"/>
      <c r="F590" s="6"/>
      <c r="G590" s="6" t="s">
        <v>735</v>
      </c>
      <c r="H590" s="6"/>
      <c r="I590" s="6" t="s">
        <v>144</v>
      </c>
      <c r="J590" s="3" t="s">
        <v>27</v>
      </c>
      <c r="K590" s="6">
        <v>35</v>
      </c>
      <c r="L590" s="3"/>
      <c r="M590" s="7"/>
      <c r="N590" s="6"/>
      <c r="O590" s="9">
        <f>0.47*Table2[[#This Row],[قيمة المحضر]]</f>
        <v>0</v>
      </c>
      <c r="P590" s="9">
        <f>0.17*Table2[[#This Row],[قيمة المحضر]]</f>
        <v>0</v>
      </c>
      <c r="Q590" s="9">
        <f t="shared" ca="1" si="54"/>
        <v>18305</v>
      </c>
      <c r="R590" s="3"/>
      <c r="S590" s="3"/>
      <c r="T590" s="9" t="str">
        <f t="shared" si="55"/>
        <v>-</v>
      </c>
      <c r="U590" s="3" t="s">
        <v>25</v>
      </c>
      <c r="V590" s="9" t="str">
        <f t="shared" si="56"/>
        <v>-</v>
      </c>
      <c r="W590" s="4"/>
      <c r="X590" s="38"/>
      <c r="Y590" s="1">
        <f t="shared" ca="1" si="57"/>
        <v>46162</v>
      </c>
      <c r="Z590" s="1" cm="1">
        <f t="array" ref="Z590">IF(D590&gt;DATE(2015,5,16),0,
K590*
(
INT((MIN(Y590,DATE(2015,5,16))-D590)/365)
+
CEILING(MOD((MIN(Y590,DATE(2015,5,16))-D590)/365,1),0.25)
)
*
_xlfn.SWITCH(J590,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90" s="1" cm="1">
        <f t="array" aca="1" ref="AA590" ca="1">IF(Y590&lt;DATE(2015,5,17),0,
K590*
(
INT((MIN(Y590,DATE(2018,9,23))-MAX(D590,DATE(2015,5,17)))/365)
+
CEILING(MOD((MIN(Y590,DATE(2018,9,23))-MAX(D590,DATE(2015,5,17)))/365,1),0.25)
)
*
_xlfn.SWITCH(J590,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-280</v>
      </c>
      <c r="AB590" s="1" cm="1">
        <f t="array" aca="1" ref="AB590" ca="1">IF(Y590&lt;DATE(2018,9,24),0,
IF(J590="زراعة",
K590*
(
INT((MIN(Y590,DATE(2023,4,30))-MAX(D590,DATE(2018,9,24)))/365)
+
CEILING(MOD((MIN(Y590,DATE(2023,4,30))-MAX(D590,DATE(2018,9,24)))/365,1),0.25)
)
*1,
K590*
(
DATEDIF(MAX(D590,DATE(2018,9,24)),MIN(Y590,DATE(2023,4,30)),"m")+1
)
*
_xlfn.SWITCH(J590,
"موقف/تندة",IF(D590&lt;DATE(2019,11,30),6,30),
"تشوينات",IF(D590&lt;DATE(2019,11,30),4,20),
"مشاتل",IF(D590&lt;DATE(2019,11,30),2,10),
"كافيتيريا",IF(D590&lt;DATE(2019,11,30),30,150),
"نوادي",IF(D590&lt;DATE(2019,11,30),6,30),
"رسو مراكب",IF(D590&lt;DATE(2019,11,30),2,10),
"مباني",IF(D590&lt;DATE(2018,9,24),2,10),
"عشش",IF(D590&lt;DATE(2019,11,30),2,10),
"كشك (تجاري/صناعي)",IF(D590&lt;DATE(2019,11,30),10,50),
"ردم",20,
0)))</f>
        <v>14700</v>
      </c>
      <c r="AC590" s="1" cm="1">
        <f t="array" aca="1" ref="AC590" ca="1">IF(Y590&lt;DATE(2023,5,1),0,
IF(J590="زراعة",
K590*
(
INT((Y590-MAX(DATE(2023,5,1),D590))/365)
+
CEILING(MOD((Y590-MAX(DATE(2023,5,1),D590))/365,1),0.25)
)
*3,
IF(J590="ردم",
K590*20,
K590*
(
DATEDIF(MAX(DATE(2023,5,1),D590),Y590,"m")+1
)
*
_xlfn.SWITCH(J590,
"موقف/تندة",6,
"تشوينات",4,
"مشاتل",2,
"رسو مراكب",6,
"مباني",3,
"عشش",1,
"كشك (تجاري/صناعي)",20,
"مواسير صرف صحي (&lt;1م)",16,
"مواسير صرف صحي (&gt;1م)",18,
0))))</f>
        <v>3885</v>
      </c>
      <c r="AD590" s="1">
        <f t="shared" ca="1" si="58"/>
        <v>41</v>
      </c>
    </row>
    <row r="591" spans="1:30" ht="18.75" x14ac:dyDescent="0.25">
      <c r="A591" s="52">
        <v>529</v>
      </c>
      <c r="B591" s="6">
        <v>66</v>
      </c>
      <c r="C591" s="6">
        <v>2019</v>
      </c>
      <c r="D591" s="7">
        <v>43774</v>
      </c>
      <c r="E591" s="12"/>
      <c r="F591" s="6"/>
      <c r="G591" s="6" t="s">
        <v>736</v>
      </c>
      <c r="H591" s="6"/>
      <c r="I591" s="6" t="s">
        <v>144</v>
      </c>
      <c r="J591" s="3" t="s">
        <v>27</v>
      </c>
      <c r="K591" s="6">
        <v>28</v>
      </c>
      <c r="L591" s="3"/>
      <c r="M591" s="7"/>
      <c r="N591" s="6"/>
      <c r="O591" s="9">
        <f>0.47*Table2[[#This Row],[قيمة المحضر]]</f>
        <v>0</v>
      </c>
      <c r="P591" s="9">
        <f>0.17*Table2[[#This Row],[قيمة المحضر]]</f>
        <v>0</v>
      </c>
      <c r="Q591" s="9">
        <f t="shared" ca="1" si="54"/>
        <v>14644</v>
      </c>
      <c r="R591" s="3"/>
      <c r="S591" s="3"/>
      <c r="T591" s="9" t="str">
        <f t="shared" si="55"/>
        <v>-</v>
      </c>
      <c r="U591" s="3" t="s">
        <v>25</v>
      </c>
      <c r="V591" s="9" t="str">
        <f t="shared" si="56"/>
        <v>-</v>
      </c>
      <c r="W591" s="4"/>
      <c r="X591" s="38"/>
      <c r="Y591" s="1">
        <f t="shared" ca="1" si="57"/>
        <v>46162</v>
      </c>
      <c r="Z591" s="1" cm="1">
        <f t="array" ref="Z591">IF(D591&gt;DATE(2015,5,16),0,
K591*
(
INT((MIN(Y591,DATE(2015,5,16))-D591)/365)
+
CEILING(MOD((MIN(Y591,DATE(2015,5,16))-D591)/365,1),0.25)
)
*
_xlfn.SWITCH(J591,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91" s="1" cm="1">
        <f t="array" aca="1" ref="AA591" ca="1">IF(Y591&lt;DATE(2015,5,17),0,
K591*
(
INT((MIN(Y591,DATE(2018,9,23))-MAX(D591,DATE(2015,5,17)))/365)
+
CEILING(MOD((MIN(Y591,DATE(2018,9,23))-MAX(D591,DATE(2015,5,17)))/365,1),0.25)
)
*
_xlfn.SWITCH(J591,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-224</v>
      </c>
      <c r="AB591" s="1" cm="1">
        <f t="array" aca="1" ref="AB591" ca="1">IF(Y591&lt;DATE(2018,9,24),0,
IF(J591="زراعة",
K591*
(
INT((MIN(Y591,DATE(2023,4,30))-MAX(D591,DATE(2018,9,24)))/365)
+
CEILING(MOD((MIN(Y591,DATE(2023,4,30))-MAX(D591,DATE(2018,9,24)))/365,1),0.25)
)
*1,
K591*
(
DATEDIF(MAX(D591,DATE(2018,9,24)),MIN(Y591,DATE(2023,4,30)),"m")+1
)
*
_xlfn.SWITCH(J591,
"موقف/تندة",IF(D591&lt;DATE(2019,11,30),6,30),
"تشوينات",IF(D591&lt;DATE(2019,11,30),4,20),
"مشاتل",IF(D591&lt;DATE(2019,11,30),2,10),
"كافيتيريا",IF(D591&lt;DATE(2019,11,30),30,150),
"نوادي",IF(D591&lt;DATE(2019,11,30),6,30),
"رسو مراكب",IF(D591&lt;DATE(2019,11,30),2,10),
"مباني",IF(D591&lt;DATE(2018,9,24),2,10),
"عشش",IF(D591&lt;DATE(2019,11,30),2,10),
"كشك (تجاري/صناعي)",IF(D591&lt;DATE(2019,11,30),10,50),
"ردم",20,
0)))</f>
        <v>11760</v>
      </c>
      <c r="AC591" s="1" cm="1">
        <f t="array" aca="1" ref="AC591" ca="1">IF(Y591&lt;DATE(2023,5,1),0,
IF(J591="زراعة",
K591*
(
INT((Y591-MAX(DATE(2023,5,1),D591))/365)
+
CEILING(MOD((Y591-MAX(DATE(2023,5,1),D591))/365,1),0.25)
)
*3,
IF(J591="ردم",
K591*20,
K591*
(
DATEDIF(MAX(DATE(2023,5,1),D591),Y591,"m")+1
)
*
_xlfn.SWITCH(J591,
"موقف/تندة",6,
"تشوينات",4,
"مشاتل",2,
"رسو مراكب",6,
"مباني",3,
"عشش",1,
"كشك (تجاري/صناعي)",20,
"مواسير صرف صحي (&lt;1م)",16,
"مواسير صرف صحي (&gt;1م)",18,
0))))</f>
        <v>3108</v>
      </c>
      <c r="AD591" s="1">
        <f t="shared" ca="1" si="58"/>
        <v>41</v>
      </c>
    </row>
    <row r="592" spans="1:30" ht="18.75" x14ac:dyDescent="0.25">
      <c r="A592" s="52">
        <v>530</v>
      </c>
      <c r="B592" s="6">
        <v>67</v>
      </c>
      <c r="C592" s="6">
        <v>2019</v>
      </c>
      <c r="D592" s="7">
        <v>43774</v>
      </c>
      <c r="E592" s="12"/>
      <c r="F592" s="6"/>
      <c r="G592" s="6" t="s">
        <v>737</v>
      </c>
      <c r="H592" s="6"/>
      <c r="I592" s="6" t="s">
        <v>144</v>
      </c>
      <c r="J592" s="3" t="s">
        <v>27</v>
      </c>
      <c r="K592" s="6">
        <v>35</v>
      </c>
      <c r="L592" s="3"/>
      <c r="M592" s="7"/>
      <c r="N592" s="6"/>
      <c r="O592" s="9">
        <f>0.47*Table2[[#This Row],[قيمة المحضر]]</f>
        <v>0</v>
      </c>
      <c r="P592" s="9">
        <f>0.17*Table2[[#This Row],[قيمة المحضر]]</f>
        <v>0</v>
      </c>
      <c r="Q592" s="9">
        <f t="shared" ca="1" si="54"/>
        <v>18305</v>
      </c>
      <c r="R592" s="3"/>
      <c r="S592" s="3"/>
      <c r="T592" s="9" t="str">
        <f t="shared" si="55"/>
        <v>-</v>
      </c>
      <c r="U592" s="3" t="s">
        <v>25</v>
      </c>
      <c r="V592" s="9" t="str">
        <f t="shared" si="56"/>
        <v>-</v>
      </c>
      <c r="W592" s="4"/>
      <c r="X592" s="38"/>
      <c r="Y592" s="1">
        <f t="shared" ca="1" si="57"/>
        <v>46162</v>
      </c>
      <c r="Z592" s="1" cm="1">
        <f t="array" ref="Z592">IF(D592&gt;DATE(2015,5,16),0,
K592*
(
INT((MIN(Y592,DATE(2015,5,16))-D592)/365)
+
CEILING(MOD((MIN(Y592,DATE(2015,5,16))-D592)/365,1),0.25)
)
*
_xlfn.SWITCH(J592,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92" s="1" cm="1">
        <f t="array" aca="1" ref="AA592" ca="1">IF(Y592&lt;DATE(2015,5,17),0,
K592*
(
INT((MIN(Y592,DATE(2018,9,23))-MAX(D592,DATE(2015,5,17)))/365)
+
CEILING(MOD((MIN(Y592,DATE(2018,9,23))-MAX(D592,DATE(2015,5,17)))/365,1),0.25)
)
*
_xlfn.SWITCH(J592,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-280</v>
      </c>
      <c r="AB592" s="1" cm="1">
        <f t="array" aca="1" ref="AB592" ca="1">IF(Y592&lt;DATE(2018,9,24),0,
IF(J592="زراعة",
K592*
(
INT((MIN(Y592,DATE(2023,4,30))-MAX(D592,DATE(2018,9,24)))/365)
+
CEILING(MOD((MIN(Y592,DATE(2023,4,30))-MAX(D592,DATE(2018,9,24)))/365,1),0.25)
)
*1,
K592*
(
DATEDIF(MAX(D592,DATE(2018,9,24)),MIN(Y592,DATE(2023,4,30)),"m")+1
)
*
_xlfn.SWITCH(J592,
"موقف/تندة",IF(D592&lt;DATE(2019,11,30),6,30),
"تشوينات",IF(D592&lt;DATE(2019,11,30),4,20),
"مشاتل",IF(D592&lt;DATE(2019,11,30),2,10),
"كافيتيريا",IF(D592&lt;DATE(2019,11,30),30,150),
"نوادي",IF(D592&lt;DATE(2019,11,30),6,30),
"رسو مراكب",IF(D592&lt;DATE(2019,11,30),2,10),
"مباني",IF(D592&lt;DATE(2018,9,24),2,10),
"عشش",IF(D592&lt;DATE(2019,11,30),2,10),
"كشك (تجاري/صناعي)",IF(D592&lt;DATE(2019,11,30),10,50),
"ردم",20,
0)))</f>
        <v>14700</v>
      </c>
      <c r="AC592" s="1" cm="1">
        <f t="array" aca="1" ref="AC592" ca="1">IF(Y592&lt;DATE(2023,5,1),0,
IF(J592="زراعة",
K592*
(
INT((Y592-MAX(DATE(2023,5,1),D592))/365)
+
CEILING(MOD((Y592-MAX(DATE(2023,5,1),D592))/365,1),0.25)
)
*3,
IF(J592="ردم",
K592*20,
K592*
(
DATEDIF(MAX(DATE(2023,5,1),D592),Y592,"m")+1
)
*
_xlfn.SWITCH(J592,
"موقف/تندة",6,
"تشوينات",4,
"مشاتل",2,
"رسو مراكب",6,
"مباني",3,
"عشش",1,
"كشك (تجاري/صناعي)",20,
"مواسير صرف صحي (&lt;1م)",16,
"مواسير صرف صحي (&gt;1م)",18,
0))))</f>
        <v>3885</v>
      </c>
      <c r="AD592" s="1">
        <f t="shared" ca="1" si="58"/>
        <v>41</v>
      </c>
    </row>
    <row r="593" spans="1:30" ht="18.75" x14ac:dyDescent="0.25">
      <c r="A593" s="52">
        <v>531</v>
      </c>
      <c r="B593" s="6">
        <v>68</v>
      </c>
      <c r="C593" s="6">
        <v>2019</v>
      </c>
      <c r="D593" s="7">
        <v>43774</v>
      </c>
      <c r="E593" s="12"/>
      <c r="F593" s="6"/>
      <c r="G593" s="6" t="s">
        <v>738</v>
      </c>
      <c r="H593" s="6"/>
      <c r="I593" s="6" t="s">
        <v>144</v>
      </c>
      <c r="J593" s="3" t="s">
        <v>27</v>
      </c>
      <c r="K593" s="6">
        <v>35</v>
      </c>
      <c r="L593" s="3"/>
      <c r="M593" s="7"/>
      <c r="N593" s="6"/>
      <c r="O593" s="9">
        <f>0.47*Table2[[#This Row],[قيمة المحضر]]</f>
        <v>0</v>
      </c>
      <c r="P593" s="9">
        <f>0.17*Table2[[#This Row],[قيمة المحضر]]</f>
        <v>0</v>
      </c>
      <c r="Q593" s="9">
        <f t="shared" ca="1" si="54"/>
        <v>18305</v>
      </c>
      <c r="R593" s="3"/>
      <c r="S593" s="3"/>
      <c r="T593" s="9" t="str">
        <f t="shared" si="55"/>
        <v>-</v>
      </c>
      <c r="U593" s="3" t="s">
        <v>25</v>
      </c>
      <c r="V593" s="9" t="str">
        <f t="shared" si="56"/>
        <v>-</v>
      </c>
      <c r="W593" s="4"/>
      <c r="X593" s="38"/>
      <c r="Y593" s="1">
        <f t="shared" ca="1" si="57"/>
        <v>46162</v>
      </c>
      <c r="Z593" s="1" cm="1">
        <f t="array" ref="Z593">IF(D593&gt;DATE(2015,5,16),0,
K593*
(
INT((MIN(Y593,DATE(2015,5,16))-D593)/365)
+
CEILING(MOD((MIN(Y593,DATE(2015,5,16))-D593)/365,1),0.25)
)
*
_xlfn.SWITCH(J593,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93" s="1" cm="1">
        <f t="array" aca="1" ref="AA593" ca="1">IF(Y593&lt;DATE(2015,5,17),0,
K593*
(
INT((MIN(Y593,DATE(2018,9,23))-MAX(D593,DATE(2015,5,17)))/365)
+
CEILING(MOD((MIN(Y593,DATE(2018,9,23))-MAX(D593,DATE(2015,5,17)))/365,1),0.25)
)
*
_xlfn.SWITCH(J593,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-280</v>
      </c>
      <c r="AB593" s="1" cm="1">
        <f t="array" aca="1" ref="AB593" ca="1">IF(Y593&lt;DATE(2018,9,24),0,
IF(J593="زراعة",
K593*
(
INT((MIN(Y593,DATE(2023,4,30))-MAX(D593,DATE(2018,9,24)))/365)
+
CEILING(MOD((MIN(Y593,DATE(2023,4,30))-MAX(D593,DATE(2018,9,24)))/365,1),0.25)
)
*1,
K593*
(
DATEDIF(MAX(D593,DATE(2018,9,24)),MIN(Y593,DATE(2023,4,30)),"m")+1
)
*
_xlfn.SWITCH(J593,
"موقف/تندة",IF(D593&lt;DATE(2019,11,30),6,30),
"تشوينات",IF(D593&lt;DATE(2019,11,30),4,20),
"مشاتل",IF(D593&lt;DATE(2019,11,30),2,10),
"كافيتيريا",IF(D593&lt;DATE(2019,11,30),30,150),
"نوادي",IF(D593&lt;DATE(2019,11,30),6,30),
"رسو مراكب",IF(D593&lt;DATE(2019,11,30),2,10),
"مباني",IF(D593&lt;DATE(2018,9,24),2,10),
"عشش",IF(D593&lt;DATE(2019,11,30),2,10),
"كشك (تجاري/صناعي)",IF(D593&lt;DATE(2019,11,30),10,50),
"ردم",20,
0)))</f>
        <v>14700</v>
      </c>
      <c r="AC593" s="1" cm="1">
        <f t="array" aca="1" ref="AC593" ca="1">IF(Y593&lt;DATE(2023,5,1),0,
IF(J593="زراعة",
K593*
(
INT((Y593-MAX(DATE(2023,5,1),D593))/365)
+
CEILING(MOD((Y593-MAX(DATE(2023,5,1),D593))/365,1),0.25)
)
*3,
IF(J593="ردم",
K593*20,
K593*
(
DATEDIF(MAX(DATE(2023,5,1),D593),Y593,"m")+1
)
*
_xlfn.SWITCH(J593,
"موقف/تندة",6,
"تشوينات",4,
"مشاتل",2,
"رسو مراكب",6,
"مباني",3,
"عشش",1,
"كشك (تجاري/صناعي)",20,
"مواسير صرف صحي (&lt;1م)",16,
"مواسير صرف صحي (&gt;1م)",18,
0))))</f>
        <v>3885</v>
      </c>
      <c r="AD593" s="1">
        <f t="shared" ca="1" si="58"/>
        <v>41</v>
      </c>
    </row>
    <row r="594" spans="1:30" ht="18.75" x14ac:dyDescent="0.25">
      <c r="A594" s="52">
        <v>532</v>
      </c>
      <c r="B594" s="6">
        <v>69</v>
      </c>
      <c r="C594" s="6">
        <v>2019</v>
      </c>
      <c r="D594" s="7">
        <v>43774</v>
      </c>
      <c r="E594" s="12"/>
      <c r="F594" s="6"/>
      <c r="G594" s="6" t="s">
        <v>739</v>
      </c>
      <c r="H594" s="6"/>
      <c r="I594" s="6" t="s">
        <v>144</v>
      </c>
      <c r="J594" s="3" t="s">
        <v>27</v>
      </c>
      <c r="K594" s="6">
        <v>35</v>
      </c>
      <c r="L594" s="3"/>
      <c r="M594" s="7"/>
      <c r="N594" s="6"/>
      <c r="O594" s="9">
        <f>0.47*Table2[[#This Row],[قيمة المحضر]]</f>
        <v>0</v>
      </c>
      <c r="P594" s="9">
        <f>0.17*Table2[[#This Row],[قيمة المحضر]]</f>
        <v>0</v>
      </c>
      <c r="Q594" s="9">
        <f t="shared" ca="1" si="54"/>
        <v>18305</v>
      </c>
      <c r="R594" s="3"/>
      <c r="S594" s="3"/>
      <c r="T594" s="9" t="str">
        <f t="shared" si="55"/>
        <v>-</v>
      </c>
      <c r="U594" s="3" t="s">
        <v>25</v>
      </c>
      <c r="V594" s="9" t="str">
        <f t="shared" si="56"/>
        <v>-</v>
      </c>
      <c r="W594" s="4"/>
      <c r="X594" s="38"/>
      <c r="Y594" s="1">
        <f t="shared" ca="1" si="57"/>
        <v>46162</v>
      </c>
      <c r="Z594" s="1" cm="1">
        <f t="array" ref="Z594">IF(D594&gt;DATE(2015,5,16),0,
K594*
(
INT((MIN(Y594,DATE(2015,5,16))-D594)/365)
+
CEILING(MOD((MIN(Y594,DATE(2015,5,16))-D594)/365,1),0.25)
)
*
_xlfn.SWITCH(J594,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94" s="1" cm="1">
        <f t="array" aca="1" ref="AA594" ca="1">IF(Y594&lt;DATE(2015,5,17),0,
K594*
(
INT((MIN(Y594,DATE(2018,9,23))-MAX(D594,DATE(2015,5,17)))/365)
+
CEILING(MOD((MIN(Y594,DATE(2018,9,23))-MAX(D594,DATE(2015,5,17)))/365,1),0.25)
)
*
_xlfn.SWITCH(J594,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-280</v>
      </c>
      <c r="AB594" s="1" cm="1">
        <f t="array" aca="1" ref="AB594" ca="1">IF(Y594&lt;DATE(2018,9,24),0,
IF(J594="زراعة",
K594*
(
INT((MIN(Y594,DATE(2023,4,30))-MAX(D594,DATE(2018,9,24)))/365)
+
CEILING(MOD((MIN(Y594,DATE(2023,4,30))-MAX(D594,DATE(2018,9,24)))/365,1),0.25)
)
*1,
K594*
(
DATEDIF(MAX(D594,DATE(2018,9,24)),MIN(Y594,DATE(2023,4,30)),"m")+1
)
*
_xlfn.SWITCH(J594,
"موقف/تندة",IF(D594&lt;DATE(2019,11,30),6,30),
"تشوينات",IF(D594&lt;DATE(2019,11,30),4,20),
"مشاتل",IF(D594&lt;DATE(2019,11,30),2,10),
"كافيتيريا",IF(D594&lt;DATE(2019,11,30),30,150),
"نوادي",IF(D594&lt;DATE(2019,11,30),6,30),
"رسو مراكب",IF(D594&lt;DATE(2019,11,30),2,10),
"مباني",IF(D594&lt;DATE(2018,9,24),2,10),
"عشش",IF(D594&lt;DATE(2019,11,30),2,10),
"كشك (تجاري/صناعي)",IF(D594&lt;DATE(2019,11,30),10,50),
"ردم",20,
0)))</f>
        <v>14700</v>
      </c>
      <c r="AC594" s="1" cm="1">
        <f t="array" aca="1" ref="AC594" ca="1">IF(Y594&lt;DATE(2023,5,1),0,
IF(J594="زراعة",
K594*
(
INT((Y594-MAX(DATE(2023,5,1),D594))/365)
+
CEILING(MOD((Y594-MAX(DATE(2023,5,1),D594))/365,1),0.25)
)
*3,
IF(J594="ردم",
K594*20,
K594*
(
DATEDIF(MAX(DATE(2023,5,1),D594),Y594,"m")+1
)
*
_xlfn.SWITCH(J594,
"موقف/تندة",6,
"تشوينات",4,
"مشاتل",2,
"رسو مراكب",6,
"مباني",3,
"عشش",1,
"كشك (تجاري/صناعي)",20,
"مواسير صرف صحي (&lt;1م)",16,
"مواسير صرف صحي (&gt;1م)",18,
0))))</f>
        <v>3885</v>
      </c>
      <c r="AD594" s="1">
        <f t="shared" ca="1" si="58"/>
        <v>41</v>
      </c>
    </row>
    <row r="595" spans="1:30" ht="18.75" x14ac:dyDescent="0.25">
      <c r="A595" s="52">
        <v>533</v>
      </c>
      <c r="B595" s="6">
        <v>70</v>
      </c>
      <c r="C595" s="6">
        <v>2019</v>
      </c>
      <c r="D595" s="7">
        <v>43774</v>
      </c>
      <c r="E595" s="12"/>
      <c r="F595" s="6"/>
      <c r="G595" s="6" t="s">
        <v>740</v>
      </c>
      <c r="H595" s="6"/>
      <c r="I595" s="6" t="s">
        <v>144</v>
      </c>
      <c r="J595" s="3" t="s">
        <v>27</v>
      </c>
      <c r="K595" s="6">
        <v>35</v>
      </c>
      <c r="L595" s="3"/>
      <c r="M595" s="7"/>
      <c r="N595" s="6"/>
      <c r="O595" s="9">
        <f>0.47*Table2[[#This Row],[قيمة المحضر]]</f>
        <v>0</v>
      </c>
      <c r="P595" s="9">
        <f>0.17*Table2[[#This Row],[قيمة المحضر]]</f>
        <v>0</v>
      </c>
      <c r="Q595" s="9">
        <f t="shared" ca="1" si="54"/>
        <v>18305</v>
      </c>
      <c r="R595" s="3"/>
      <c r="S595" s="3"/>
      <c r="T595" s="9" t="str">
        <f t="shared" si="55"/>
        <v>-</v>
      </c>
      <c r="U595" s="3" t="s">
        <v>25</v>
      </c>
      <c r="V595" s="9" t="str">
        <f t="shared" si="56"/>
        <v>-</v>
      </c>
      <c r="W595" s="4"/>
      <c r="X595" s="38"/>
      <c r="Y595" s="1">
        <f t="shared" ca="1" si="57"/>
        <v>46162</v>
      </c>
      <c r="Z595" s="1" cm="1">
        <f t="array" ref="Z595">IF(D595&gt;DATE(2015,5,16),0,
K595*
(
INT((MIN(Y595,DATE(2015,5,16))-D595)/365)
+
CEILING(MOD((MIN(Y595,DATE(2015,5,16))-D595)/365,1),0.25)
)
*
_xlfn.SWITCH(J595,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95" s="1" cm="1">
        <f t="array" aca="1" ref="AA595" ca="1">IF(Y595&lt;DATE(2015,5,17),0,
K595*
(
INT((MIN(Y595,DATE(2018,9,23))-MAX(D595,DATE(2015,5,17)))/365)
+
CEILING(MOD((MIN(Y595,DATE(2018,9,23))-MAX(D595,DATE(2015,5,17)))/365,1),0.25)
)
*
_xlfn.SWITCH(J595,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-280</v>
      </c>
      <c r="AB595" s="1" cm="1">
        <f t="array" aca="1" ref="AB595" ca="1">IF(Y595&lt;DATE(2018,9,24),0,
IF(J595="زراعة",
K595*
(
INT((MIN(Y595,DATE(2023,4,30))-MAX(D595,DATE(2018,9,24)))/365)
+
CEILING(MOD((MIN(Y595,DATE(2023,4,30))-MAX(D595,DATE(2018,9,24)))/365,1),0.25)
)
*1,
K595*
(
DATEDIF(MAX(D595,DATE(2018,9,24)),MIN(Y595,DATE(2023,4,30)),"m")+1
)
*
_xlfn.SWITCH(J595,
"موقف/تندة",IF(D595&lt;DATE(2019,11,30),6,30),
"تشوينات",IF(D595&lt;DATE(2019,11,30),4,20),
"مشاتل",IF(D595&lt;DATE(2019,11,30),2,10),
"كافيتيريا",IF(D595&lt;DATE(2019,11,30),30,150),
"نوادي",IF(D595&lt;DATE(2019,11,30),6,30),
"رسو مراكب",IF(D595&lt;DATE(2019,11,30),2,10),
"مباني",IF(D595&lt;DATE(2018,9,24),2,10),
"عشش",IF(D595&lt;DATE(2019,11,30),2,10),
"كشك (تجاري/صناعي)",IF(D595&lt;DATE(2019,11,30),10,50),
"ردم",20,
0)))</f>
        <v>14700</v>
      </c>
      <c r="AC595" s="1" cm="1">
        <f t="array" aca="1" ref="AC595" ca="1">IF(Y595&lt;DATE(2023,5,1),0,
IF(J595="زراعة",
K595*
(
INT((Y595-MAX(DATE(2023,5,1),D595))/365)
+
CEILING(MOD((Y595-MAX(DATE(2023,5,1),D595))/365,1),0.25)
)
*3,
IF(J595="ردم",
K595*20,
K595*
(
DATEDIF(MAX(DATE(2023,5,1),D595),Y595,"m")+1
)
*
_xlfn.SWITCH(J595,
"موقف/تندة",6,
"تشوينات",4,
"مشاتل",2,
"رسو مراكب",6,
"مباني",3,
"عشش",1,
"كشك (تجاري/صناعي)",20,
"مواسير صرف صحي (&lt;1م)",16,
"مواسير صرف صحي (&gt;1م)",18,
0))))</f>
        <v>3885</v>
      </c>
      <c r="AD595" s="1">
        <f t="shared" ca="1" si="58"/>
        <v>41</v>
      </c>
    </row>
    <row r="596" spans="1:30" ht="18.75" x14ac:dyDescent="0.25">
      <c r="A596" s="52">
        <v>534</v>
      </c>
      <c r="B596" s="6">
        <v>71</v>
      </c>
      <c r="C596" s="6">
        <v>2019</v>
      </c>
      <c r="D596" s="7">
        <v>43774</v>
      </c>
      <c r="E596" s="12"/>
      <c r="F596" s="6"/>
      <c r="G596" s="6" t="s">
        <v>741</v>
      </c>
      <c r="H596" s="6"/>
      <c r="I596" s="6" t="s">
        <v>144</v>
      </c>
      <c r="J596" s="3" t="s">
        <v>27</v>
      </c>
      <c r="K596" s="6">
        <f>7*9</f>
        <v>63</v>
      </c>
      <c r="L596" s="3"/>
      <c r="M596" s="7"/>
      <c r="N596" s="6"/>
      <c r="O596" s="9">
        <f>0.47*Table2[[#This Row],[قيمة المحضر]]</f>
        <v>0</v>
      </c>
      <c r="P596" s="9">
        <f>0.17*Table2[[#This Row],[قيمة المحضر]]</f>
        <v>0</v>
      </c>
      <c r="Q596" s="9">
        <f t="shared" ca="1" si="54"/>
        <v>32949</v>
      </c>
      <c r="R596" s="3"/>
      <c r="S596" s="3"/>
      <c r="T596" s="9" t="str">
        <f t="shared" si="55"/>
        <v>-</v>
      </c>
      <c r="U596" s="3" t="s">
        <v>25</v>
      </c>
      <c r="V596" s="9" t="str">
        <f t="shared" si="56"/>
        <v>-</v>
      </c>
      <c r="W596" s="4"/>
      <c r="X596" s="38"/>
      <c r="Y596" s="1">
        <f t="shared" ca="1" si="57"/>
        <v>46162</v>
      </c>
      <c r="Z596" s="1" cm="1">
        <f t="array" ref="Z596">IF(D596&gt;DATE(2015,5,16),0,
K596*
(
INT((MIN(Y596,DATE(2015,5,16))-D596)/365)
+
CEILING(MOD((MIN(Y596,DATE(2015,5,16))-D596)/365,1),0.25)
)
*
_xlfn.SWITCH(J596,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96" s="1" cm="1">
        <f t="array" aca="1" ref="AA596" ca="1">IF(Y596&lt;DATE(2015,5,17),0,
K596*
(
INT((MIN(Y596,DATE(2018,9,23))-MAX(D596,DATE(2015,5,17)))/365)
+
CEILING(MOD((MIN(Y596,DATE(2018,9,23))-MAX(D596,DATE(2015,5,17)))/365,1),0.25)
)
*
_xlfn.SWITCH(J596,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-504</v>
      </c>
      <c r="AB596" s="1" cm="1">
        <f t="array" aca="1" ref="AB596" ca="1">IF(Y596&lt;DATE(2018,9,24),0,
IF(J596="زراعة",
K596*
(
INT((MIN(Y596,DATE(2023,4,30))-MAX(D596,DATE(2018,9,24)))/365)
+
CEILING(MOD((MIN(Y596,DATE(2023,4,30))-MAX(D596,DATE(2018,9,24)))/365,1),0.25)
)
*1,
K596*
(
DATEDIF(MAX(D596,DATE(2018,9,24)),MIN(Y596,DATE(2023,4,30)),"m")+1
)
*
_xlfn.SWITCH(J596,
"موقف/تندة",IF(D596&lt;DATE(2019,11,30),6,30),
"تشوينات",IF(D596&lt;DATE(2019,11,30),4,20),
"مشاتل",IF(D596&lt;DATE(2019,11,30),2,10),
"كافيتيريا",IF(D596&lt;DATE(2019,11,30),30,150),
"نوادي",IF(D596&lt;DATE(2019,11,30),6,30),
"رسو مراكب",IF(D596&lt;DATE(2019,11,30),2,10),
"مباني",IF(D596&lt;DATE(2018,9,24),2,10),
"عشش",IF(D596&lt;DATE(2019,11,30),2,10),
"كشك (تجاري/صناعي)",IF(D596&lt;DATE(2019,11,30),10,50),
"ردم",20,
0)))</f>
        <v>26460</v>
      </c>
      <c r="AC596" s="1" cm="1">
        <f t="array" aca="1" ref="AC596" ca="1">IF(Y596&lt;DATE(2023,5,1),0,
IF(J596="زراعة",
K596*
(
INT((Y596-MAX(DATE(2023,5,1),D596))/365)
+
CEILING(MOD((Y596-MAX(DATE(2023,5,1),D596))/365,1),0.25)
)
*3,
IF(J596="ردم",
K596*20,
K596*
(
DATEDIF(MAX(DATE(2023,5,1),D596),Y596,"m")+1
)
*
_xlfn.SWITCH(J596,
"موقف/تندة",6,
"تشوينات",4,
"مشاتل",2,
"رسو مراكب",6,
"مباني",3,
"عشش",1,
"كشك (تجاري/صناعي)",20,
"مواسير صرف صحي (&lt;1م)",16,
"مواسير صرف صحي (&gt;1م)",18,
0))))</f>
        <v>6993</v>
      </c>
      <c r="AD596" s="1">
        <f t="shared" ca="1" si="58"/>
        <v>41</v>
      </c>
    </row>
    <row r="597" spans="1:30" ht="18.75" x14ac:dyDescent="0.25">
      <c r="A597" s="52">
        <v>535</v>
      </c>
      <c r="B597" s="6">
        <v>72</v>
      </c>
      <c r="C597" s="6">
        <v>2019</v>
      </c>
      <c r="D597" s="7">
        <v>43774</v>
      </c>
      <c r="E597" s="12"/>
      <c r="F597" s="6"/>
      <c r="G597" s="6" t="s">
        <v>742</v>
      </c>
      <c r="H597" s="6"/>
      <c r="I597" s="6" t="s">
        <v>144</v>
      </c>
      <c r="J597" s="3" t="s">
        <v>27</v>
      </c>
      <c r="K597" s="6">
        <v>63</v>
      </c>
      <c r="L597" s="3"/>
      <c r="M597" s="7"/>
      <c r="N597" s="6"/>
      <c r="O597" s="9">
        <f>0.47*Table2[[#This Row],[قيمة المحضر]]</f>
        <v>0</v>
      </c>
      <c r="P597" s="9">
        <f>0.17*Table2[[#This Row],[قيمة المحضر]]</f>
        <v>0</v>
      </c>
      <c r="Q597" s="9">
        <f t="shared" ca="1" si="54"/>
        <v>32949</v>
      </c>
      <c r="R597" s="3"/>
      <c r="S597" s="3"/>
      <c r="T597" s="9" t="str">
        <f t="shared" si="55"/>
        <v>-</v>
      </c>
      <c r="U597" s="3" t="s">
        <v>25</v>
      </c>
      <c r="V597" s="9" t="str">
        <f t="shared" si="56"/>
        <v>-</v>
      </c>
      <c r="W597" s="4"/>
      <c r="X597" s="38"/>
      <c r="Y597" s="1">
        <f t="shared" ca="1" si="57"/>
        <v>46162</v>
      </c>
      <c r="Z597" s="1" cm="1">
        <f t="array" ref="Z597">IF(D597&gt;DATE(2015,5,16),0,
K597*
(
INT((MIN(Y597,DATE(2015,5,16))-D597)/365)
+
CEILING(MOD((MIN(Y597,DATE(2015,5,16))-D597)/365,1),0.25)
)
*
_xlfn.SWITCH(J597,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97" s="1" cm="1">
        <f t="array" aca="1" ref="AA597" ca="1">IF(Y597&lt;DATE(2015,5,17),0,
K597*
(
INT((MIN(Y597,DATE(2018,9,23))-MAX(D597,DATE(2015,5,17)))/365)
+
CEILING(MOD((MIN(Y597,DATE(2018,9,23))-MAX(D597,DATE(2015,5,17)))/365,1),0.25)
)
*
_xlfn.SWITCH(J597,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-504</v>
      </c>
      <c r="AB597" s="1" cm="1">
        <f t="array" aca="1" ref="AB597" ca="1">IF(Y597&lt;DATE(2018,9,24),0,
IF(J597="زراعة",
K597*
(
INT((MIN(Y597,DATE(2023,4,30))-MAX(D597,DATE(2018,9,24)))/365)
+
CEILING(MOD((MIN(Y597,DATE(2023,4,30))-MAX(D597,DATE(2018,9,24)))/365,1),0.25)
)
*1,
K597*
(
DATEDIF(MAX(D597,DATE(2018,9,24)),MIN(Y597,DATE(2023,4,30)),"m")+1
)
*
_xlfn.SWITCH(J597,
"موقف/تندة",IF(D597&lt;DATE(2019,11,30),6,30),
"تشوينات",IF(D597&lt;DATE(2019,11,30),4,20),
"مشاتل",IF(D597&lt;DATE(2019,11,30),2,10),
"كافيتيريا",IF(D597&lt;DATE(2019,11,30),30,150),
"نوادي",IF(D597&lt;DATE(2019,11,30),6,30),
"رسو مراكب",IF(D597&lt;DATE(2019,11,30),2,10),
"مباني",IF(D597&lt;DATE(2018,9,24),2,10),
"عشش",IF(D597&lt;DATE(2019,11,30),2,10),
"كشك (تجاري/صناعي)",IF(D597&lt;DATE(2019,11,30),10,50),
"ردم",20,
0)))</f>
        <v>26460</v>
      </c>
      <c r="AC597" s="1" cm="1">
        <f t="array" aca="1" ref="AC597" ca="1">IF(Y597&lt;DATE(2023,5,1),0,
IF(J597="زراعة",
K597*
(
INT((Y597-MAX(DATE(2023,5,1),D597))/365)
+
CEILING(MOD((Y597-MAX(DATE(2023,5,1),D597))/365,1),0.25)
)
*3,
IF(J597="ردم",
K597*20,
K597*
(
DATEDIF(MAX(DATE(2023,5,1),D597),Y597,"m")+1
)
*
_xlfn.SWITCH(J597,
"موقف/تندة",6,
"تشوينات",4,
"مشاتل",2,
"رسو مراكب",6,
"مباني",3,
"عشش",1,
"كشك (تجاري/صناعي)",20,
"مواسير صرف صحي (&lt;1م)",16,
"مواسير صرف صحي (&gt;1م)",18,
0))))</f>
        <v>6993</v>
      </c>
      <c r="AD597" s="1">
        <f t="shared" ca="1" si="58"/>
        <v>41</v>
      </c>
    </row>
    <row r="598" spans="1:30" ht="18.75" x14ac:dyDescent="0.25">
      <c r="A598" s="52">
        <v>536</v>
      </c>
      <c r="B598" s="6">
        <v>73</v>
      </c>
      <c r="C598" s="6">
        <v>2019</v>
      </c>
      <c r="D598" s="7">
        <v>43774</v>
      </c>
      <c r="E598" s="12"/>
      <c r="F598" s="6"/>
      <c r="G598" s="6" t="s">
        <v>743</v>
      </c>
      <c r="H598" s="6"/>
      <c r="I598" s="6" t="s">
        <v>144</v>
      </c>
      <c r="J598" s="3" t="s">
        <v>27</v>
      </c>
      <c r="K598" s="6">
        <v>30</v>
      </c>
      <c r="L598" s="3"/>
      <c r="M598" s="7"/>
      <c r="N598" s="6"/>
      <c r="O598" s="9">
        <f>0.47*Table2[[#This Row],[قيمة المحضر]]</f>
        <v>0</v>
      </c>
      <c r="P598" s="9">
        <f>0.17*Table2[[#This Row],[قيمة المحضر]]</f>
        <v>0</v>
      </c>
      <c r="Q598" s="9">
        <f t="shared" ca="1" si="54"/>
        <v>15690</v>
      </c>
      <c r="R598" s="3"/>
      <c r="S598" s="3"/>
      <c r="T598" s="9" t="str">
        <f t="shared" si="55"/>
        <v>-</v>
      </c>
      <c r="U598" s="3" t="s">
        <v>25</v>
      </c>
      <c r="V598" s="9" t="str">
        <f t="shared" si="56"/>
        <v>-</v>
      </c>
      <c r="W598" s="4"/>
      <c r="X598" s="38"/>
      <c r="Y598" s="1">
        <f t="shared" ca="1" si="57"/>
        <v>46162</v>
      </c>
      <c r="Z598" s="1" cm="1">
        <f t="array" ref="Z598">IF(D598&gt;DATE(2015,5,16),0,
K598*
(
INT((MIN(Y598,DATE(2015,5,16))-D598)/365)
+
CEILING(MOD((MIN(Y598,DATE(2015,5,16))-D598)/365,1),0.25)
)
*
_xlfn.SWITCH(J598,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98" s="1" cm="1">
        <f t="array" aca="1" ref="AA598" ca="1">IF(Y598&lt;DATE(2015,5,17),0,
K598*
(
INT((MIN(Y598,DATE(2018,9,23))-MAX(D598,DATE(2015,5,17)))/365)
+
CEILING(MOD((MIN(Y598,DATE(2018,9,23))-MAX(D598,DATE(2015,5,17)))/365,1),0.25)
)
*
_xlfn.SWITCH(J598,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-240</v>
      </c>
      <c r="AB598" s="1" cm="1">
        <f t="array" aca="1" ref="AB598" ca="1">IF(Y598&lt;DATE(2018,9,24),0,
IF(J598="زراعة",
K598*
(
INT((MIN(Y598,DATE(2023,4,30))-MAX(D598,DATE(2018,9,24)))/365)
+
CEILING(MOD((MIN(Y598,DATE(2023,4,30))-MAX(D598,DATE(2018,9,24)))/365,1),0.25)
)
*1,
K598*
(
DATEDIF(MAX(D598,DATE(2018,9,24)),MIN(Y598,DATE(2023,4,30)),"m")+1
)
*
_xlfn.SWITCH(J598,
"موقف/تندة",IF(D598&lt;DATE(2019,11,30),6,30),
"تشوينات",IF(D598&lt;DATE(2019,11,30),4,20),
"مشاتل",IF(D598&lt;DATE(2019,11,30),2,10),
"كافيتيريا",IF(D598&lt;DATE(2019,11,30),30,150),
"نوادي",IF(D598&lt;DATE(2019,11,30),6,30),
"رسو مراكب",IF(D598&lt;DATE(2019,11,30),2,10),
"مباني",IF(D598&lt;DATE(2018,9,24),2,10),
"عشش",IF(D598&lt;DATE(2019,11,30),2,10),
"كشك (تجاري/صناعي)",IF(D598&lt;DATE(2019,11,30),10,50),
"ردم",20,
0)))</f>
        <v>12600</v>
      </c>
      <c r="AC598" s="1" cm="1">
        <f t="array" aca="1" ref="AC598" ca="1">IF(Y598&lt;DATE(2023,5,1),0,
IF(J598="زراعة",
K598*
(
INT((Y598-MAX(DATE(2023,5,1),D598))/365)
+
CEILING(MOD((Y598-MAX(DATE(2023,5,1),D598))/365,1),0.25)
)
*3,
IF(J598="ردم",
K598*20,
K598*
(
DATEDIF(MAX(DATE(2023,5,1),D598),Y598,"m")+1
)
*
_xlfn.SWITCH(J598,
"موقف/تندة",6,
"تشوينات",4,
"مشاتل",2,
"رسو مراكب",6,
"مباني",3,
"عشش",1,
"كشك (تجاري/صناعي)",20,
"مواسير صرف صحي (&lt;1م)",16,
"مواسير صرف صحي (&gt;1م)",18,
0))))</f>
        <v>3330</v>
      </c>
      <c r="AD598" s="1">
        <f t="shared" ca="1" si="58"/>
        <v>41</v>
      </c>
    </row>
    <row r="599" spans="1:30" ht="19.5" thickBot="1" x14ac:dyDescent="0.3">
      <c r="A599" s="52">
        <v>537</v>
      </c>
      <c r="B599" s="6">
        <v>74</v>
      </c>
      <c r="C599" s="6">
        <v>2019</v>
      </c>
      <c r="D599" s="7">
        <v>43774</v>
      </c>
      <c r="E599" s="12"/>
      <c r="F599" s="6"/>
      <c r="G599" s="6" t="s">
        <v>744</v>
      </c>
      <c r="H599" s="6"/>
      <c r="I599" s="6" t="s">
        <v>144</v>
      </c>
      <c r="J599" s="6" t="s">
        <v>27</v>
      </c>
      <c r="K599" s="6">
        <v>16</v>
      </c>
      <c r="L599" s="6"/>
      <c r="M599" s="7"/>
      <c r="N599" s="6"/>
      <c r="O599" s="72">
        <f>0.47*Table2[[#This Row],[قيمة المحضر]]</f>
        <v>0</v>
      </c>
      <c r="P599" s="72">
        <f>0.17*Table2[[#This Row],[قيمة المحضر]]</f>
        <v>0</v>
      </c>
      <c r="Q599" s="72">
        <f t="shared" ca="1" si="54"/>
        <v>8368</v>
      </c>
      <c r="R599" s="6"/>
      <c r="S599" s="6"/>
      <c r="T599" s="72" t="str">
        <f t="shared" si="55"/>
        <v>-</v>
      </c>
      <c r="U599" s="6" t="s">
        <v>25</v>
      </c>
      <c r="V599" s="72" t="str">
        <f t="shared" si="56"/>
        <v>-</v>
      </c>
      <c r="W599" s="73"/>
      <c r="X599" s="75"/>
      <c r="Y599" s="1">
        <f t="shared" ca="1" si="57"/>
        <v>46162</v>
      </c>
      <c r="Z599" s="1" cm="1">
        <f t="array" ref="Z599">IF(D599&gt;DATE(2015,5,16),0,
K599*
(
INT((MIN(Y599,DATE(2015,5,16))-D599)/365)
+
CEILING(MOD((MIN(Y599,DATE(2015,5,16))-D599)/365,1),0.25)
)
*
_xlfn.SWITCH(J599,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599" s="1" cm="1">
        <f t="array" aca="1" ref="AA599" ca="1">IF(Y599&lt;DATE(2015,5,17),0,
K599*
(
INT((MIN(Y599,DATE(2018,9,23))-MAX(D599,DATE(2015,5,17)))/365)
+
CEILING(MOD((MIN(Y599,DATE(2018,9,23))-MAX(D599,DATE(2015,5,17)))/365,1),0.25)
)
*
_xlfn.SWITCH(J599,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-128</v>
      </c>
      <c r="AB599" s="1" cm="1">
        <f t="array" aca="1" ref="AB599" ca="1">IF(Y599&lt;DATE(2018,9,24),0,
IF(J599="زراعة",
K599*
(
INT((MIN(Y599,DATE(2023,4,30))-MAX(D599,DATE(2018,9,24)))/365)
+
CEILING(MOD((MIN(Y599,DATE(2023,4,30))-MAX(D599,DATE(2018,9,24)))/365,1),0.25)
)
*1,
K599*
(
DATEDIF(MAX(D599,DATE(2018,9,24)),MIN(Y599,DATE(2023,4,30)),"m")+1
)
*
_xlfn.SWITCH(J599,
"موقف/تندة",IF(D599&lt;DATE(2019,11,30),6,30),
"تشوينات",IF(D599&lt;DATE(2019,11,30),4,20),
"مشاتل",IF(D599&lt;DATE(2019,11,30),2,10),
"كافيتيريا",IF(D599&lt;DATE(2019,11,30),30,150),
"نوادي",IF(D599&lt;DATE(2019,11,30),6,30),
"رسو مراكب",IF(D599&lt;DATE(2019,11,30),2,10),
"مباني",IF(D599&lt;DATE(2018,9,24),2,10),
"عشش",IF(D599&lt;DATE(2019,11,30),2,10),
"كشك (تجاري/صناعي)",IF(D599&lt;DATE(2019,11,30),10,50),
"ردم",20,
0)))</f>
        <v>6720</v>
      </c>
      <c r="AC599" s="1" cm="1">
        <f t="array" aca="1" ref="AC599" ca="1">IF(Y599&lt;DATE(2023,5,1),0,
IF(J599="زراعة",
K599*
(
INT((Y599-MAX(DATE(2023,5,1),D599))/365)
+
CEILING(MOD((Y599-MAX(DATE(2023,5,1),D599))/365,1),0.25)
)
*3,
IF(J599="ردم",
K599*20,
K599*
(
DATEDIF(MAX(DATE(2023,5,1),D599),Y599,"m")+1
)
*
_xlfn.SWITCH(J599,
"موقف/تندة",6,
"تشوينات",4,
"مشاتل",2,
"رسو مراكب",6,
"مباني",3,
"عشش",1,
"كشك (تجاري/صناعي)",20,
"مواسير صرف صحي (&lt;1م)",16,
"مواسير صرف صحي (&gt;1م)",18,
0))))</f>
        <v>1776</v>
      </c>
      <c r="AD599" s="1">
        <f t="shared" ca="1" si="58"/>
        <v>41</v>
      </c>
    </row>
    <row r="600" spans="1:30" ht="18.75" x14ac:dyDescent="0.25">
      <c r="A600" s="46">
        <v>538</v>
      </c>
      <c r="B600" s="47">
        <v>1</v>
      </c>
      <c r="C600" s="47">
        <v>2020</v>
      </c>
      <c r="D600" s="48" t="s">
        <v>752</v>
      </c>
      <c r="E600" s="49"/>
      <c r="F600" s="47"/>
      <c r="G600" s="47" t="s">
        <v>766</v>
      </c>
      <c r="H600" s="31"/>
      <c r="I600" s="61" t="s">
        <v>50</v>
      </c>
      <c r="J600" s="31" t="s">
        <v>27</v>
      </c>
      <c r="K600" s="47"/>
      <c r="L600" s="47" t="s">
        <v>90</v>
      </c>
      <c r="M600" s="48"/>
      <c r="N600" s="47"/>
      <c r="O600" s="34">
        <f>0.47*Table2[[#This Row],[قيمة المحضر]]</f>
        <v>0</v>
      </c>
      <c r="P600" s="34">
        <f>0.17*Table2[[#This Row],[قيمة المحضر]]</f>
        <v>0</v>
      </c>
      <c r="Q600" s="34">
        <f t="shared" ca="1" si="54"/>
        <v>0</v>
      </c>
      <c r="R600" s="31"/>
      <c r="S600" s="31"/>
      <c r="T600" s="34" t="str">
        <f t="shared" si="55"/>
        <v>-</v>
      </c>
      <c r="U600" s="31" t="s">
        <v>25</v>
      </c>
      <c r="V600" s="34" t="str">
        <f t="shared" si="56"/>
        <v>-</v>
      </c>
      <c r="W600" s="35"/>
      <c r="X600" s="36"/>
      <c r="Y600" s="1">
        <f t="shared" ca="1" si="57"/>
        <v>46162</v>
      </c>
      <c r="Z600" s="1" cm="1">
        <f t="array" ref="Z600">IF(D600&gt;DATE(2015,5,16),0,
K600*
(
INT((MIN(Y600,DATE(2015,5,16))-D600)/365)
+
CEILING(MOD((MIN(Y600,DATE(2015,5,16))-D600)/365,1),0.25)
)
*
_xlfn.SWITCH(J600,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00" s="1" cm="1">
        <f t="array" aca="1" ref="AA600" ca="1">IF(Y600&lt;DATE(2015,5,17),0,
K600*
(
INT((MIN(Y600,DATE(2018,9,23))-MAX(D600,DATE(2015,5,17)))/365)
+
CEILING(MOD((MIN(Y600,DATE(2018,9,23))-MAX(D600,DATE(2015,5,17)))/365,1),0.25)
)
*
_xlfn.SWITCH(J600,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00" s="1" cm="1">
        <f t="array" aca="1" ref="AB600" ca="1">IF(Y600&lt;DATE(2018,9,24),0,
IF(J600="زراعة",
K600*
(
INT((MIN(Y600,DATE(2023,4,30))-MAX(D600,DATE(2018,9,24)))/365)
+
CEILING(MOD((MIN(Y600,DATE(2023,4,30))-MAX(D600,DATE(2018,9,24)))/365,1),0.25)
)
*1,
K600*
(
DATEDIF(MAX(D600,DATE(2018,9,24)),MIN(Y600,DATE(2023,4,30)),"m")+1
)
*
_xlfn.SWITCH(J600,
"موقف/تندة",IF(D600&lt;DATE(2019,11,30),6,30),
"تشوينات",IF(D600&lt;DATE(2019,11,30),4,20),
"مشاتل",IF(D600&lt;DATE(2019,11,30),2,10),
"كافيتيريا",IF(D600&lt;DATE(2019,11,30),30,150),
"نوادي",IF(D600&lt;DATE(2019,11,30),6,30),
"رسو مراكب",IF(D600&lt;DATE(2019,11,30),2,10),
"مباني",IF(D600&lt;DATE(2018,9,24),2,10),
"عشش",IF(D600&lt;DATE(2019,11,30),2,10),
"كشك (تجاري/صناعي)",IF(D600&lt;DATE(2019,11,30),10,50),
"ردم",20,
0)))</f>
        <v>0</v>
      </c>
      <c r="AC600" s="1" cm="1">
        <f t="array" aca="1" ref="AC600" ca="1">IF(Y600&lt;DATE(2023,5,1),0,
IF(J600="زراعة",
K600*
(
INT((Y600-MAX(DATE(2023,5,1),D600))/365)
+
CEILING(MOD((Y600-MAX(DATE(2023,5,1),D600))/365,1),0.25)
)
*3,
IF(J600="ردم",
K600*20,
K600*
(
DATEDIF(MAX(DATE(2023,5,1),D600),Y600,"m")+1
)
*
_xlfn.SWITCH(J600,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00" s="1">
        <f t="shared" ca="1" si="58"/>
        <v>55</v>
      </c>
    </row>
    <row r="601" spans="1:30" ht="18.75" x14ac:dyDescent="0.25">
      <c r="A601" s="52">
        <v>539</v>
      </c>
      <c r="B601" s="6">
        <v>2</v>
      </c>
      <c r="C601" s="6">
        <v>2020</v>
      </c>
      <c r="D601" s="7" t="s">
        <v>753</v>
      </c>
      <c r="E601" s="12"/>
      <c r="F601" s="6"/>
      <c r="G601" s="6" t="s">
        <v>767</v>
      </c>
      <c r="H601" s="3"/>
      <c r="I601" s="63" t="s">
        <v>33</v>
      </c>
      <c r="J601" s="3" t="s">
        <v>27</v>
      </c>
      <c r="K601" s="6"/>
      <c r="L601" s="6" t="s">
        <v>89</v>
      </c>
      <c r="M601" s="7"/>
      <c r="N601" s="6"/>
      <c r="O601" s="9">
        <f>0.47*Table2[[#This Row],[قيمة المحضر]]</f>
        <v>0</v>
      </c>
      <c r="P601" s="9">
        <f>0.17*Table2[[#This Row],[قيمة المحضر]]</f>
        <v>0</v>
      </c>
      <c r="Q601" s="9">
        <f t="shared" ref="Q601" ca="1" si="59">Z601+AA601+AB601+AC601</f>
        <v>0</v>
      </c>
      <c r="R601" s="3"/>
      <c r="S601" s="3"/>
      <c r="T601" s="9" t="str">
        <f t="shared" ref="T601" si="60">IF(R601="تم الحجز",Q601+O601+N601,"-")</f>
        <v>-</v>
      </c>
      <c r="U601" s="3" t="s">
        <v>25</v>
      </c>
      <c r="V601" s="9" t="str">
        <f t="shared" ref="V601" si="61">IF(OR(U601="قائم",U601="قائم و سدد مقابل انتفاع"),"-",
IF(U601="تم رد الشئ لأصله",P601+Q601,
IF(U601="ازالة جبرية",N601+O601+Q601,"")))</f>
        <v>-</v>
      </c>
      <c r="W601" s="4"/>
      <c r="X601" s="38"/>
      <c r="Y601" s="1">
        <f t="shared" ca="1" si="57"/>
        <v>46162</v>
      </c>
      <c r="Z601" s="1" cm="1">
        <f t="array" ref="Z601">IF(D601&gt;DATE(2015,5,16),0,
K601*
(
INT((MIN(Y601,DATE(2015,5,16))-D601)/365)
+
CEILING(MOD((MIN(Y601,DATE(2015,5,16))-D601)/365,1),0.25)
)
*
_xlfn.SWITCH(J601,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01" s="1" cm="1">
        <f t="array" aca="1" ref="AA601" ca="1">IF(Y601&lt;DATE(2015,5,17),0,
K601*
(
INT((MIN(Y601,DATE(2018,9,23))-MAX(D601,DATE(2015,5,17)))/365)
+
CEILING(MOD((MIN(Y601,DATE(2018,9,23))-MAX(D601,DATE(2015,5,17)))/365,1),0.25)
)
*
_xlfn.SWITCH(J601,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01" s="1" cm="1">
        <f t="array" aca="1" ref="AB601" ca="1">IF(Y601&lt;DATE(2018,9,24),0,
IF(J601="زراعة",
K601*
(
INT((MIN(Y601,DATE(2023,4,30))-MAX(D601,DATE(2018,9,24)))/365)
+
CEILING(MOD((MIN(Y601,DATE(2023,4,30))-MAX(D601,DATE(2018,9,24)))/365,1),0.25)
)
*1,
K601*
(
DATEDIF(MAX(D601,DATE(2018,9,24)),MIN(Y601,DATE(2023,4,30)),"m")+1
)
*
_xlfn.SWITCH(J601,
"موقف/تندة",IF(D601&lt;DATE(2019,11,30),6,30),
"تشوينات",IF(D601&lt;DATE(2019,11,30),4,20),
"مشاتل",IF(D601&lt;DATE(2019,11,30),2,10),
"كافيتيريا",IF(D601&lt;DATE(2019,11,30),30,150),
"نوادي",IF(D601&lt;DATE(2019,11,30),6,30),
"رسو مراكب",IF(D601&lt;DATE(2019,11,30),2,10),
"مباني",IF(D601&lt;DATE(2018,9,24),2,10),
"عشش",IF(D601&lt;DATE(2019,11,30),2,10),
"كشك (تجاري/صناعي)",IF(D601&lt;DATE(2019,11,30),10,50),
"ردم",20,
0)))</f>
        <v>0</v>
      </c>
      <c r="AC601" s="1" cm="1">
        <f t="array" aca="1" ref="AC601" ca="1">IF(Y601&lt;DATE(2023,5,1),0,
IF(J601="زراعة",
K601*
(
INT((Y601-MAX(DATE(2023,5,1),D601))/365)
+
CEILING(MOD((Y601-MAX(DATE(2023,5,1),D601))/365,1),0.25)
)
*3,
IF(J601="ردم",
K601*20,
K601*
(
DATEDIF(MAX(DATE(2023,5,1),D601),Y601,"m")+1
)
*
_xlfn.SWITCH(J601,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01" s="1">
        <f t="shared" ca="1" si="58"/>
        <v>55</v>
      </c>
    </row>
    <row r="602" spans="1:30" ht="18.75" x14ac:dyDescent="0.25">
      <c r="A602" s="52">
        <v>540</v>
      </c>
      <c r="B602" s="6">
        <v>3</v>
      </c>
      <c r="C602" s="6">
        <v>2020</v>
      </c>
      <c r="D602" s="7" t="s">
        <v>753</v>
      </c>
      <c r="E602" s="12"/>
      <c r="F602" s="6"/>
      <c r="G602" s="6" t="s">
        <v>768</v>
      </c>
      <c r="H602" s="3"/>
      <c r="I602" s="63" t="s">
        <v>828</v>
      </c>
      <c r="J602" s="3" t="s">
        <v>146</v>
      </c>
      <c r="K602" s="6"/>
      <c r="L602" s="6" t="s">
        <v>89</v>
      </c>
      <c r="M602" s="7"/>
      <c r="N602" s="6"/>
      <c r="O602" s="9">
        <f>0.47*Table2[[#This Row],[قيمة المحضر]]</f>
        <v>0</v>
      </c>
      <c r="P602" s="9">
        <f>0.17*Table2[[#This Row],[قيمة المحضر]]</f>
        <v>0</v>
      </c>
      <c r="Q602" s="9">
        <f t="shared" ref="Q602:Q665" ca="1" si="62">Z602+AA602+AB602+AC602</f>
        <v>0</v>
      </c>
      <c r="R602" s="3"/>
      <c r="S602" s="3"/>
      <c r="T602" s="9" t="str">
        <f t="shared" ref="T602:T665" si="63">IF(R602="تم الحجز",Q602+O602+N602,"-")</f>
        <v>-</v>
      </c>
      <c r="U602" s="3" t="s">
        <v>25</v>
      </c>
      <c r="V602" s="9" t="str">
        <f t="shared" ref="V602:V665" si="64">IF(OR(U602="قائم",U602="قائم و سدد مقابل انتفاع"),"-",
IF(U602="تم رد الشئ لأصله",P602+Q602,
IF(U602="ازالة جبرية",N602+O602+Q602,"")))</f>
        <v>-</v>
      </c>
      <c r="W602" s="4"/>
      <c r="X602" s="38"/>
      <c r="Y602" s="1">
        <f t="shared" ca="1" si="57"/>
        <v>46162</v>
      </c>
      <c r="Z602" s="1" cm="1">
        <f t="array" ref="Z602">IF(D602&gt;DATE(2015,5,16),0,
K602*
(
INT((MIN(Y602,DATE(2015,5,16))-D602)/365)
+
CEILING(MOD((MIN(Y602,DATE(2015,5,16))-D602)/365,1),0.25)
)
*
_xlfn.SWITCH(J602,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02" s="1" cm="1">
        <f t="array" aca="1" ref="AA602" ca="1">IF(Y602&lt;DATE(2015,5,17),0,
K602*
(
INT((MIN(Y602,DATE(2018,9,23))-MAX(D602,DATE(2015,5,17)))/365)
+
CEILING(MOD((MIN(Y602,DATE(2018,9,23))-MAX(D602,DATE(2015,5,17)))/365,1),0.25)
)
*
_xlfn.SWITCH(J602,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02" s="1" cm="1">
        <f t="array" aca="1" ref="AB602" ca="1">IF(Y602&lt;DATE(2018,9,24),0,
IF(J602="زراعة",
K602*
(
INT((MIN(Y602,DATE(2023,4,30))-MAX(D602,DATE(2018,9,24)))/365)
+
CEILING(MOD((MIN(Y602,DATE(2023,4,30))-MAX(D602,DATE(2018,9,24)))/365,1),0.25)
)
*1,
K602*
(
DATEDIF(MAX(D602,DATE(2018,9,24)),MIN(Y602,DATE(2023,4,30)),"m")+1
)
*
_xlfn.SWITCH(J602,
"موقف/تندة",IF(D602&lt;DATE(2019,11,30),6,30),
"تشوينات",IF(D602&lt;DATE(2019,11,30),4,20),
"مشاتل",IF(D602&lt;DATE(2019,11,30),2,10),
"كافيتيريا",IF(D602&lt;DATE(2019,11,30),30,150),
"نوادي",IF(D602&lt;DATE(2019,11,30),6,30),
"رسو مراكب",IF(D602&lt;DATE(2019,11,30),2,10),
"مباني",IF(D602&lt;DATE(2018,9,24),2,10),
"عشش",IF(D602&lt;DATE(2019,11,30),2,10),
"كشك (تجاري/صناعي)",IF(D602&lt;DATE(2019,11,30),10,50),
"ردم",20,
0)))</f>
        <v>0</v>
      </c>
      <c r="AC602" s="1" cm="1">
        <f t="array" aca="1" ref="AC602" ca="1">IF(Y602&lt;DATE(2023,5,1),0,
IF(J602="زراعة",
K602*
(
INT((Y602-MAX(DATE(2023,5,1),D602))/365)
+
CEILING(MOD((Y602-MAX(DATE(2023,5,1),D602))/365,1),0.25)
)
*3,
IF(J602="ردم",
K602*20,
K602*
(
DATEDIF(MAX(DATE(2023,5,1),D602),Y602,"m")+1
)
*
_xlfn.SWITCH(J602,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02" s="1">
        <f t="shared" ca="1" si="58"/>
        <v>55</v>
      </c>
    </row>
    <row r="603" spans="1:30" ht="18.75" x14ac:dyDescent="0.25">
      <c r="A603" s="84">
        <v>541</v>
      </c>
      <c r="B603" s="82">
        <v>4</v>
      </c>
      <c r="C603" s="6">
        <v>2020</v>
      </c>
      <c r="D603" s="7" t="s">
        <v>753</v>
      </c>
      <c r="E603" s="12"/>
      <c r="F603" s="6"/>
      <c r="G603" s="6" t="s">
        <v>769</v>
      </c>
      <c r="H603" s="3"/>
      <c r="I603" s="63" t="s">
        <v>33</v>
      </c>
      <c r="J603" s="3" t="s">
        <v>27</v>
      </c>
      <c r="K603" s="6"/>
      <c r="L603" s="6" t="s">
        <v>89</v>
      </c>
      <c r="M603" s="7"/>
      <c r="N603" s="6"/>
      <c r="O603" s="9">
        <f>0.47*Table2[[#This Row],[قيمة المحضر]]</f>
        <v>0</v>
      </c>
      <c r="P603" s="9">
        <f>0.17*Table2[[#This Row],[قيمة المحضر]]</f>
        <v>0</v>
      </c>
      <c r="Q603" s="9">
        <f t="shared" ca="1" si="62"/>
        <v>0</v>
      </c>
      <c r="R603" s="3"/>
      <c r="S603" s="3"/>
      <c r="T603" s="9" t="str">
        <f t="shared" si="63"/>
        <v>-</v>
      </c>
      <c r="U603" s="3" t="s">
        <v>25</v>
      </c>
      <c r="V603" s="9" t="str">
        <f t="shared" si="64"/>
        <v>-</v>
      </c>
      <c r="W603" s="4"/>
      <c r="X603" s="38"/>
      <c r="Y603" s="1">
        <f t="shared" ca="1" si="57"/>
        <v>46162</v>
      </c>
      <c r="Z603" s="1" cm="1">
        <f t="array" ref="Z603">IF(D603&gt;DATE(2015,5,16),0,
K603*
(
INT((MIN(Y603,DATE(2015,5,16))-D603)/365)
+
CEILING(MOD((MIN(Y603,DATE(2015,5,16))-D603)/365,1),0.25)
)
*
_xlfn.SWITCH(J603,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03" s="1" cm="1">
        <f t="array" aca="1" ref="AA603" ca="1">IF(Y603&lt;DATE(2015,5,17),0,
K603*
(
INT((MIN(Y603,DATE(2018,9,23))-MAX(D603,DATE(2015,5,17)))/365)
+
CEILING(MOD((MIN(Y603,DATE(2018,9,23))-MAX(D603,DATE(2015,5,17)))/365,1),0.25)
)
*
_xlfn.SWITCH(J603,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03" s="1" cm="1">
        <f t="array" aca="1" ref="AB603" ca="1">IF(Y603&lt;DATE(2018,9,24),0,
IF(J603="زراعة",
K603*
(
INT((MIN(Y603,DATE(2023,4,30))-MAX(D603,DATE(2018,9,24)))/365)
+
CEILING(MOD((MIN(Y603,DATE(2023,4,30))-MAX(D603,DATE(2018,9,24)))/365,1),0.25)
)
*1,
K603*
(
DATEDIF(MAX(D603,DATE(2018,9,24)),MIN(Y603,DATE(2023,4,30)),"m")+1
)
*
_xlfn.SWITCH(J603,
"موقف/تندة",IF(D603&lt;DATE(2019,11,30),6,30),
"تشوينات",IF(D603&lt;DATE(2019,11,30),4,20),
"مشاتل",IF(D603&lt;DATE(2019,11,30),2,10),
"كافيتيريا",IF(D603&lt;DATE(2019,11,30),30,150),
"نوادي",IF(D603&lt;DATE(2019,11,30),6,30),
"رسو مراكب",IF(D603&lt;DATE(2019,11,30),2,10),
"مباني",IF(D603&lt;DATE(2018,9,24),2,10),
"عشش",IF(D603&lt;DATE(2019,11,30),2,10),
"كشك (تجاري/صناعي)",IF(D603&lt;DATE(2019,11,30),10,50),
"ردم",20,
0)))</f>
        <v>0</v>
      </c>
      <c r="AC603" s="1" cm="1">
        <f t="array" aca="1" ref="AC603" ca="1">IF(Y603&lt;DATE(2023,5,1),0,
IF(J603="زراعة",
K603*
(
INT((Y603-MAX(DATE(2023,5,1),D603))/365)
+
CEILING(MOD((Y603-MAX(DATE(2023,5,1),D603))/365,1),0.25)
)
*3,
IF(J603="ردم",
K603*20,
K603*
(
DATEDIF(MAX(DATE(2023,5,1),D603),Y603,"m")+1
)
*
_xlfn.SWITCH(J603,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03" s="1">
        <f t="shared" ca="1" si="58"/>
        <v>55</v>
      </c>
    </row>
    <row r="604" spans="1:30" ht="18.75" x14ac:dyDescent="0.25">
      <c r="A604" s="84">
        <v>541</v>
      </c>
      <c r="B604" s="82">
        <v>4</v>
      </c>
      <c r="C604" s="6">
        <v>2020</v>
      </c>
      <c r="D604" s="7" t="s">
        <v>753</v>
      </c>
      <c r="E604" s="12"/>
      <c r="F604" s="6"/>
      <c r="G604" s="6" t="s">
        <v>769</v>
      </c>
      <c r="H604" s="3"/>
      <c r="I604" s="63" t="s">
        <v>33</v>
      </c>
      <c r="J604" s="3" t="s">
        <v>77</v>
      </c>
      <c r="K604" s="6"/>
      <c r="L604" s="6" t="s">
        <v>89</v>
      </c>
      <c r="M604" s="7"/>
      <c r="N604" s="6"/>
      <c r="O604" s="9">
        <f>0.47*Table2[[#This Row],[قيمة المحضر]]</f>
        <v>0</v>
      </c>
      <c r="P604" s="9">
        <f>0.17*Table2[[#This Row],[قيمة المحضر]]</f>
        <v>0</v>
      </c>
      <c r="Q604" s="9">
        <f t="shared" ca="1" si="62"/>
        <v>0</v>
      </c>
      <c r="R604" s="3"/>
      <c r="S604" s="3"/>
      <c r="T604" s="9" t="str">
        <f t="shared" si="63"/>
        <v>-</v>
      </c>
      <c r="U604" s="3" t="s">
        <v>25</v>
      </c>
      <c r="V604" s="9" t="str">
        <f t="shared" si="64"/>
        <v>-</v>
      </c>
      <c r="W604" s="4"/>
      <c r="X604" s="38"/>
      <c r="Y604" s="1">
        <f t="shared" ca="1" si="57"/>
        <v>46162</v>
      </c>
      <c r="Z604" s="1" cm="1">
        <f t="array" ref="Z604">IF(D604&gt;DATE(2015,5,16),0,
K604*
(
INT((MIN(Y604,DATE(2015,5,16))-D604)/365)
+
CEILING(MOD((MIN(Y604,DATE(2015,5,16))-D604)/365,1),0.25)
)
*
_xlfn.SWITCH(J604,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04" s="1" cm="1">
        <f t="array" aca="1" ref="AA604" ca="1">IF(Y604&lt;DATE(2015,5,17),0,
K604*
(
INT((MIN(Y604,DATE(2018,9,23))-MAX(D604,DATE(2015,5,17)))/365)
+
CEILING(MOD((MIN(Y604,DATE(2018,9,23))-MAX(D604,DATE(2015,5,17)))/365,1),0.25)
)
*
_xlfn.SWITCH(J604,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04" s="1" cm="1">
        <f t="array" aca="1" ref="AB604" ca="1">IF(Y604&lt;DATE(2018,9,24),0,
IF(J604="زراعة",
K604*
(
INT((MIN(Y604,DATE(2023,4,30))-MAX(D604,DATE(2018,9,24)))/365)
+
CEILING(MOD((MIN(Y604,DATE(2023,4,30))-MAX(D604,DATE(2018,9,24)))/365,1),0.25)
)
*1,
K604*
(
DATEDIF(MAX(D604,DATE(2018,9,24)),MIN(Y604,DATE(2023,4,30)),"m")+1
)
*
_xlfn.SWITCH(J604,
"موقف/تندة",IF(D604&lt;DATE(2019,11,30),6,30),
"تشوينات",IF(D604&lt;DATE(2019,11,30),4,20),
"مشاتل",IF(D604&lt;DATE(2019,11,30),2,10),
"كافيتيريا",IF(D604&lt;DATE(2019,11,30),30,150),
"نوادي",IF(D604&lt;DATE(2019,11,30),6,30),
"رسو مراكب",IF(D604&lt;DATE(2019,11,30),2,10),
"مباني",IF(D604&lt;DATE(2018,9,24),2,10),
"عشش",IF(D604&lt;DATE(2019,11,30),2,10),
"كشك (تجاري/صناعي)",IF(D604&lt;DATE(2019,11,30),10,50),
"ردم",20,
0)))</f>
        <v>0</v>
      </c>
      <c r="AC604" s="1" cm="1">
        <f t="array" aca="1" ref="AC604" ca="1">IF(Y604&lt;DATE(2023,5,1),0,
IF(J604="زراعة",
K604*
(
INT((Y604-MAX(DATE(2023,5,1),D604))/365)
+
CEILING(MOD((Y604-MAX(DATE(2023,5,1),D604))/365,1),0.25)
)
*3,
IF(J604="ردم",
K604*20,
K604*
(
DATEDIF(MAX(DATE(2023,5,1),D604),Y604,"m")+1
)
*
_xlfn.SWITCH(J604,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04" s="1">
        <f t="shared" ca="1" si="58"/>
        <v>55</v>
      </c>
    </row>
    <row r="605" spans="1:30" ht="18.75" x14ac:dyDescent="0.25">
      <c r="A605" s="52">
        <v>542</v>
      </c>
      <c r="B605" s="6">
        <v>5</v>
      </c>
      <c r="C605" s="6">
        <v>2020</v>
      </c>
      <c r="D605" s="7" t="s">
        <v>753</v>
      </c>
      <c r="E605" s="12"/>
      <c r="F605" s="6"/>
      <c r="G605" s="6" t="s">
        <v>770</v>
      </c>
      <c r="H605" s="3"/>
      <c r="I605" s="63" t="s">
        <v>828</v>
      </c>
      <c r="J605" s="3" t="s">
        <v>146</v>
      </c>
      <c r="K605" s="6"/>
      <c r="L605" s="6" t="s">
        <v>89</v>
      </c>
      <c r="M605" s="7"/>
      <c r="N605" s="6"/>
      <c r="O605" s="9">
        <f>0.47*Table2[[#This Row],[قيمة المحضر]]</f>
        <v>0</v>
      </c>
      <c r="P605" s="9">
        <f>0.17*Table2[[#This Row],[قيمة المحضر]]</f>
        <v>0</v>
      </c>
      <c r="Q605" s="9">
        <f t="shared" ca="1" si="62"/>
        <v>0</v>
      </c>
      <c r="R605" s="3"/>
      <c r="S605" s="3"/>
      <c r="T605" s="9" t="str">
        <f t="shared" si="63"/>
        <v>-</v>
      </c>
      <c r="U605" s="3" t="s">
        <v>25</v>
      </c>
      <c r="V605" s="9" t="str">
        <f t="shared" si="64"/>
        <v>-</v>
      </c>
      <c r="W605" s="4"/>
      <c r="X605" s="38"/>
      <c r="Y605" s="1">
        <f t="shared" ca="1" si="57"/>
        <v>46162</v>
      </c>
      <c r="Z605" s="1" cm="1">
        <f t="array" ref="Z605">IF(D605&gt;DATE(2015,5,16),0,
K605*
(
INT((MIN(Y605,DATE(2015,5,16))-D605)/365)
+
CEILING(MOD((MIN(Y605,DATE(2015,5,16))-D605)/365,1),0.25)
)
*
_xlfn.SWITCH(J605,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05" s="1" cm="1">
        <f t="array" aca="1" ref="AA605" ca="1">IF(Y605&lt;DATE(2015,5,17),0,
K605*
(
INT((MIN(Y605,DATE(2018,9,23))-MAX(D605,DATE(2015,5,17)))/365)
+
CEILING(MOD((MIN(Y605,DATE(2018,9,23))-MAX(D605,DATE(2015,5,17)))/365,1),0.25)
)
*
_xlfn.SWITCH(J605,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05" s="1" cm="1">
        <f t="array" aca="1" ref="AB605" ca="1">IF(Y605&lt;DATE(2018,9,24),0,
IF(J605="زراعة",
K605*
(
INT((MIN(Y605,DATE(2023,4,30))-MAX(D605,DATE(2018,9,24)))/365)
+
CEILING(MOD((MIN(Y605,DATE(2023,4,30))-MAX(D605,DATE(2018,9,24)))/365,1),0.25)
)
*1,
K605*
(
DATEDIF(MAX(D605,DATE(2018,9,24)),MIN(Y605,DATE(2023,4,30)),"m")+1
)
*
_xlfn.SWITCH(J605,
"موقف/تندة",IF(D605&lt;DATE(2019,11,30),6,30),
"تشوينات",IF(D605&lt;DATE(2019,11,30),4,20),
"مشاتل",IF(D605&lt;DATE(2019,11,30),2,10),
"كافيتيريا",IF(D605&lt;DATE(2019,11,30),30,150),
"نوادي",IF(D605&lt;DATE(2019,11,30),6,30),
"رسو مراكب",IF(D605&lt;DATE(2019,11,30),2,10),
"مباني",IF(D605&lt;DATE(2018,9,24),2,10),
"عشش",IF(D605&lt;DATE(2019,11,30),2,10),
"كشك (تجاري/صناعي)",IF(D605&lt;DATE(2019,11,30),10,50),
"ردم",20,
0)))</f>
        <v>0</v>
      </c>
      <c r="AC605" s="1" cm="1">
        <f t="array" aca="1" ref="AC605" ca="1">IF(Y605&lt;DATE(2023,5,1),0,
IF(J605="زراعة",
K605*
(
INT((Y605-MAX(DATE(2023,5,1),D605))/365)
+
CEILING(MOD((Y605-MAX(DATE(2023,5,1),D605))/365,1),0.25)
)
*3,
IF(J605="ردم",
K605*20,
K605*
(
DATEDIF(MAX(DATE(2023,5,1),D605),Y605,"m")+1
)
*
_xlfn.SWITCH(J605,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05" s="1">
        <f t="shared" ca="1" si="58"/>
        <v>55</v>
      </c>
    </row>
    <row r="606" spans="1:30" ht="18.75" x14ac:dyDescent="0.25">
      <c r="A606" s="52">
        <v>543</v>
      </c>
      <c r="B606" s="6">
        <v>6</v>
      </c>
      <c r="C606" s="6">
        <v>2020</v>
      </c>
      <c r="D606" s="7" t="s">
        <v>753</v>
      </c>
      <c r="E606" s="12"/>
      <c r="F606" s="6"/>
      <c r="G606" s="6" t="s">
        <v>771</v>
      </c>
      <c r="H606" s="3"/>
      <c r="I606" s="63" t="s">
        <v>828</v>
      </c>
      <c r="J606" s="3" t="s">
        <v>146</v>
      </c>
      <c r="K606" s="6"/>
      <c r="L606" s="6" t="s">
        <v>89</v>
      </c>
      <c r="M606" s="7"/>
      <c r="N606" s="6"/>
      <c r="O606" s="9">
        <f>0.47*Table2[[#This Row],[قيمة المحضر]]</f>
        <v>0</v>
      </c>
      <c r="P606" s="9">
        <f>0.17*Table2[[#This Row],[قيمة المحضر]]</f>
        <v>0</v>
      </c>
      <c r="Q606" s="9">
        <f t="shared" ca="1" si="62"/>
        <v>0</v>
      </c>
      <c r="R606" s="3"/>
      <c r="S606" s="3"/>
      <c r="T606" s="9" t="str">
        <f t="shared" si="63"/>
        <v>-</v>
      </c>
      <c r="U606" s="3" t="s">
        <v>25</v>
      </c>
      <c r="V606" s="9" t="str">
        <f t="shared" si="64"/>
        <v>-</v>
      </c>
      <c r="W606" s="4"/>
      <c r="X606" s="38"/>
      <c r="Y606" s="1">
        <f t="shared" ca="1" si="57"/>
        <v>46162</v>
      </c>
      <c r="Z606" s="1" cm="1">
        <f t="array" ref="Z606">IF(D606&gt;DATE(2015,5,16),0,
K606*
(
INT((MIN(Y606,DATE(2015,5,16))-D606)/365)
+
CEILING(MOD((MIN(Y606,DATE(2015,5,16))-D606)/365,1),0.25)
)
*
_xlfn.SWITCH(J606,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06" s="1" cm="1">
        <f t="array" aca="1" ref="AA606" ca="1">IF(Y606&lt;DATE(2015,5,17),0,
K606*
(
INT((MIN(Y606,DATE(2018,9,23))-MAX(D606,DATE(2015,5,17)))/365)
+
CEILING(MOD((MIN(Y606,DATE(2018,9,23))-MAX(D606,DATE(2015,5,17)))/365,1),0.25)
)
*
_xlfn.SWITCH(J606,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06" s="1" cm="1">
        <f t="array" aca="1" ref="AB606" ca="1">IF(Y606&lt;DATE(2018,9,24),0,
IF(J606="زراعة",
K606*
(
INT((MIN(Y606,DATE(2023,4,30))-MAX(D606,DATE(2018,9,24)))/365)
+
CEILING(MOD((MIN(Y606,DATE(2023,4,30))-MAX(D606,DATE(2018,9,24)))/365,1),0.25)
)
*1,
K606*
(
DATEDIF(MAX(D606,DATE(2018,9,24)),MIN(Y606,DATE(2023,4,30)),"m")+1
)
*
_xlfn.SWITCH(J606,
"موقف/تندة",IF(D606&lt;DATE(2019,11,30),6,30),
"تشوينات",IF(D606&lt;DATE(2019,11,30),4,20),
"مشاتل",IF(D606&lt;DATE(2019,11,30),2,10),
"كافيتيريا",IF(D606&lt;DATE(2019,11,30),30,150),
"نوادي",IF(D606&lt;DATE(2019,11,30),6,30),
"رسو مراكب",IF(D606&lt;DATE(2019,11,30),2,10),
"مباني",IF(D606&lt;DATE(2018,9,24),2,10),
"عشش",IF(D606&lt;DATE(2019,11,30),2,10),
"كشك (تجاري/صناعي)",IF(D606&lt;DATE(2019,11,30),10,50),
"ردم",20,
0)))</f>
        <v>0</v>
      </c>
      <c r="AC606" s="1" cm="1">
        <f t="array" aca="1" ref="AC606" ca="1">IF(Y606&lt;DATE(2023,5,1),0,
IF(J606="زراعة",
K606*
(
INT((Y606-MAX(DATE(2023,5,1),D606))/365)
+
CEILING(MOD((Y606-MAX(DATE(2023,5,1),D606))/365,1),0.25)
)
*3,
IF(J606="ردم",
K606*20,
K606*
(
DATEDIF(MAX(DATE(2023,5,1),D606),Y606,"m")+1
)
*
_xlfn.SWITCH(J606,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06" s="1">
        <f t="shared" ca="1" si="58"/>
        <v>55</v>
      </c>
    </row>
    <row r="607" spans="1:30" ht="18.75" x14ac:dyDescent="0.25">
      <c r="A607" s="52">
        <v>544</v>
      </c>
      <c r="B607" s="6">
        <v>7</v>
      </c>
      <c r="C607" s="6">
        <v>2020</v>
      </c>
      <c r="D607" s="7" t="s">
        <v>753</v>
      </c>
      <c r="E607" s="12"/>
      <c r="F607" s="6"/>
      <c r="G607" s="6" t="s">
        <v>772</v>
      </c>
      <c r="H607" s="3"/>
      <c r="I607" s="63" t="s">
        <v>828</v>
      </c>
      <c r="J607" s="3" t="s">
        <v>146</v>
      </c>
      <c r="K607" s="6"/>
      <c r="L607" s="6" t="s">
        <v>89</v>
      </c>
      <c r="M607" s="7"/>
      <c r="N607" s="6"/>
      <c r="O607" s="9">
        <f>0.47*Table2[[#This Row],[قيمة المحضر]]</f>
        <v>0</v>
      </c>
      <c r="P607" s="9">
        <f>0.17*Table2[[#This Row],[قيمة المحضر]]</f>
        <v>0</v>
      </c>
      <c r="Q607" s="9">
        <f t="shared" ca="1" si="62"/>
        <v>0</v>
      </c>
      <c r="R607" s="3"/>
      <c r="S607" s="3"/>
      <c r="T607" s="9" t="str">
        <f t="shared" si="63"/>
        <v>-</v>
      </c>
      <c r="U607" s="3" t="s">
        <v>25</v>
      </c>
      <c r="V607" s="9" t="str">
        <f t="shared" si="64"/>
        <v>-</v>
      </c>
      <c r="W607" s="4"/>
      <c r="X607" s="38"/>
      <c r="Y607" s="1">
        <f t="shared" ca="1" si="57"/>
        <v>46162</v>
      </c>
      <c r="Z607" s="1" cm="1">
        <f t="array" ref="Z607">IF(D607&gt;DATE(2015,5,16),0,
K607*
(
INT((MIN(Y607,DATE(2015,5,16))-D607)/365)
+
CEILING(MOD((MIN(Y607,DATE(2015,5,16))-D607)/365,1),0.25)
)
*
_xlfn.SWITCH(J607,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07" s="1" cm="1">
        <f t="array" aca="1" ref="AA607" ca="1">IF(Y607&lt;DATE(2015,5,17),0,
K607*
(
INT((MIN(Y607,DATE(2018,9,23))-MAX(D607,DATE(2015,5,17)))/365)
+
CEILING(MOD((MIN(Y607,DATE(2018,9,23))-MAX(D607,DATE(2015,5,17)))/365,1),0.25)
)
*
_xlfn.SWITCH(J607,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07" s="1" cm="1">
        <f t="array" aca="1" ref="AB607" ca="1">IF(Y607&lt;DATE(2018,9,24),0,
IF(J607="زراعة",
K607*
(
INT((MIN(Y607,DATE(2023,4,30))-MAX(D607,DATE(2018,9,24)))/365)
+
CEILING(MOD((MIN(Y607,DATE(2023,4,30))-MAX(D607,DATE(2018,9,24)))/365,1),0.25)
)
*1,
K607*
(
DATEDIF(MAX(D607,DATE(2018,9,24)),MIN(Y607,DATE(2023,4,30)),"m")+1
)
*
_xlfn.SWITCH(J607,
"موقف/تندة",IF(D607&lt;DATE(2019,11,30),6,30),
"تشوينات",IF(D607&lt;DATE(2019,11,30),4,20),
"مشاتل",IF(D607&lt;DATE(2019,11,30),2,10),
"كافيتيريا",IF(D607&lt;DATE(2019,11,30),30,150),
"نوادي",IF(D607&lt;DATE(2019,11,30),6,30),
"رسو مراكب",IF(D607&lt;DATE(2019,11,30),2,10),
"مباني",IF(D607&lt;DATE(2018,9,24),2,10),
"عشش",IF(D607&lt;DATE(2019,11,30),2,10),
"كشك (تجاري/صناعي)",IF(D607&lt;DATE(2019,11,30),10,50),
"ردم",20,
0)))</f>
        <v>0</v>
      </c>
      <c r="AC607" s="1" cm="1">
        <f t="array" aca="1" ref="AC607" ca="1">IF(Y607&lt;DATE(2023,5,1),0,
IF(J607="زراعة",
K607*
(
INT((Y607-MAX(DATE(2023,5,1),D607))/365)
+
CEILING(MOD((Y607-MAX(DATE(2023,5,1),D607))/365,1),0.25)
)
*3,
IF(J607="ردم",
K607*20,
K607*
(
DATEDIF(MAX(DATE(2023,5,1),D607),Y607,"m")+1
)
*
_xlfn.SWITCH(J607,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07" s="1">
        <f t="shared" ca="1" si="58"/>
        <v>55</v>
      </c>
    </row>
    <row r="608" spans="1:30" ht="18.75" x14ac:dyDescent="0.25">
      <c r="A608" s="52">
        <v>545</v>
      </c>
      <c r="B608" s="6">
        <v>8</v>
      </c>
      <c r="C608" s="6">
        <v>2020</v>
      </c>
      <c r="D608" s="7" t="s">
        <v>753</v>
      </c>
      <c r="E608" s="12"/>
      <c r="F608" s="6"/>
      <c r="G608" s="6" t="s">
        <v>463</v>
      </c>
      <c r="H608" s="3"/>
      <c r="I608" s="63" t="s">
        <v>828</v>
      </c>
      <c r="J608" s="3" t="s">
        <v>146</v>
      </c>
      <c r="K608" s="6"/>
      <c r="L608" s="6" t="s">
        <v>89</v>
      </c>
      <c r="M608" s="7"/>
      <c r="N608" s="6"/>
      <c r="O608" s="9">
        <f>0.47*Table2[[#This Row],[قيمة المحضر]]</f>
        <v>0</v>
      </c>
      <c r="P608" s="9">
        <f>0.17*Table2[[#This Row],[قيمة المحضر]]</f>
        <v>0</v>
      </c>
      <c r="Q608" s="9">
        <f t="shared" ca="1" si="62"/>
        <v>0</v>
      </c>
      <c r="R608" s="3"/>
      <c r="S608" s="3"/>
      <c r="T608" s="9" t="str">
        <f t="shared" si="63"/>
        <v>-</v>
      </c>
      <c r="U608" s="3" t="s">
        <v>25</v>
      </c>
      <c r="V608" s="9" t="str">
        <f t="shared" si="64"/>
        <v>-</v>
      </c>
      <c r="W608" s="4"/>
      <c r="X608" s="38"/>
      <c r="Y608" s="1">
        <f t="shared" ca="1" si="57"/>
        <v>46162</v>
      </c>
      <c r="Z608" s="1" cm="1">
        <f t="array" ref="Z608">IF(D608&gt;DATE(2015,5,16),0,
K608*
(
INT((MIN(Y608,DATE(2015,5,16))-D608)/365)
+
CEILING(MOD((MIN(Y608,DATE(2015,5,16))-D608)/365,1),0.25)
)
*
_xlfn.SWITCH(J608,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08" s="1" cm="1">
        <f t="array" aca="1" ref="AA608" ca="1">IF(Y608&lt;DATE(2015,5,17),0,
K608*
(
INT((MIN(Y608,DATE(2018,9,23))-MAX(D608,DATE(2015,5,17)))/365)
+
CEILING(MOD((MIN(Y608,DATE(2018,9,23))-MAX(D608,DATE(2015,5,17)))/365,1),0.25)
)
*
_xlfn.SWITCH(J608,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08" s="1" cm="1">
        <f t="array" aca="1" ref="AB608" ca="1">IF(Y608&lt;DATE(2018,9,24),0,
IF(J608="زراعة",
K608*
(
INT((MIN(Y608,DATE(2023,4,30))-MAX(D608,DATE(2018,9,24)))/365)
+
CEILING(MOD((MIN(Y608,DATE(2023,4,30))-MAX(D608,DATE(2018,9,24)))/365,1),0.25)
)
*1,
K608*
(
DATEDIF(MAX(D608,DATE(2018,9,24)),MIN(Y608,DATE(2023,4,30)),"m")+1
)
*
_xlfn.SWITCH(J608,
"موقف/تندة",IF(D608&lt;DATE(2019,11,30),6,30),
"تشوينات",IF(D608&lt;DATE(2019,11,30),4,20),
"مشاتل",IF(D608&lt;DATE(2019,11,30),2,10),
"كافيتيريا",IF(D608&lt;DATE(2019,11,30),30,150),
"نوادي",IF(D608&lt;DATE(2019,11,30),6,30),
"رسو مراكب",IF(D608&lt;DATE(2019,11,30),2,10),
"مباني",IF(D608&lt;DATE(2018,9,24),2,10),
"عشش",IF(D608&lt;DATE(2019,11,30),2,10),
"كشك (تجاري/صناعي)",IF(D608&lt;DATE(2019,11,30),10,50),
"ردم",20,
0)))</f>
        <v>0</v>
      </c>
      <c r="AC608" s="1" cm="1">
        <f t="array" aca="1" ref="AC608" ca="1">IF(Y608&lt;DATE(2023,5,1),0,
IF(J608="زراعة",
K608*
(
INT((Y608-MAX(DATE(2023,5,1),D608))/365)
+
CEILING(MOD((Y608-MAX(DATE(2023,5,1),D608))/365,1),0.25)
)
*3,
IF(J608="ردم",
K608*20,
K608*
(
DATEDIF(MAX(DATE(2023,5,1),D608),Y608,"m")+1
)
*
_xlfn.SWITCH(J608,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08" s="1">
        <f t="shared" ca="1" si="58"/>
        <v>55</v>
      </c>
    </row>
    <row r="609" spans="1:30" ht="18.75" x14ac:dyDescent="0.25">
      <c r="A609" s="52">
        <v>546</v>
      </c>
      <c r="B609" s="6">
        <v>9</v>
      </c>
      <c r="C609" s="6">
        <v>2020</v>
      </c>
      <c r="D609" s="7" t="s">
        <v>753</v>
      </c>
      <c r="E609" s="12"/>
      <c r="F609" s="6"/>
      <c r="G609" s="6" t="s">
        <v>773</v>
      </c>
      <c r="H609" s="3"/>
      <c r="I609" s="63" t="s">
        <v>828</v>
      </c>
      <c r="J609" s="3" t="s">
        <v>146</v>
      </c>
      <c r="K609" s="6"/>
      <c r="L609" s="6" t="s">
        <v>89</v>
      </c>
      <c r="M609" s="7"/>
      <c r="N609" s="6"/>
      <c r="O609" s="9">
        <f>0.47*Table2[[#This Row],[قيمة المحضر]]</f>
        <v>0</v>
      </c>
      <c r="P609" s="9">
        <f>0.17*Table2[[#This Row],[قيمة المحضر]]</f>
        <v>0</v>
      </c>
      <c r="Q609" s="9">
        <f t="shared" ca="1" si="62"/>
        <v>0</v>
      </c>
      <c r="R609" s="3"/>
      <c r="S609" s="3"/>
      <c r="T609" s="9" t="str">
        <f t="shared" si="63"/>
        <v>-</v>
      </c>
      <c r="U609" s="3" t="s">
        <v>25</v>
      </c>
      <c r="V609" s="9" t="str">
        <f t="shared" si="64"/>
        <v>-</v>
      </c>
      <c r="W609" s="4"/>
      <c r="X609" s="38"/>
      <c r="Y609" s="1">
        <f t="shared" ca="1" si="57"/>
        <v>46162</v>
      </c>
      <c r="Z609" s="1" cm="1">
        <f t="array" ref="Z609">IF(D609&gt;DATE(2015,5,16),0,
K609*
(
INT((MIN(Y609,DATE(2015,5,16))-D609)/365)
+
CEILING(MOD((MIN(Y609,DATE(2015,5,16))-D609)/365,1),0.25)
)
*
_xlfn.SWITCH(J609,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09" s="1" cm="1">
        <f t="array" aca="1" ref="AA609" ca="1">IF(Y609&lt;DATE(2015,5,17),0,
K609*
(
INT((MIN(Y609,DATE(2018,9,23))-MAX(D609,DATE(2015,5,17)))/365)
+
CEILING(MOD((MIN(Y609,DATE(2018,9,23))-MAX(D609,DATE(2015,5,17)))/365,1),0.25)
)
*
_xlfn.SWITCH(J609,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09" s="1" cm="1">
        <f t="array" aca="1" ref="AB609" ca="1">IF(Y609&lt;DATE(2018,9,24),0,
IF(J609="زراعة",
K609*
(
INT((MIN(Y609,DATE(2023,4,30))-MAX(D609,DATE(2018,9,24)))/365)
+
CEILING(MOD((MIN(Y609,DATE(2023,4,30))-MAX(D609,DATE(2018,9,24)))/365,1),0.25)
)
*1,
K609*
(
DATEDIF(MAX(D609,DATE(2018,9,24)),MIN(Y609,DATE(2023,4,30)),"m")+1
)
*
_xlfn.SWITCH(J609,
"موقف/تندة",IF(D609&lt;DATE(2019,11,30),6,30),
"تشوينات",IF(D609&lt;DATE(2019,11,30),4,20),
"مشاتل",IF(D609&lt;DATE(2019,11,30),2,10),
"كافيتيريا",IF(D609&lt;DATE(2019,11,30),30,150),
"نوادي",IF(D609&lt;DATE(2019,11,30),6,30),
"رسو مراكب",IF(D609&lt;DATE(2019,11,30),2,10),
"مباني",IF(D609&lt;DATE(2018,9,24),2,10),
"عشش",IF(D609&lt;DATE(2019,11,30),2,10),
"كشك (تجاري/صناعي)",IF(D609&lt;DATE(2019,11,30),10,50),
"ردم",20,
0)))</f>
        <v>0</v>
      </c>
      <c r="AC609" s="1" cm="1">
        <f t="array" aca="1" ref="AC609" ca="1">IF(Y609&lt;DATE(2023,5,1),0,
IF(J609="زراعة",
K609*
(
INT((Y609-MAX(DATE(2023,5,1),D609))/365)
+
CEILING(MOD((Y609-MAX(DATE(2023,5,1),D609))/365,1),0.25)
)
*3,
IF(J609="ردم",
K609*20,
K609*
(
DATEDIF(MAX(DATE(2023,5,1),D609),Y609,"m")+1
)
*
_xlfn.SWITCH(J609,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09" s="1">
        <f t="shared" ca="1" si="58"/>
        <v>55</v>
      </c>
    </row>
    <row r="610" spans="1:30" ht="18.75" x14ac:dyDescent="0.25">
      <c r="A610" s="52">
        <v>547</v>
      </c>
      <c r="B610" s="6">
        <v>10</v>
      </c>
      <c r="C610" s="6">
        <v>2020</v>
      </c>
      <c r="D610" s="7" t="s">
        <v>753</v>
      </c>
      <c r="E610" s="12"/>
      <c r="F610" s="6"/>
      <c r="G610" s="6" t="s">
        <v>774</v>
      </c>
      <c r="H610" s="3"/>
      <c r="I610" s="63" t="s">
        <v>105</v>
      </c>
      <c r="J610" s="3" t="s">
        <v>28</v>
      </c>
      <c r="K610" s="6"/>
      <c r="L610" s="63" t="s">
        <v>90</v>
      </c>
      <c r="M610" s="7"/>
      <c r="N610" s="6"/>
      <c r="O610" s="9">
        <f>0.47*Table2[[#This Row],[قيمة المحضر]]</f>
        <v>0</v>
      </c>
      <c r="P610" s="9">
        <f>0.17*Table2[[#This Row],[قيمة المحضر]]</f>
        <v>0</v>
      </c>
      <c r="Q610" s="9">
        <f t="shared" ca="1" si="62"/>
        <v>0</v>
      </c>
      <c r="R610" s="3"/>
      <c r="S610" s="3"/>
      <c r="T610" s="9" t="str">
        <f t="shared" si="63"/>
        <v>-</v>
      </c>
      <c r="U610" s="3" t="s">
        <v>25</v>
      </c>
      <c r="V610" s="9" t="str">
        <f t="shared" si="64"/>
        <v>-</v>
      </c>
      <c r="W610" s="4"/>
      <c r="X610" s="38"/>
      <c r="Y610" s="1">
        <f t="shared" ca="1" si="57"/>
        <v>46162</v>
      </c>
      <c r="Z610" s="1" cm="1">
        <f t="array" ref="Z610">IF(D610&gt;DATE(2015,5,16),0,
K610*
(
INT((MIN(Y610,DATE(2015,5,16))-D610)/365)
+
CEILING(MOD((MIN(Y610,DATE(2015,5,16))-D610)/365,1),0.25)
)
*
_xlfn.SWITCH(J610,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10" s="1" cm="1">
        <f t="array" aca="1" ref="AA610" ca="1">IF(Y610&lt;DATE(2015,5,17),0,
K610*
(
INT((MIN(Y610,DATE(2018,9,23))-MAX(D610,DATE(2015,5,17)))/365)
+
CEILING(MOD((MIN(Y610,DATE(2018,9,23))-MAX(D610,DATE(2015,5,17)))/365,1),0.25)
)
*
_xlfn.SWITCH(J610,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10" s="1" cm="1">
        <f t="array" aca="1" ref="AB610" ca="1">IF(Y610&lt;DATE(2018,9,24),0,
IF(J610="زراعة",
K610*
(
INT((MIN(Y610,DATE(2023,4,30))-MAX(D610,DATE(2018,9,24)))/365)
+
CEILING(MOD((MIN(Y610,DATE(2023,4,30))-MAX(D610,DATE(2018,9,24)))/365,1),0.25)
)
*1,
K610*
(
DATEDIF(MAX(D610,DATE(2018,9,24)),MIN(Y610,DATE(2023,4,30)),"m")+1
)
*
_xlfn.SWITCH(J610,
"موقف/تندة",IF(D610&lt;DATE(2019,11,30),6,30),
"تشوينات",IF(D610&lt;DATE(2019,11,30),4,20),
"مشاتل",IF(D610&lt;DATE(2019,11,30),2,10),
"كافيتيريا",IF(D610&lt;DATE(2019,11,30),30,150),
"نوادي",IF(D610&lt;DATE(2019,11,30),6,30),
"رسو مراكب",IF(D610&lt;DATE(2019,11,30),2,10),
"مباني",IF(D610&lt;DATE(2018,9,24),2,10),
"عشش",IF(D610&lt;DATE(2019,11,30),2,10),
"كشك (تجاري/صناعي)",IF(D610&lt;DATE(2019,11,30),10,50),
"ردم",20,
0)))</f>
        <v>0</v>
      </c>
      <c r="AC610" s="1" cm="1">
        <f t="array" aca="1" ref="AC610" ca="1">IF(Y610&lt;DATE(2023,5,1),0,
IF(J610="زراعة",
K610*
(
INT((Y610-MAX(DATE(2023,5,1),D610))/365)
+
CEILING(MOD((Y610-MAX(DATE(2023,5,1),D610))/365,1),0.25)
)
*3,
IF(J610="ردم",
K610*20,
K610*
(
DATEDIF(MAX(DATE(2023,5,1),D610),Y610,"m")+1
)
*
_xlfn.SWITCH(J610,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10" s="1">
        <f t="shared" ca="1" si="58"/>
        <v>55</v>
      </c>
    </row>
    <row r="611" spans="1:30" ht="18.75" x14ac:dyDescent="0.25">
      <c r="A611" s="52">
        <v>548</v>
      </c>
      <c r="B611" s="6">
        <v>11</v>
      </c>
      <c r="C611" s="6">
        <v>2020</v>
      </c>
      <c r="D611" s="7" t="s">
        <v>754</v>
      </c>
      <c r="E611" s="12"/>
      <c r="F611" s="6"/>
      <c r="G611" s="6" t="s">
        <v>775</v>
      </c>
      <c r="H611" s="3"/>
      <c r="I611" s="63" t="s">
        <v>105</v>
      </c>
      <c r="J611" s="3" t="s">
        <v>27</v>
      </c>
      <c r="K611" s="6"/>
      <c r="L611" s="63" t="s">
        <v>830</v>
      </c>
      <c r="M611" s="7"/>
      <c r="N611" s="6"/>
      <c r="O611" s="9">
        <f>0.47*Table2[[#This Row],[قيمة المحضر]]</f>
        <v>0</v>
      </c>
      <c r="P611" s="9">
        <f>0.17*Table2[[#This Row],[قيمة المحضر]]</f>
        <v>0</v>
      </c>
      <c r="Q611" s="9">
        <f t="shared" ca="1" si="62"/>
        <v>0</v>
      </c>
      <c r="R611" s="3"/>
      <c r="S611" s="3"/>
      <c r="T611" s="9" t="str">
        <f t="shared" si="63"/>
        <v>-</v>
      </c>
      <c r="U611" s="3" t="s">
        <v>25</v>
      </c>
      <c r="V611" s="9" t="str">
        <f t="shared" si="64"/>
        <v>-</v>
      </c>
      <c r="W611" s="4"/>
      <c r="X611" s="38"/>
      <c r="Y611" s="1">
        <f t="shared" ca="1" si="57"/>
        <v>46162</v>
      </c>
      <c r="Z611" s="1" cm="1">
        <f t="array" ref="Z611">IF(D611&gt;DATE(2015,5,16),0,
K611*
(
INT((MIN(Y611,DATE(2015,5,16))-D611)/365)
+
CEILING(MOD((MIN(Y611,DATE(2015,5,16))-D611)/365,1),0.25)
)
*
_xlfn.SWITCH(J611,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11" s="1" cm="1">
        <f t="array" aca="1" ref="AA611" ca="1">IF(Y611&lt;DATE(2015,5,17),0,
K611*
(
INT((MIN(Y611,DATE(2018,9,23))-MAX(D611,DATE(2015,5,17)))/365)
+
CEILING(MOD((MIN(Y611,DATE(2018,9,23))-MAX(D611,DATE(2015,5,17)))/365,1),0.25)
)
*
_xlfn.SWITCH(J611,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11" s="1" cm="1">
        <f t="array" aca="1" ref="AB611" ca="1">IF(Y611&lt;DATE(2018,9,24),0,
IF(J611="زراعة",
K611*
(
INT((MIN(Y611,DATE(2023,4,30))-MAX(D611,DATE(2018,9,24)))/365)
+
CEILING(MOD((MIN(Y611,DATE(2023,4,30))-MAX(D611,DATE(2018,9,24)))/365,1),0.25)
)
*1,
K611*
(
DATEDIF(MAX(D611,DATE(2018,9,24)),MIN(Y611,DATE(2023,4,30)),"m")+1
)
*
_xlfn.SWITCH(J611,
"موقف/تندة",IF(D611&lt;DATE(2019,11,30),6,30),
"تشوينات",IF(D611&lt;DATE(2019,11,30),4,20),
"مشاتل",IF(D611&lt;DATE(2019,11,30),2,10),
"كافيتيريا",IF(D611&lt;DATE(2019,11,30),30,150),
"نوادي",IF(D611&lt;DATE(2019,11,30),6,30),
"رسو مراكب",IF(D611&lt;DATE(2019,11,30),2,10),
"مباني",IF(D611&lt;DATE(2018,9,24),2,10),
"عشش",IF(D611&lt;DATE(2019,11,30),2,10),
"كشك (تجاري/صناعي)",IF(D611&lt;DATE(2019,11,30),10,50),
"ردم",20,
0)))</f>
        <v>0</v>
      </c>
      <c r="AC611" s="1" cm="1">
        <f t="array" aca="1" ref="AC611" ca="1">IF(Y611&lt;DATE(2023,5,1),0,
IF(J611="زراعة",
K611*
(
INT((Y611-MAX(DATE(2023,5,1),D611))/365)
+
CEILING(MOD((Y611-MAX(DATE(2023,5,1),D611))/365,1),0.25)
)
*3,
IF(J611="ردم",
K611*20,
K611*
(
DATEDIF(MAX(DATE(2023,5,1),D611),Y611,"m")+1
)
*
_xlfn.SWITCH(J611,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11" s="1">
        <f t="shared" ca="1" si="58"/>
        <v>55</v>
      </c>
    </row>
    <row r="612" spans="1:30" ht="18.75" x14ac:dyDescent="0.25">
      <c r="A612" s="52">
        <v>549</v>
      </c>
      <c r="B612" s="6">
        <v>12</v>
      </c>
      <c r="C612" s="6">
        <v>2020</v>
      </c>
      <c r="D612" s="7" t="s">
        <v>755</v>
      </c>
      <c r="E612" s="12"/>
      <c r="F612" s="6"/>
      <c r="G612" s="6" t="s">
        <v>776</v>
      </c>
      <c r="H612" s="3"/>
      <c r="I612" s="63" t="s">
        <v>192</v>
      </c>
      <c r="J612" s="3" t="s">
        <v>28</v>
      </c>
      <c r="K612" s="6"/>
      <c r="L612" s="63" t="s">
        <v>90</v>
      </c>
      <c r="M612" s="7"/>
      <c r="N612" s="6"/>
      <c r="O612" s="9">
        <f>0.47*Table2[[#This Row],[قيمة المحضر]]</f>
        <v>0</v>
      </c>
      <c r="P612" s="9">
        <f>0.17*Table2[[#This Row],[قيمة المحضر]]</f>
        <v>0</v>
      </c>
      <c r="Q612" s="9">
        <f t="shared" ca="1" si="62"/>
        <v>0</v>
      </c>
      <c r="R612" s="3"/>
      <c r="S612" s="3"/>
      <c r="T612" s="9" t="str">
        <f t="shared" si="63"/>
        <v>-</v>
      </c>
      <c r="U612" s="3" t="s">
        <v>25</v>
      </c>
      <c r="V612" s="9" t="str">
        <f t="shared" si="64"/>
        <v>-</v>
      </c>
      <c r="W612" s="4"/>
      <c r="X612" s="38"/>
      <c r="Y612" s="1">
        <f t="shared" ca="1" si="57"/>
        <v>46162</v>
      </c>
      <c r="Z612" s="1" cm="1">
        <f t="array" ref="Z612">IF(D612&gt;DATE(2015,5,16),0,
K612*
(
INT((MIN(Y612,DATE(2015,5,16))-D612)/365)
+
CEILING(MOD((MIN(Y612,DATE(2015,5,16))-D612)/365,1),0.25)
)
*
_xlfn.SWITCH(J612,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12" s="1" cm="1">
        <f t="array" aca="1" ref="AA612" ca="1">IF(Y612&lt;DATE(2015,5,17),0,
K612*
(
INT((MIN(Y612,DATE(2018,9,23))-MAX(D612,DATE(2015,5,17)))/365)
+
CEILING(MOD((MIN(Y612,DATE(2018,9,23))-MAX(D612,DATE(2015,5,17)))/365,1),0.25)
)
*
_xlfn.SWITCH(J612,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12" s="1" cm="1">
        <f t="array" aca="1" ref="AB612" ca="1">IF(Y612&lt;DATE(2018,9,24),0,
IF(J612="زراعة",
K612*
(
INT((MIN(Y612,DATE(2023,4,30))-MAX(D612,DATE(2018,9,24)))/365)
+
CEILING(MOD((MIN(Y612,DATE(2023,4,30))-MAX(D612,DATE(2018,9,24)))/365,1),0.25)
)
*1,
K612*
(
DATEDIF(MAX(D612,DATE(2018,9,24)),MIN(Y612,DATE(2023,4,30)),"m")+1
)
*
_xlfn.SWITCH(J612,
"موقف/تندة",IF(D612&lt;DATE(2019,11,30),6,30),
"تشوينات",IF(D612&lt;DATE(2019,11,30),4,20),
"مشاتل",IF(D612&lt;DATE(2019,11,30),2,10),
"كافيتيريا",IF(D612&lt;DATE(2019,11,30),30,150),
"نوادي",IF(D612&lt;DATE(2019,11,30),6,30),
"رسو مراكب",IF(D612&lt;DATE(2019,11,30),2,10),
"مباني",IF(D612&lt;DATE(2018,9,24),2,10),
"عشش",IF(D612&lt;DATE(2019,11,30),2,10),
"كشك (تجاري/صناعي)",IF(D612&lt;DATE(2019,11,30),10,50),
"ردم",20,
0)))</f>
        <v>0</v>
      </c>
      <c r="AC612" s="1" cm="1">
        <f t="array" aca="1" ref="AC612" ca="1">IF(Y612&lt;DATE(2023,5,1),0,
IF(J612="زراعة",
K612*
(
INT((Y612-MAX(DATE(2023,5,1),D612))/365)
+
CEILING(MOD((Y612-MAX(DATE(2023,5,1),D612))/365,1),0.25)
)
*3,
IF(J612="ردم",
K612*20,
K612*
(
DATEDIF(MAX(DATE(2023,5,1),D612),Y612,"m")+1
)
*
_xlfn.SWITCH(J612,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12" s="1">
        <f t="shared" ca="1" si="58"/>
        <v>55</v>
      </c>
    </row>
    <row r="613" spans="1:30" ht="18.75" x14ac:dyDescent="0.25">
      <c r="A613" s="52">
        <v>550</v>
      </c>
      <c r="B613" s="6">
        <v>13</v>
      </c>
      <c r="C613" s="6">
        <v>2020</v>
      </c>
      <c r="D613" s="7" t="s">
        <v>755</v>
      </c>
      <c r="E613" s="12"/>
      <c r="F613" s="6"/>
      <c r="G613" s="6" t="s">
        <v>777</v>
      </c>
      <c r="H613" s="3"/>
      <c r="I613" s="63" t="s">
        <v>192</v>
      </c>
      <c r="J613" s="3" t="s">
        <v>28</v>
      </c>
      <c r="K613" s="6"/>
      <c r="L613" s="63" t="s">
        <v>90</v>
      </c>
      <c r="M613" s="7"/>
      <c r="N613" s="6"/>
      <c r="O613" s="9">
        <f>0.47*Table2[[#This Row],[قيمة المحضر]]</f>
        <v>0</v>
      </c>
      <c r="P613" s="9">
        <f>0.17*Table2[[#This Row],[قيمة المحضر]]</f>
        <v>0</v>
      </c>
      <c r="Q613" s="9">
        <f t="shared" ca="1" si="62"/>
        <v>0</v>
      </c>
      <c r="R613" s="3"/>
      <c r="S613" s="3"/>
      <c r="T613" s="9" t="str">
        <f t="shared" si="63"/>
        <v>-</v>
      </c>
      <c r="U613" s="3" t="s">
        <v>25</v>
      </c>
      <c r="V613" s="9" t="str">
        <f t="shared" si="64"/>
        <v>-</v>
      </c>
      <c r="W613" s="4"/>
      <c r="X613" s="38"/>
      <c r="Y613" s="1">
        <f t="shared" ca="1" si="57"/>
        <v>46162</v>
      </c>
      <c r="Z613" s="1" cm="1">
        <f t="array" ref="Z613">IF(D613&gt;DATE(2015,5,16),0,
K613*
(
INT((MIN(Y613,DATE(2015,5,16))-D613)/365)
+
CEILING(MOD((MIN(Y613,DATE(2015,5,16))-D613)/365,1),0.25)
)
*
_xlfn.SWITCH(J613,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13" s="1" cm="1">
        <f t="array" aca="1" ref="AA613" ca="1">IF(Y613&lt;DATE(2015,5,17),0,
K613*
(
INT((MIN(Y613,DATE(2018,9,23))-MAX(D613,DATE(2015,5,17)))/365)
+
CEILING(MOD((MIN(Y613,DATE(2018,9,23))-MAX(D613,DATE(2015,5,17)))/365,1),0.25)
)
*
_xlfn.SWITCH(J613,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13" s="1" cm="1">
        <f t="array" aca="1" ref="AB613" ca="1">IF(Y613&lt;DATE(2018,9,24),0,
IF(J613="زراعة",
K613*
(
INT((MIN(Y613,DATE(2023,4,30))-MAX(D613,DATE(2018,9,24)))/365)
+
CEILING(MOD((MIN(Y613,DATE(2023,4,30))-MAX(D613,DATE(2018,9,24)))/365,1),0.25)
)
*1,
K613*
(
DATEDIF(MAX(D613,DATE(2018,9,24)),MIN(Y613,DATE(2023,4,30)),"m")+1
)
*
_xlfn.SWITCH(J613,
"موقف/تندة",IF(D613&lt;DATE(2019,11,30),6,30),
"تشوينات",IF(D613&lt;DATE(2019,11,30),4,20),
"مشاتل",IF(D613&lt;DATE(2019,11,30),2,10),
"كافيتيريا",IF(D613&lt;DATE(2019,11,30),30,150),
"نوادي",IF(D613&lt;DATE(2019,11,30),6,30),
"رسو مراكب",IF(D613&lt;DATE(2019,11,30),2,10),
"مباني",IF(D613&lt;DATE(2018,9,24),2,10),
"عشش",IF(D613&lt;DATE(2019,11,30),2,10),
"كشك (تجاري/صناعي)",IF(D613&lt;DATE(2019,11,30),10,50),
"ردم",20,
0)))</f>
        <v>0</v>
      </c>
      <c r="AC613" s="1" cm="1">
        <f t="array" aca="1" ref="AC613" ca="1">IF(Y613&lt;DATE(2023,5,1),0,
IF(J613="زراعة",
K613*
(
INT((Y613-MAX(DATE(2023,5,1),D613))/365)
+
CEILING(MOD((Y613-MAX(DATE(2023,5,1),D613))/365,1),0.25)
)
*3,
IF(J613="ردم",
K613*20,
K613*
(
DATEDIF(MAX(DATE(2023,5,1),D613),Y613,"m")+1
)
*
_xlfn.SWITCH(J613,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13" s="1">
        <f t="shared" ca="1" si="58"/>
        <v>55</v>
      </c>
    </row>
    <row r="614" spans="1:30" ht="18.75" x14ac:dyDescent="0.25">
      <c r="A614" s="52">
        <v>551</v>
      </c>
      <c r="B614" s="6">
        <v>14</v>
      </c>
      <c r="C614" s="6">
        <v>2020</v>
      </c>
      <c r="D614" s="7" t="s">
        <v>755</v>
      </c>
      <c r="E614" s="12"/>
      <c r="F614" s="6"/>
      <c r="G614" s="6" t="s">
        <v>778</v>
      </c>
      <c r="H614" s="3"/>
      <c r="I614" s="63" t="s">
        <v>192</v>
      </c>
      <c r="J614" s="3" t="s">
        <v>28</v>
      </c>
      <c r="K614" s="6"/>
      <c r="L614" s="63" t="s">
        <v>90</v>
      </c>
      <c r="M614" s="7"/>
      <c r="N614" s="6"/>
      <c r="O614" s="9">
        <f>0.47*Table2[[#This Row],[قيمة المحضر]]</f>
        <v>0</v>
      </c>
      <c r="P614" s="9">
        <f>0.17*Table2[[#This Row],[قيمة المحضر]]</f>
        <v>0</v>
      </c>
      <c r="Q614" s="9">
        <f t="shared" ca="1" si="62"/>
        <v>0</v>
      </c>
      <c r="R614" s="3"/>
      <c r="S614" s="3"/>
      <c r="T614" s="9" t="str">
        <f t="shared" si="63"/>
        <v>-</v>
      </c>
      <c r="U614" s="3" t="s">
        <v>25</v>
      </c>
      <c r="V614" s="9" t="str">
        <f t="shared" si="64"/>
        <v>-</v>
      </c>
      <c r="W614" s="4"/>
      <c r="X614" s="38"/>
      <c r="Y614" s="1">
        <f t="shared" ca="1" si="57"/>
        <v>46162</v>
      </c>
      <c r="Z614" s="1" cm="1">
        <f t="array" ref="Z614">IF(D614&gt;DATE(2015,5,16),0,
K614*
(
INT((MIN(Y614,DATE(2015,5,16))-D614)/365)
+
CEILING(MOD((MIN(Y614,DATE(2015,5,16))-D614)/365,1),0.25)
)
*
_xlfn.SWITCH(J614,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14" s="1" cm="1">
        <f t="array" aca="1" ref="AA614" ca="1">IF(Y614&lt;DATE(2015,5,17),0,
K614*
(
INT((MIN(Y614,DATE(2018,9,23))-MAX(D614,DATE(2015,5,17)))/365)
+
CEILING(MOD((MIN(Y614,DATE(2018,9,23))-MAX(D614,DATE(2015,5,17)))/365,1),0.25)
)
*
_xlfn.SWITCH(J614,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14" s="1" cm="1">
        <f t="array" aca="1" ref="AB614" ca="1">IF(Y614&lt;DATE(2018,9,24),0,
IF(J614="زراعة",
K614*
(
INT((MIN(Y614,DATE(2023,4,30))-MAX(D614,DATE(2018,9,24)))/365)
+
CEILING(MOD((MIN(Y614,DATE(2023,4,30))-MAX(D614,DATE(2018,9,24)))/365,1),0.25)
)
*1,
K614*
(
DATEDIF(MAX(D614,DATE(2018,9,24)),MIN(Y614,DATE(2023,4,30)),"m")+1
)
*
_xlfn.SWITCH(J614,
"موقف/تندة",IF(D614&lt;DATE(2019,11,30),6,30),
"تشوينات",IF(D614&lt;DATE(2019,11,30),4,20),
"مشاتل",IF(D614&lt;DATE(2019,11,30),2,10),
"كافيتيريا",IF(D614&lt;DATE(2019,11,30),30,150),
"نوادي",IF(D614&lt;DATE(2019,11,30),6,30),
"رسو مراكب",IF(D614&lt;DATE(2019,11,30),2,10),
"مباني",IF(D614&lt;DATE(2018,9,24),2,10),
"عشش",IF(D614&lt;DATE(2019,11,30),2,10),
"كشك (تجاري/صناعي)",IF(D614&lt;DATE(2019,11,30),10,50),
"ردم",20,
0)))</f>
        <v>0</v>
      </c>
      <c r="AC614" s="1" cm="1">
        <f t="array" aca="1" ref="AC614" ca="1">IF(Y614&lt;DATE(2023,5,1),0,
IF(J614="زراعة",
K614*
(
INT((Y614-MAX(DATE(2023,5,1),D614))/365)
+
CEILING(MOD((Y614-MAX(DATE(2023,5,1),D614))/365,1),0.25)
)
*3,
IF(J614="ردم",
K614*20,
K614*
(
DATEDIF(MAX(DATE(2023,5,1),D614),Y614,"m")+1
)
*
_xlfn.SWITCH(J614,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14" s="1">
        <f t="shared" ca="1" si="58"/>
        <v>55</v>
      </c>
    </row>
    <row r="615" spans="1:30" ht="18.75" x14ac:dyDescent="0.25">
      <c r="A615" s="52">
        <v>552</v>
      </c>
      <c r="B615" s="6">
        <v>15</v>
      </c>
      <c r="C615" s="6">
        <v>2020</v>
      </c>
      <c r="D615" s="7" t="s">
        <v>755</v>
      </c>
      <c r="E615" s="12"/>
      <c r="F615" s="6"/>
      <c r="G615" s="6" t="s">
        <v>779</v>
      </c>
      <c r="H615" s="3"/>
      <c r="I615" s="63" t="s">
        <v>192</v>
      </c>
      <c r="J615" s="3" t="s">
        <v>28</v>
      </c>
      <c r="K615" s="6"/>
      <c r="L615" s="63" t="s">
        <v>90</v>
      </c>
      <c r="M615" s="7"/>
      <c r="N615" s="6"/>
      <c r="O615" s="9">
        <f>0.47*Table2[[#This Row],[قيمة المحضر]]</f>
        <v>0</v>
      </c>
      <c r="P615" s="9">
        <f>0.17*Table2[[#This Row],[قيمة المحضر]]</f>
        <v>0</v>
      </c>
      <c r="Q615" s="9">
        <f t="shared" ca="1" si="62"/>
        <v>0</v>
      </c>
      <c r="R615" s="3"/>
      <c r="S615" s="3"/>
      <c r="T615" s="9" t="str">
        <f t="shared" si="63"/>
        <v>-</v>
      </c>
      <c r="U615" s="3" t="s">
        <v>25</v>
      </c>
      <c r="V615" s="9" t="str">
        <f t="shared" si="64"/>
        <v>-</v>
      </c>
      <c r="W615" s="4"/>
      <c r="X615" s="38"/>
      <c r="Y615" s="1">
        <f t="shared" ca="1" si="57"/>
        <v>46162</v>
      </c>
      <c r="Z615" s="1" cm="1">
        <f t="array" ref="Z615">IF(D615&gt;DATE(2015,5,16),0,
K615*
(
INT((MIN(Y615,DATE(2015,5,16))-D615)/365)
+
CEILING(MOD((MIN(Y615,DATE(2015,5,16))-D615)/365,1),0.25)
)
*
_xlfn.SWITCH(J615,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15" s="1" cm="1">
        <f t="array" aca="1" ref="AA615" ca="1">IF(Y615&lt;DATE(2015,5,17),0,
K615*
(
INT((MIN(Y615,DATE(2018,9,23))-MAX(D615,DATE(2015,5,17)))/365)
+
CEILING(MOD((MIN(Y615,DATE(2018,9,23))-MAX(D615,DATE(2015,5,17)))/365,1),0.25)
)
*
_xlfn.SWITCH(J615,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15" s="1" cm="1">
        <f t="array" aca="1" ref="AB615" ca="1">IF(Y615&lt;DATE(2018,9,24),0,
IF(J615="زراعة",
K615*
(
INT((MIN(Y615,DATE(2023,4,30))-MAX(D615,DATE(2018,9,24)))/365)
+
CEILING(MOD((MIN(Y615,DATE(2023,4,30))-MAX(D615,DATE(2018,9,24)))/365,1),0.25)
)
*1,
K615*
(
DATEDIF(MAX(D615,DATE(2018,9,24)),MIN(Y615,DATE(2023,4,30)),"m")+1
)
*
_xlfn.SWITCH(J615,
"موقف/تندة",IF(D615&lt;DATE(2019,11,30),6,30),
"تشوينات",IF(D615&lt;DATE(2019,11,30),4,20),
"مشاتل",IF(D615&lt;DATE(2019,11,30),2,10),
"كافيتيريا",IF(D615&lt;DATE(2019,11,30),30,150),
"نوادي",IF(D615&lt;DATE(2019,11,30),6,30),
"رسو مراكب",IF(D615&lt;DATE(2019,11,30),2,10),
"مباني",IF(D615&lt;DATE(2018,9,24),2,10),
"عشش",IF(D615&lt;DATE(2019,11,30),2,10),
"كشك (تجاري/صناعي)",IF(D615&lt;DATE(2019,11,30),10,50),
"ردم",20,
0)))</f>
        <v>0</v>
      </c>
      <c r="AC615" s="1" cm="1">
        <f t="array" aca="1" ref="AC615" ca="1">IF(Y615&lt;DATE(2023,5,1),0,
IF(J615="زراعة",
K615*
(
INT((Y615-MAX(DATE(2023,5,1),D615))/365)
+
CEILING(MOD((Y615-MAX(DATE(2023,5,1),D615))/365,1),0.25)
)
*3,
IF(J615="ردم",
K615*20,
K615*
(
DATEDIF(MAX(DATE(2023,5,1),D615),Y615,"m")+1
)
*
_xlfn.SWITCH(J615,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15" s="1">
        <f t="shared" ca="1" si="58"/>
        <v>55</v>
      </c>
    </row>
    <row r="616" spans="1:30" ht="18.75" x14ac:dyDescent="0.25">
      <c r="A616" s="52">
        <v>553</v>
      </c>
      <c r="B616" s="6">
        <v>16</v>
      </c>
      <c r="C616" s="6">
        <v>2020</v>
      </c>
      <c r="D616" s="7" t="s">
        <v>755</v>
      </c>
      <c r="E616" s="12"/>
      <c r="F616" s="6"/>
      <c r="G616" s="6" t="s">
        <v>780</v>
      </c>
      <c r="H616" s="3"/>
      <c r="I616" s="63" t="s">
        <v>192</v>
      </c>
      <c r="J616" s="3" t="s">
        <v>28</v>
      </c>
      <c r="K616" s="6"/>
      <c r="L616" s="63" t="s">
        <v>90</v>
      </c>
      <c r="M616" s="7"/>
      <c r="N616" s="6"/>
      <c r="O616" s="9">
        <f>0.47*Table2[[#This Row],[قيمة المحضر]]</f>
        <v>0</v>
      </c>
      <c r="P616" s="9">
        <f>0.17*Table2[[#This Row],[قيمة المحضر]]</f>
        <v>0</v>
      </c>
      <c r="Q616" s="9">
        <f t="shared" ca="1" si="62"/>
        <v>0</v>
      </c>
      <c r="R616" s="3"/>
      <c r="S616" s="3"/>
      <c r="T616" s="9" t="str">
        <f t="shared" si="63"/>
        <v>-</v>
      </c>
      <c r="U616" s="3" t="s">
        <v>25</v>
      </c>
      <c r="V616" s="9" t="str">
        <f t="shared" si="64"/>
        <v>-</v>
      </c>
      <c r="W616" s="4"/>
      <c r="X616" s="38"/>
      <c r="Y616" s="1">
        <f t="shared" ca="1" si="57"/>
        <v>46162</v>
      </c>
      <c r="Z616" s="1" cm="1">
        <f t="array" ref="Z616">IF(D616&gt;DATE(2015,5,16),0,
K616*
(
INT((MIN(Y616,DATE(2015,5,16))-D616)/365)
+
CEILING(MOD((MIN(Y616,DATE(2015,5,16))-D616)/365,1),0.25)
)
*
_xlfn.SWITCH(J616,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16" s="1" cm="1">
        <f t="array" aca="1" ref="AA616" ca="1">IF(Y616&lt;DATE(2015,5,17),0,
K616*
(
INT((MIN(Y616,DATE(2018,9,23))-MAX(D616,DATE(2015,5,17)))/365)
+
CEILING(MOD((MIN(Y616,DATE(2018,9,23))-MAX(D616,DATE(2015,5,17)))/365,1),0.25)
)
*
_xlfn.SWITCH(J616,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16" s="1" cm="1">
        <f t="array" aca="1" ref="AB616" ca="1">IF(Y616&lt;DATE(2018,9,24),0,
IF(J616="زراعة",
K616*
(
INT((MIN(Y616,DATE(2023,4,30))-MAX(D616,DATE(2018,9,24)))/365)
+
CEILING(MOD((MIN(Y616,DATE(2023,4,30))-MAX(D616,DATE(2018,9,24)))/365,1),0.25)
)
*1,
K616*
(
DATEDIF(MAX(D616,DATE(2018,9,24)),MIN(Y616,DATE(2023,4,30)),"m")+1
)
*
_xlfn.SWITCH(J616,
"موقف/تندة",IF(D616&lt;DATE(2019,11,30),6,30),
"تشوينات",IF(D616&lt;DATE(2019,11,30),4,20),
"مشاتل",IF(D616&lt;DATE(2019,11,30),2,10),
"كافيتيريا",IF(D616&lt;DATE(2019,11,30),30,150),
"نوادي",IF(D616&lt;DATE(2019,11,30),6,30),
"رسو مراكب",IF(D616&lt;DATE(2019,11,30),2,10),
"مباني",IF(D616&lt;DATE(2018,9,24),2,10),
"عشش",IF(D616&lt;DATE(2019,11,30),2,10),
"كشك (تجاري/صناعي)",IF(D616&lt;DATE(2019,11,30),10,50),
"ردم",20,
0)))</f>
        <v>0</v>
      </c>
      <c r="AC616" s="1" cm="1">
        <f t="array" aca="1" ref="AC616" ca="1">IF(Y616&lt;DATE(2023,5,1),0,
IF(J616="زراعة",
K616*
(
INT((Y616-MAX(DATE(2023,5,1),D616))/365)
+
CEILING(MOD((Y616-MAX(DATE(2023,5,1),D616))/365,1),0.25)
)
*3,
IF(J616="ردم",
K616*20,
K616*
(
DATEDIF(MAX(DATE(2023,5,1),D616),Y616,"m")+1
)
*
_xlfn.SWITCH(J616,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16" s="1">
        <f t="shared" ca="1" si="58"/>
        <v>55</v>
      </c>
    </row>
    <row r="617" spans="1:30" ht="18.75" x14ac:dyDescent="0.25">
      <c r="A617" s="52">
        <v>554</v>
      </c>
      <c r="B617" s="6">
        <v>17</v>
      </c>
      <c r="C617" s="6">
        <v>2020</v>
      </c>
      <c r="D617" s="7" t="s">
        <v>755</v>
      </c>
      <c r="E617" s="12"/>
      <c r="F617" s="6"/>
      <c r="G617" s="6" t="s">
        <v>781</v>
      </c>
      <c r="H617" s="3"/>
      <c r="I617" s="63" t="s">
        <v>192</v>
      </c>
      <c r="J617" s="3" t="s">
        <v>28</v>
      </c>
      <c r="K617" s="6"/>
      <c r="L617" s="63" t="s">
        <v>90</v>
      </c>
      <c r="M617" s="7"/>
      <c r="N617" s="6"/>
      <c r="O617" s="9">
        <f>0.47*Table2[[#This Row],[قيمة المحضر]]</f>
        <v>0</v>
      </c>
      <c r="P617" s="9">
        <f>0.17*Table2[[#This Row],[قيمة المحضر]]</f>
        <v>0</v>
      </c>
      <c r="Q617" s="9">
        <f t="shared" ca="1" si="62"/>
        <v>0</v>
      </c>
      <c r="R617" s="3"/>
      <c r="S617" s="3"/>
      <c r="T617" s="9" t="str">
        <f t="shared" si="63"/>
        <v>-</v>
      </c>
      <c r="U617" s="3" t="s">
        <v>25</v>
      </c>
      <c r="V617" s="9" t="str">
        <f t="shared" si="64"/>
        <v>-</v>
      </c>
      <c r="W617" s="4"/>
      <c r="X617" s="38"/>
      <c r="Y617" s="1">
        <f t="shared" ca="1" si="57"/>
        <v>46162</v>
      </c>
      <c r="Z617" s="1" cm="1">
        <f t="array" ref="Z617">IF(D617&gt;DATE(2015,5,16),0,
K617*
(
INT((MIN(Y617,DATE(2015,5,16))-D617)/365)
+
CEILING(MOD((MIN(Y617,DATE(2015,5,16))-D617)/365,1),0.25)
)
*
_xlfn.SWITCH(J617,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17" s="1" cm="1">
        <f t="array" aca="1" ref="AA617" ca="1">IF(Y617&lt;DATE(2015,5,17),0,
K617*
(
INT((MIN(Y617,DATE(2018,9,23))-MAX(D617,DATE(2015,5,17)))/365)
+
CEILING(MOD((MIN(Y617,DATE(2018,9,23))-MAX(D617,DATE(2015,5,17)))/365,1),0.25)
)
*
_xlfn.SWITCH(J617,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17" s="1" cm="1">
        <f t="array" aca="1" ref="AB617" ca="1">IF(Y617&lt;DATE(2018,9,24),0,
IF(J617="زراعة",
K617*
(
INT((MIN(Y617,DATE(2023,4,30))-MAX(D617,DATE(2018,9,24)))/365)
+
CEILING(MOD((MIN(Y617,DATE(2023,4,30))-MAX(D617,DATE(2018,9,24)))/365,1),0.25)
)
*1,
K617*
(
DATEDIF(MAX(D617,DATE(2018,9,24)),MIN(Y617,DATE(2023,4,30)),"m")+1
)
*
_xlfn.SWITCH(J617,
"موقف/تندة",IF(D617&lt;DATE(2019,11,30),6,30),
"تشوينات",IF(D617&lt;DATE(2019,11,30),4,20),
"مشاتل",IF(D617&lt;DATE(2019,11,30),2,10),
"كافيتيريا",IF(D617&lt;DATE(2019,11,30),30,150),
"نوادي",IF(D617&lt;DATE(2019,11,30),6,30),
"رسو مراكب",IF(D617&lt;DATE(2019,11,30),2,10),
"مباني",IF(D617&lt;DATE(2018,9,24),2,10),
"عشش",IF(D617&lt;DATE(2019,11,30),2,10),
"كشك (تجاري/صناعي)",IF(D617&lt;DATE(2019,11,30),10,50),
"ردم",20,
0)))</f>
        <v>0</v>
      </c>
      <c r="AC617" s="1" cm="1">
        <f t="array" aca="1" ref="AC617" ca="1">IF(Y617&lt;DATE(2023,5,1),0,
IF(J617="زراعة",
K617*
(
INT((Y617-MAX(DATE(2023,5,1),D617))/365)
+
CEILING(MOD((Y617-MAX(DATE(2023,5,1),D617))/365,1),0.25)
)
*3,
IF(J617="ردم",
K617*20,
K617*
(
DATEDIF(MAX(DATE(2023,5,1),D617),Y617,"m")+1
)
*
_xlfn.SWITCH(J617,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17" s="1">
        <f t="shared" ca="1" si="58"/>
        <v>55</v>
      </c>
    </row>
    <row r="618" spans="1:30" ht="18.75" x14ac:dyDescent="0.25">
      <c r="A618" s="52">
        <v>555</v>
      </c>
      <c r="B618" s="6">
        <v>18</v>
      </c>
      <c r="C618" s="6">
        <v>2020</v>
      </c>
      <c r="D618" s="7" t="s">
        <v>755</v>
      </c>
      <c r="E618" s="12"/>
      <c r="F618" s="6"/>
      <c r="G618" s="6" t="s">
        <v>303</v>
      </c>
      <c r="H618" s="3"/>
      <c r="I618" s="63" t="s">
        <v>192</v>
      </c>
      <c r="J618" s="3" t="s">
        <v>28</v>
      </c>
      <c r="K618" s="6"/>
      <c r="L618" s="63" t="s">
        <v>90</v>
      </c>
      <c r="M618" s="7"/>
      <c r="N618" s="6"/>
      <c r="O618" s="9">
        <f>0.47*Table2[[#This Row],[قيمة المحضر]]</f>
        <v>0</v>
      </c>
      <c r="P618" s="9">
        <f>0.17*Table2[[#This Row],[قيمة المحضر]]</f>
        <v>0</v>
      </c>
      <c r="Q618" s="9">
        <f t="shared" ca="1" si="62"/>
        <v>0</v>
      </c>
      <c r="R618" s="3"/>
      <c r="S618" s="3"/>
      <c r="T618" s="9" t="str">
        <f t="shared" si="63"/>
        <v>-</v>
      </c>
      <c r="U618" s="3" t="s">
        <v>25</v>
      </c>
      <c r="V618" s="9" t="str">
        <f t="shared" si="64"/>
        <v>-</v>
      </c>
      <c r="W618" s="4"/>
      <c r="X618" s="38"/>
      <c r="Y618" s="1">
        <f t="shared" ca="1" si="57"/>
        <v>46162</v>
      </c>
      <c r="Z618" s="1" cm="1">
        <f t="array" ref="Z618">IF(D618&gt;DATE(2015,5,16),0,
K618*
(
INT((MIN(Y618,DATE(2015,5,16))-D618)/365)
+
CEILING(MOD((MIN(Y618,DATE(2015,5,16))-D618)/365,1),0.25)
)
*
_xlfn.SWITCH(J618,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18" s="1" cm="1">
        <f t="array" aca="1" ref="AA618" ca="1">IF(Y618&lt;DATE(2015,5,17),0,
K618*
(
INT((MIN(Y618,DATE(2018,9,23))-MAX(D618,DATE(2015,5,17)))/365)
+
CEILING(MOD((MIN(Y618,DATE(2018,9,23))-MAX(D618,DATE(2015,5,17)))/365,1),0.25)
)
*
_xlfn.SWITCH(J618,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18" s="1" cm="1">
        <f t="array" aca="1" ref="AB618" ca="1">IF(Y618&lt;DATE(2018,9,24),0,
IF(J618="زراعة",
K618*
(
INT((MIN(Y618,DATE(2023,4,30))-MAX(D618,DATE(2018,9,24)))/365)
+
CEILING(MOD((MIN(Y618,DATE(2023,4,30))-MAX(D618,DATE(2018,9,24)))/365,1),0.25)
)
*1,
K618*
(
DATEDIF(MAX(D618,DATE(2018,9,24)),MIN(Y618,DATE(2023,4,30)),"m")+1
)
*
_xlfn.SWITCH(J618,
"موقف/تندة",IF(D618&lt;DATE(2019,11,30),6,30),
"تشوينات",IF(D618&lt;DATE(2019,11,30),4,20),
"مشاتل",IF(D618&lt;DATE(2019,11,30),2,10),
"كافيتيريا",IF(D618&lt;DATE(2019,11,30),30,150),
"نوادي",IF(D618&lt;DATE(2019,11,30),6,30),
"رسو مراكب",IF(D618&lt;DATE(2019,11,30),2,10),
"مباني",IF(D618&lt;DATE(2018,9,24),2,10),
"عشش",IF(D618&lt;DATE(2019,11,30),2,10),
"كشك (تجاري/صناعي)",IF(D618&lt;DATE(2019,11,30),10,50),
"ردم",20,
0)))</f>
        <v>0</v>
      </c>
      <c r="AC618" s="1" cm="1">
        <f t="array" aca="1" ref="AC618" ca="1">IF(Y618&lt;DATE(2023,5,1),0,
IF(J618="زراعة",
K618*
(
INT((Y618-MAX(DATE(2023,5,1),D618))/365)
+
CEILING(MOD((Y618-MAX(DATE(2023,5,1),D618))/365,1),0.25)
)
*3,
IF(J618="ردم",
K618*20,
K618*
(
DATEDIF(MAX(DATE(2023,5,1),D618),Y618,"m")+1
)
*
_xlfn.SWITCH(J618,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18" s="1">
        <f t="shared" ca="1" si="58"/>
        <v>55</v>
      </c>
    </row>
    <row r="619" spans="1:30" ht="18.75" x14ac:dyDescent="0.25">
      <c r="A619" s="52">
        <v>556</v>
      </c>
      <c r="B619" s="6">
        <v>19</v>
      </c>
      <c r="C619" s="6">
        <v>2020</v>
      </c>
      <c r="D619" s="7" t="s">
        <v>756</v>
      </c>
      <c r="E619" s="12"/>
      <c r="F619" s="6"/>
      <c r="G619" s="6" t="s">
        <v>782</v>
      </c>
      <c r="H619" s="3"/>
      <c r="I619" s="63" t="s">
        <v>50</v>
      </c>
      <c r="J619" s="3" t="s">
        <v>27</v>
      </c>
      <c r="K619" s="6"/>
      <c r="L619" s="63" t="s">
        <v>90</v>
      </c>
      <c r="M619" s="7"/>
      <c r="N619" s="6"/>
      <c r="O619" s="9">
        <f>0.47*Table2[[#This Row],[قيمة المحضر]]</f>
        <v>0</v>
      </c>
      <c r="P619" s="9">
        <f>0.17*Table2[[#This Row],[قيمة المحضر]]</f>
        <v>0</v>
      </c>
      <c r="Q619" s="9">
        <f t="shared" ca="1" si="62"/>
        <v>0</v>
      </c>
      <c r="R619" s="3"/>
      <c r="S619" s="3"/>
      <c r="T619" s="9" t="str">
        <f t="shared" si="63"/>
        <v>-</v>
      </c>
      <c r="U619" s="3" t="s">
        <v>25</v>
      </c>
      <c r="V619" s="9" t="str">
        <f t="shared" si="64"/>
        <v>-</v>
      </c>
      <c r="W619" s="4"/>
      <c r="X619" s="38"/>
      <c r="Y619" s="1">
        <f t="shared" ca="1" si="57"/>
        <v>46162</v>
      </c>
      <c r="Z619" s="1" cm="1">
        <f t="array" ref="Z619">IF(D619&gt;DATE(2015,5,16),0,
K619*
(
INT((MIN(Y619,DATE(2015,5,16))-D619)/365)
+
CEILING(MOD((MIN(Y619,DATE(2015,5,16))-D619)/365,1),0.25)
)
*
_xlfn.SWITCH(J619,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19" s="1" cm="1">
        <f t="array" aca="1" ref="AA619" ca="1">IF(Y619&lt;DATE(2015,5,17),0,
K619*
(
INT((MIN(Y619,DATE(2018,9,23))-MAX(D619,DATE(2015,5,17)))/365)
+
CEILING(MOD((MIN(Y619,DATE(2018,9,23))-MAX(D619,DATE(2015,5,17)))/365,1),0.25)
)
*
_xlfn.SWITCH(J619,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19" s="1" cm="1">
        <f t="array" aca="1" ref="AB619" ca="1">IF(Y619&lt;DATE(2018,9,24),0,
IF(J619="زراعة",
K619*
(
INT((MIN(Y619,DATE(2023,4,30))-MAX(D619,DATE(2018,9,24)))/365)
+
CEILING(MOD((MIN(Y619,DATE(2023,4,30))-MAX(D619,DATE(2018,9,24)))/365,1),0.25)
)
*1,
K619*
(
DATEDIF(MAX(D619,DATE(2018,9,24)),MIN(Y619,DATE(2023,4,30)),"m")+1
)
*
_xlfn.SWITCH(J619,
"موقف/تندة",IF(D619&lt;DATE(2019,11,30),6,30),
"تشوينات",IF(D619&lt;DATE(2019,11,30),4,20),
"مشاتل",IF(D619&lt;DATE(2019,11,30),2,10),
"كافيتيريا",IF(D619&lt;DATE(2019,11,30),30,150),
"نوادي",IF(D619&lt;DATE(2019,11,30),6,30),
"رسو مراكب",IF(D619&lt;DATE(2019,11,30),2,10),
"مباني",IF(D619&lt;DATE(2018,9,24),2,10),
"عشش",IF(D619&lt;DATE(2019,11,30),2,10),
"كشك (تجاري/صناعي)",IF(D619&lt;DATE(2019,11,30),10,50),
"ردم",20,
0)))</f>
        <v>0</v>
      </c>
      <c r="AC619" s="1" cm="1">
        <f t="array" aca="1" ref="AC619" ca="1">IF(Y619&lt;DATE(2023,5,1),0,
IF(J619="زراعة",
K619*
(
INT((Y619-MAX(DATE(2023,5,1),D619))/365)
+
CEILING(MOD((Y619-MAX(DATE(2023,5,1),D619))/365,1),0.25)
)
*3,
IF(J619="ردم",
K619*20,
K619*
(
DATEDIF(MAX(DATE(2023,5,1),D619),Y619,"m")+1
)
*
_xlfn.SWITCH(J619,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19" s="1">
        <f t="shared" ca="1" si="58"/>
        <v>55</v>
      </c>
    </row>
    <row r="620" spans="1:30" ht="18.75" x14ac:dyDescent="0.25">
      <c r="A620" s="52">
        <v>557</v>
      </c>
      <c r="B620" s="6">
        <v>20</v>
      </c>
      <c r="C620" s="6">
        <v>2020</v>
      </c>
      <c r="D620" s="7" t="s">
        <v>756</v>
      </c>
      <c r="E620" s="12"/>
      <c r="F620" s="6"/>
      <c r="G620" s="6" t="s">
        <v>783</v>
      </c>
      <c r="H620" s="3"/>
      <c r="I620" s="63" t="s">
        <v>50</v>
      </c>
      <c r="J620" s="3" t="s">
        <v>580</v>
      </c>
      <c r="K620" s="6"/>
      <c r="L620" s="63" t="s">
        <v>90</v>
      </c>
      <c r="M620" s="7"/>
      <c r="N620" s="6"/>
      <c r="O620" s="9">
        <f>0.47*Table2[[#This Row],[قيمة المحضر]]</f>
        <v>0</v>
      </c>
      <c r="P620" s="9">
        <f>0.17*Table2[[#This Row],[قيمة المحضر]]</f>
        <v>0</v>
      </c>
      <c r="Q620" s="9">
        <f t="shared" ca="1" si="62"/>
        <v>0</v>
      </c>
      <c r="R620" s="3"/>
      <c r="S620" s="3"/>
      <c r="T620" s="9" t="str">
        <f t="shared" si="63"/>
        <v>-</v>
      </c>
      <c r="U620" s="3" t="s">
        <v>25</v>
      </c>
      <c r="V620" s="9" t="str">
        <f t="shared" si="64"/>
        <v>-</v>
      </c>
      <c r="W620" s="4"/>
      <c r="X620" s="38"/>
      <c r="Y620" s="1">
        <f t="shared" ca="1" si="57"/>
        <v>46162</v>
      </c>
      <c r="Z620" s="1" cm="1">
        <f t="array" ref="Z620">IF(D620&gt;DATE(2015,5,16),0,
K620*
(
INT((MIN(Y620,DATE(2015,5,16))-D620)/365)
+
CEILING(MOD((MIN(Y620,DATE(2015,5,16))-D620)/365,1),0.25)
)
*
_xlfn.SWITCH(J620,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20" s="1" cm="1">
        <f t="array" aca="1" ref="AA620" ca="1">IF(Y620&lt;DATE(2015,5,17),0,
K620*
(
INT((MIN(Y620,DATE(2018,9,23))-MAX(D620,DATE(2015,5,17)))/365)
+
CEILING(MOD((MIN(Y620,DATE(2018,9,23))-MAX(D620,DATE(2015,5,17)))/365,1),0.25)
)
*
_xlfn.SWITCH(J620,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20" s="1" cm="1">
        <f t="array" aca="1" ref="AB620" ca="1">IF(Y620&lt;DATE(2018,9,24),0,
IF(J620="زراعة",
K620*
(
INT((MIN(Y620,DATE(2023,4,30))-MAX(D620,DATE(2018,9,24)))/365)
+
CEILING(MOD((MIN(Y620,DATE(2023,4,30))-MAX(D620,DATE(2018,9,24)))/365,1),0.25)
)
*1,
K620*
(
DATEDIF(MAX(D620,DATE(2018,9,24)),MIN(Y620,DATE(2023,4,30)),"m")+1
)
*
_xlfn.SWITCH(J620,
"موقف/تندة",IF(D620&lt;DATE(2019,11,30),6,30),
"تشوينات",IF(D620&lt;DATE(2019,11,30),4,20),
"مشاتل",IF(D620&lt;DATE(2019,11,30),2,10),
"كافيتيريا",IF(D620&lt;DATE(2019,11,30),30,150),
"نوادي",IF(D620&lt;DATE(2019,11,30),6,30),
"رسو مراكب",IF(D620&lt;DATE(2019,11,30),2,10),
"مباني",IF(D620&lt;DATE(2018,9,24),2,10),
"عشش",IF(D620&lt;DATE(2019,11,30),2,10),
"كشك (تجاري/صناعي)",IF(D620&lt;DATE(2019,11,30),10,50),
"ردم",20,
0)))</f>
        <v>0</v>
      </c>
      <c r="AC620" s="1" cm="1">
        <f t="array" aca="1" ref="AC620" ca="1">IF(Y620&lt;DATE(2023,5,1),0,
IF(J620="زراعة",
K620*
(
INT((Y620-MAX(DATE(2023,5,1),D620))/365)
+
CEILING(MOD((Y620-MAX(DATE(2023,5,1),D620))/365,1),0.25)
)
*3,
IF(J620="ردم",
K620*20,
K620*
(
DATEDIF(MAX(DATE(2023,5,1),D620),Y620,"m")+1
)
*
_xlfn.SWITCH(J620,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20" s="1">
        <f t="shared" ca="1" si="58"/>
        <v>55</v>
      </c>
    </row>
    <row r="621" spans="1:30" ht="18.75" x14ac:dyDescent="0.25">
      <c r="A621" s="52">
        <v>558</v>
      </c>
      <c r="B621" s="6">
        <v>21</v>
      </c>
      <c r="C621" s="6">
        <v>2020</v>
      </c>
      <c r="D621" s="7" t="s">
        <v>756</v>
      </c>
      <c r="E621" s="12"/>
      <c r="F621" s="6"/>
      <c r="G621" s="6" t="s">
        <v>784</v>
      </c>
      <c r="H621" s="3"/>
      <c r="I621" s="63" t="s">
        <v>50</v>
      </c>
      <c r="J621" s="3" t="s">
        <v>27</v>
      </c>
      <c r="K621" s="6"/>
      <c r="L621" s="63" t="s">
        <v>90</v>
      </c>
      <c r="M621" s="7"/>
      <c r="N621" s="6"/>
      <c r="O621" s="9">
        <f>0.47*Table2[[#This Row],[قيمة المحضر]]</f>
        <v>0</v>
      </c>
      <c r="P621" s="9">
        <f>0.17*Table2[[#This Row],[قيمة المحضر]]</f>
        <v>0</v>
      </c>
      <c r="Q621" s="9">
        <f t="shared" ca="1" si="62"/>
        <v>0</v>
      </c>
      <c r="R621" s="3"/>
      <c r="S621" s="3"/>
      <c r="T621" s="9" t="str">
        <f t="shared" si="63"/>
        <v>-</v>
      </c>
      <c r="U621" s="3" t="s">
        <v>25</v>
      </c>
      <c r="V621" s="9" t="str">
        <f t="shared" si="64"/>
        <v>-</v>
      </c>
      <c r="W621" s="4"/>
      <c r="X621" s="38"/>
      <c r="Y621" s="1">
        <f t="shared" ca="1" si="57"/>
        <v>46162</v>
      </c>
      <c r="Z621" s="1" cm="1">
        <f t="array" ref="Z621">IF(D621&gt;DATE(2015,5,16),0,
K621*
(
INT((MIN(Y621,DATE(2015,5,16))-D621)/365)
+
CEILING(MOD((MIN(Y621,DATE(2015,5,16))-D621)/365,1),0.25)
)
*
_xlfn.SWITCH(J621,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21" s="1" cm="1">
        <f t="array" aca="1" ref="AA621" ca="1">IF(Y621&lt;DATE(2015,5,17),0,
K621*
(
INT((MIN(Y621,DATE(2018,9,23))-MAX(D621,DATE(2015,5,17)))/365)
+
CEILING(MOD((MIN(Y621,DATE(2018,9,23))-MAX(D621,DATE(2015,5,17)))/365,1),0.25)
)
*
_xlfn.SWITCH(J621,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21" s="1" cm="1">
        <f t="array" aca="1" ref="AB621" ca="1">IF(Y621&lt;DATE(2018,9,24),0,
IF(J621="زراعة",
K621*
(
INT((MIN(Y621,DATE(2023,4,30))-MAX(D621,DATE(2018,9,24)))/365)
+
CEILING(MOD((MIN(Y621,DATE(2023,4,30))-MAX(D621,DATE(2018,9,24)))/365,1),0.25)
)
*1,
K621*
(
DATEDIF(MAX(D621,DATE(2018,9,24)),MIN(Y621,DATE(2023,4,30)),"m")+1
)
*
_xlfn.SWITCH(J621,
"موقف/تندة",IF(D621&lt;DATE(2019,11,30),6,30),
"تشوينات",IF(D621&lt;DATE(2019,11,30),4,20),
"مشاتل",IF(D621&lt;DATE(2019,11,30),2,10),
"كافيتيريا",IF(D621&lt;DATE(2019,11,30),30,150),
"نوادي",IF(D621&lt;DATE(2019,11,30),6,30),
"رسو مراكب",IF(D621&lt;DATE(2019,11,30),2,10),
"مباني",IF(D621&lt;DATE(2018,9,24),2,10),
"عشش",IF(D621&lt;DATE(2019,11,30),2,10),
"كشك (تجاري/صناعي)",IF(D621&lt;DATE(2019,11,30),10,50),
"ردم",20,
0)))</f>
        <v>0</v>
      </c>
      <c r="AC621" s="1" cm="1">
        <f t="array" aca="1" ref="AC621" ca="1">IF(Y621&lt;DATE(2023,5,1),0,
IF(J621="زراعة",
K621*
(
INT((Y621-MAX(DATE(2023,5,1),D621))/365)
+
CEILING(MOD((Y621-MAX(DATE(2023,5,1),D621))/365,1),0.25)
)
*3,
IF(J621="ردم",
K621*20,
K621*
(
DATEDIF(MAX(DATE(2023,5,1),D621),Y621,"m")+1
)
*
_xlfn.SWITCH(J621,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21" s="1">
        <f t="shared" ca="1" si="58"/>
        <v>55</v>
      </c>
    </row>
    <row r="622" spans="1:30" ht="18.75" x14ac:dyDescent="0.25">
      <c r="A622" s="52">
        <v>559</v>
      </c>
      <c r="B622" s="6">
        <v>22</v>
      </c>
      <c r="C622" s="6">
        <v>2020</v>
      </c>
      <c r="D622" s="7" t="s">
        <v>756</v>
      </c>
      <c r="E622" s="12"/>
      <c r="F622" s="6"/>
      <c r="G622" s="6" t="s">
        <v>785</v>
      </c>
      <c r="H622" s="3"/>
      <c r="I622" s="63" t="s">
        <v>50</v>
      </c>
      <c r="J622" s="3" t="s">
        <v>27</v>
      </c>
      <c r="K622" s="6"/>
      <c r="L622" s="63" t="s">
        <v>90</v>
      </c>
      <c r="M622" s="7"/>
      <c r="N622" s="6"/>
      <c r="O622" s="9">
        <f>0.47*Table2[[#This Row],[قيمة المحضر]]</f>
        <v>0</v>
      </c>
      <c r="P622" s="9">
        <f>0.17*Table2[[#This Row],[قيمة المحضر]]</f>
        <v>0</v>
      </c>
      <c r="Q622" s="9">
        <f t="shared" ca="1" si="62"/>
        <v>0</v>
      </c>
      <c r="R622" s="3"/>
      <c r="S622" s="3"/>
      <c r="T622" s="9" t="str">
        <f t="shared" si="63"/>
        <v>-</v>
      </c>
      <c r="U622" s="3" t="s">
        <v>25</v>
      </c>
      <c r="V622" s="9" t="str">
        <f t="shared" si="64"/>
        <v>-</v>
      </c>
      <c r="W622" s="4"/>
      <c r="X622" s="38"/>
      <c r="Y622" s="1">
        <f t="shared" ca="1" si="57"/>
        <v>46162</v>
      </c>
      <c r="Z622" s="1" cm="1">
        <f t="array" ref="Z622">IF(D622&gt;DATE(2015,5,16),0,
K622*
(
INT((MIN(Y622,DATE(2015,5,16))-D622)/365)
+
CEILING(MOD((MIN(Y622,DATE(2015,5,16))-D622)/365,1),0.25)
)
*
_xlfn.SWITCH(J622,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22" s="1" cm="1">
        <f t="array" aca="1" ref="AA622" ca="1">IF(Y622&lt;DATE(2015,5,17),0,
K622*
(
INT((MIN(Y622,DATE(2018,9,23))-MAX(D622,DATE(2015,5,17)))/365)
+
CEILING(MOD((MIN(Y622,DATE(2018,9,23))-MAX(D622,DATE(2015,5,17)))/365,1),0.25)
)
*
_xlfn.SWITCH(J622,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22" s="1" cm="1">
        <f t="array" aca="1" ref="AB622" ca="1">IF(Y622&lt;DATE(2018,9,24),0,
IF(J622="زراعة",
K622*
(
INT((MIN(Y622,DATE(2023,4,30))-MAX(D622,DATE(2018,9,24)))/365)
+
CEILING(MOD((MIN(Y622,DATE(2023,4,30))-MAX(D622,DATE(2018,9,24)))/365,1),0.25)
)
*1,
K622*
(
DATEDIF(MAX(D622,DATE(2018,9,24)),MIN(Y622,DATE(2023,4,30)),"m")+1
)
*
_xlfn.SWITCH(J622,
"موقف/تندة",IF(D622&lt;DATE(2019,11,30),6,30),
"تشوينات",IF(D622&lt;DATE(2019,11,30),4,20),
"مشاتل",IF(D622&lt;DATE(2019,11,30),2,10),
"كافيتيريا",IF(D622&lt;DATE(2019,11,30),30,150),
"نوادي",IF(D622&lt;DATE(2019,11,30),6,30),
"رسو مراكب",IF(D622&lt;DATE(2019,11,30),2,10),
"مباني",IF(D622&lt;DATE(2018,9,24),2,10),
"عشش",IF(D622&lt;DATE(2019,11,30),2,10),
"كشك (تجاري/صناعي)",IF(D622&lt;DATE(2019,11,30),10,50),
"ردم",20,
0)))</f>
        <v>0</v>
      </c>
      <c r="AC622" s="1" cm="1">
        <f t="array" aca="1" ref="AC622" ca="1">IF(Y622&lt;DATE(2023,5,1),0,
IF(J622="زراعة",
K622*
(
INT((Y622-MAX(DATE(2023,5,1),D622))/365)
+
CEILING(MOD((Y622-MAX(DATE(2023,5,1),D622))/365,1),0.25)
)
*3,
IF(J622="ردم",
K622*20,
K622*
(
DATEDIF(MAX(DATE(2023,5,1),D622),Y622,"m")+1
)
*
_xlfn.SWITCH(J622,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22" s="1">
        <f t="shared" ca="1" si="58"/>
        <v>55</v>
      </c>
    </row>
    <row r="623" spans="1:30" ht="18.75" x14ac:dyDescent="0.25">
      <c r="A623" s="52">
        <v>560</v>
      </c>
      <c r="B623" s="6">
        <v>23</v>
      </c>
      <c r="C623" s="6">
        <v>2020</v>
      </c>
      <c r="D623" s="7"/>
      <c r="E623" s="12"/>
      <c r="F623" s="6"/>
      <c r="G623" s="6" t="s">
        <v>786</v>
      </c>
      <c r="H623" s="3"/>
      <c r="I623" s="63" t="s">
        <v>50</v>
      </c>
      <c r="J623" s="3" t="s">
        <v>27</v>
      </c>
      <c r="K623" s="6"/>
      <c r="L623" s="63" t="s">
        <v>90</v>
      </c>
      <c r="M623" s="7"/>
      <c r="N623" s="6"/>
      <c r="O623" s="9">
        <f>0.47*Table2[[#This Row],[قيمة المحضر]]</f>
        <v>0</v>
      </c>
      <c r="P623" s="9">
        <f>0.17*Table2[[#This Row],[قيمة المحضر]]</f>
        <v>0</v>
      </c>
      <c r="Q623" s="9">
        <f t="shared" ca="1" si="62"/>
        <v>0</v>
      </c>
      <c r="R623" s="3"/>
      <c r="S623" s="3"/>
      <c r="T623" s="9" t="str">
        <f t="shared" si="63"/>
        <v>-</v>
      </c>
      <c r="U623" s="3" t="s">
        <v>25</v>
      </c>
      <c r="V623" s="9" t="str">
        <f t="shared" si="64"/>
        <v>-</v>
      </c>
      <c r="W623" s="4"/>
      <c r="X623" s="38"/>
      <c r="Y623" s="1">
        <f t="shared" ca="1" si="57"/>
        <v>46162</v>
      </c>
      <c r="Z623" s="1" cm="1">
        <f t="array" aca="1" ref="Z623" ca="1">IF(D623&gt;DATE(2015,5,16),0,
K623*
(
INT((MIN(Y623,DATE(2015,5,16))-D623)/365)
+
CEILING(MOD((MIN(Y623,DATE(2015,5,16))-D623)/365,1),0.25)
)
*
_xlfn.SWITCH(J623,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23" s="1" cm="1">
        <f t="array" aca="1" ref="AA623" ca="1">IF(Y623&lt;DATE(2015,5,17),0,
K623*
(
INT((MIN(Y623,DATE(2018,9,23))-MAX(D623,DATE(2015,5,17)))/365)
+
CEILING(MOD((MIN(Y623,DATE(2018,9,23))-MAX(D623,DATE(2015,5,17)))/365,1),0.25)
)
*
_xlfn.SWITCH(J623,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23" s="1" cm="1">
        <f t="array" aca="1" ref="AB623" ca="1">IF(Y623&lt;DATE(2018,9,24),0,
IF(J623="زراعة",
K623*
(
INT((MIN(Y623,DATE(2023,4,30))-MAX(D623,DATE(2018,9,24)))/365)
+
CEILING(MOD((MIN(Y623,DATE(2023,4,30))-MAX(D623,DATE(2018,9,24)))/365,1),0.25)
)
*1,
K623*
(
DATEDIF(MAX(D623,DATE(2018,9,24)),MIN(Y623,DATE(2023,4,30)),"m")+1
)
*
_xlfn.SWITCH(J623,
"موقف/تندة",IF(D623&lt;DATE(2019,11,30),6,30),
"تشوينات",IF(D623&lt;DATE(2019,11,30),4,20),
"مشاتل",IF(D623&lt;DATE(2019,11,30),2,10),
"كافيتيريا",IF(D623&lt;DATE(2019,11,30),30,150),
"نوادي",IF(D623&lt;DATE(2019,11,30),6,30),
"رسو مراكب",IF(D623&lt;DATE(2019,11,30),2,10),
"مباني",IF(D623&lt;DATE(2018,9,24),2,10),
"عشش",IF(D623&lt;DATE(2019,11,30),2,10),
"كشك (تجاري/صناعي)",IF(D623&lt;DATE(2019,11,30),10,50),
"ردم",20,
0)))</f>
        <v>0</v>
      </c>
      <c r="AC623" s="1" cm="1">
        <f t="array" aca="1" ref="AC623" ca="1">IF(Y623&lt;DATE(2023,5,1),0,
IF(J623="زراعة",
K623*
(
INT((Y623-MAX(DATE(2023,5,1),D623))/365)
+
CEILING(MOD((Y623-MAX(DATE(2023,5,1),D623))/365,1),0.25)
)
*3,
IF(J623="ردم",
K623*20,
K623*
(
DATEDIF(MAX(DATE(2023,5,1),D623),Y623,"m")+1
)
*
_xlfn.SWITCH(J623,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23" s="1">
        <f t="shared" ca="1" si="58"/>
        <v>55</v>
      </c>
    </row>
    <row r="624" spans="1:30" ht="18.75" x14ac:dyDescent="0.25">
      <c r="A624" s="52">
        <v>561</v>
      </c>
      <c r="B624" s="6">
        <v>24</v>
      </c>
      <c r="C624" s="6">
        <v>2020</v>
      </c>
      <c r="D624" s="7" t="s">
        <v>756</v>
      </c>
      <c r="E624" s="12"/>
      <c r="F624" s="6"/>
      <c r="G624" s="6" t="s">
        <v>787</v>
      </c>
      <c r="H624" s="3"/>
      <c r="I624" s="63" t="s">
        <v>50</v>
      </c>
      <c r="J624" s="3" t="s">
        <v>27</v>
      </c>
      <c r="K624" s="6"/>
      <c r="L624" s="63" t="s">
        <v>90</v>
      </c>
      <c r="M624" s="7"/>
      <c r="N624" s="6"/>
      <c r="O624" s="9">
        <f>0.47*Table2[[#This Row],[قيمة المحضر]]</f>
        <v>0</v>
      </c>
      <c r="P624" s="9">
        <f>0.17*Table2[[#This Row],[قيمة المحضر]]</f>
        <v>0</v>
      </c>
      <c r="Q624" s="9">
        <f t="shared" ca="1" si="62"/>
        <v>0</v>
      </c>
      <c r="R624" s="3"/>
      <c r="S624" s="3"/>
      <c r="T624" s="9" t="str">
        <f t="shared" si="63"/>
        <v>-</v>
      </c>
      <c r="U624" s="3" t="s">
        <v>25</v>
      </c>
      <c r="V624" s="9" t="str">
        <f t="shared" si="64"/>
        <v>-</v>
      </c>
      <c r="W624" s="4"/>
      <c r="X624" s="38"/>
      <c r="Y624" s="1">
        <f t="shared" ca="1" si="57"/>
        <v>46162</v>
      </c>
      <c r="Z624" s="1" cm="1">
        <f t="array" ref="Z624">IF(D624&gt;DATE(2015,5,16),0,
K624*
(
INT((MIN(Y624,DATE(2015,5,16))-D624)/365)
+
CEILING(MOD((MIN(Y624,DATE(2015,5,16))-D624)/365,1),0.25)
)
*
_xlfn.SWITCH(J624,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24" s="1" cm="1">
        <f t="array" aca="1" ref="AA624" ca="1">IF(Y624&lt;DATE(2015,5,17),0,
K624*
(
INT((MIN(Y624,DATE(2018,9,23))-MAX(D624,DATE(2015,5,17)))/365)
+
CEILING(MOD((MIN(Y624,DATE(2018,9,23))-MAX(D624,DATE(2015,5,17)))/365,1),0.25)
)
*
_xlfn.SWITCH(J624,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24" s="1" cm="1">
        <f t="array" aca="1" ref="AB624" ca="1">IF(Y624&lt;DATE(2018,9,24),0,
IF(J624="زراعة",
K624*
(
INT((MIN(Y624,DATE(2023,4,30))-MAX(D624,DATE(2018,9,24)))/365)
+
CEILING(MOD((MIN(Y624,DATE(2023,4,30))-MAX(D624,DATE(2018,9,24)))/365,1),0.25)
)
*1,
K624*
(
DATEDIF(MAX(D624,DATE(2018,9,24)),MIN(Y624,DATE(2023,4,30)),"m")+1
)
*
_xlfn.SWITCH(J624,
"موقف/تندة",IF(D624&lt;DATE(2019,11,30),6,30),
"تشوينات",IF(D624&lt;DATE(2019,11,30),4,20),
"مشاتل",IF(D624&lt;DATE(2019,11,30),2,10),
"كافيتيريا",IF(D624&lt;DATE(2019,11,30),30,150),
"نوادي",IF(D624&lt;DATE(2019,11,30),6,30),
"رسو مراكب",IF(D624&lt;DATE(2019,11,30),2,10),
"مباني",IF(D624&lt;DATE(2018,9,24),2,10),
"عشش",IF(D624&lt;DATE(2019,11,30),2,10),
"كشك (تجاري/صناعي)",IF(D624&lt;DATE(2019,11,30),10,50),
"ردم",20,
0)))</f>
        <v>0</v>
      </c>
      <c r="AC624" s="1" cm="1">
        <f t="array" aca="1" ref="AC624" ca="1">IF(Y624&lt;DATE(2023,5,1),0,
IF(J624="زراعة",
K624*
(
INT((Y624-MAX(DATE(2023,5,1),D624))/365)
+
CEILING(MOD((Y624-MAX(DATE(2023,5,1),D624))/365,1),0.25)
)
*3,
IF(J624="ردم",
K624*20,
K624*
(
DATEDIF(MAX(DATE(2023,5,1),D624),Y624,"m")+1
)
*
_xlfn.SWITCH(J624,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24" s="1">
        <f t="shared" ca="1" si="58"/>
        <v>55</v>
      </c>
    </row>
    <row r="625" spans="1:30" ht="18.75" x14ac:dyDescent="0.25">
      <c r="A625" s="52">
        <v>562</v>
      </c>
      <c r="B625" s="6">
        <v>25</v>
      </c>
      <c r="C625" s="6">
        <v>2020</v>
      </c>
      <c r="D625" s="7" t="s">
        <v>757</v>
      </c>
      <c r="E625" s="12"/>
      <c r="F625" s="6"/>
      <c r="G625" s="6" t="s">
        <v>788</v>
      </c>
      <c r="H625" s="3"/>
      <c r="I625" s="63" t="s">
        <v>371</v>
      </c>
      <c r="J625" s="3" t="s">
        <v>29</v>
      </c>
      <c r="K625" s="6"/>
      <c r="L625" s="63" t="s">
        <v>196</v>
      </c>
      <c r="M625" s="7"/>
      <c r="N625" s="6"/>
      <c r="O625" s="9">
        <f>0.47*Table2[[#This Row],[قيمة المحضر]]</f>
        <v>0</v>
      </c>
      <c r="P625" s="9">
        <f>0.17*Table2[[#This Row],[قيمة المحضر]]</f>
        <v>0</v>
      </c>
      <c r="Q625" s="9">
        <f t="shared" ca="1" si="62"/>
        <v>0</v>
      </c>
      <c r="R625" s="3"/>
      <c r="S625" s="3"/>
      <c r="T625" s="9" t="str">
        <f t="shared" si="63"/>
        <v>-</v>
      </c>
      <c r="U625" s="3" t="s">
        <v>25</v>
      </c>
      <c r="V625" s="9" t="str">
        <f t="shared" si="64"/>
        <v>-</v>
      </c>
      <c r="W625" s="4"/>
      <c r="X625" s="38"/>
      <c r="Y625" s="1">
        <f t="shared" ca="1" si="57"/>
        <v>46162</v>
      </c>
      <c r="Z625" s="1" cm="1">
        <f t="array" ref="Z625">IF(D625&gt;DATE(2015,5,16),0,
K625*
(
INT((MIN(Y625,DATE(2015,5,16))-D625)/365)
+
CEILING(MOD((MIN(Y625,DATE(2015,5,16))-D625)/365,1),0.25)
)
*
_xlfn.SWITCH(J625,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25" s="1" cm="1">
        <f t="array" aca="1" ref="AA625" ca="1">IF(Y625&lt;DATE(2015,5,17),0,
K625*
(
INT((MIN(Y625,DATE(2018,9,23))-MAX(D625,DATE(2015,5,17)))/365)
+
CEILING(MOD((MIN(Y625,DATE(2018,9,23))-MAX(D625,DATE(2015,5,17)))/365,1),0.25)
)
*
_xlfn.SWITCH(J625,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25" s="1" cm="1">
        <f t="array" aca="1" ref="AB625" ca="1">IF(Y625&lt;DATE(2018,9,24),0,
IF(J625="زراعة",
K625*
(
INT((MIN(Y625,DATE(2023,4,30))-MAX(D625,DATE(2018,9,24)))/365)
+
CEILING(MOD((MIN(Y625,DATE(2023,4,30))-MAX(D625,DATE(2018,9,24)))/365,1),0.25)
)
*1,
K625*
(
DATEDIF(MAX(D625,DATE(2018,9,24)),MIN(Y625,DATE(2023,4,30)),"m")+1
)
*
_xlfn.SWITCH(J625,
"موقف/تندة",IF(D625&lt;DATE(2019,11,30),6,30),
"تشوينات",IF(D625&lt;DATE(2019,11,30),4,20),
"مشاتل",IF(D625&lt;DATE(2019,11,30),2,10),
"كافيتيريا",IF(D625&lt;DATE(2019,11,30),30,150),
"نوادي",IF(D625&lt;DATE(2019,11,30),6,30),
"رسو مراكب",IF(D625&lt;DATE(2019,11,30),2,10),
"مباني",IF(D625&lt;DATE(2018,9,24),2,10),
"عشش",IF(D625&lt;DATE(2019,11,30),2,10),
"كشك (تجاري/صناعي)",IF(D625&lt;DATE(2019,11,30),10,50),
"ردم",20,
0)))</f>
        <v>0</v>
      </c>
      <c r="AC625" s="1" cm="1">
        <f t="array" aca="1" ref="AC625" ca="1">IF(Y625&lt;DATE(2023,5,1),0,
IF(J625="زراعة",
K625*
(
INT((Y625-MAX(DATE(2023,5,1),D625))/365)
+
CEILING(MOD((Y625-MAX(DATE(2023,5,1),D625))/365,1),0.25)
)
*3,
IF(J625="ردم",
K625*20,
K625*
(
DATEDIF(MAX(DATE(2023,5,1),D625),Y625,"m")+1
)
*
_xlfn.SWITCH(J625,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25" s="1">
        <f t="shared" ca="1" si="58"/>
        <v>55</v>
      </c>
    </row>
    <row r="626" spans="1:30" ht="18.75" x14ac:dyDescent="0.25">
      <c r="A626" s="52">
        <v>563</v>
      </c>
      <c r="B626" s="6">
        <v>26</v>
      </c>
      <c r="C626" s="6">
        <v>2020</v>
      </c>
      <c r="D626" s="7" t="s">
        <v>757</v>
      </c>
      <c r="E626" s="12"/>
      <c r="F626" s="6"/>
      <c r="G626" s="6" t="s">
        <v>789</v>
      </c>
      <c r="H626" s="3"/>
      <c r="I626" s="63" t="s">
        <v>371</v>
      </c>
      <c r="J626" s="3" t="s">
        <v>29</v>
      </c>
      <c r="K626" s="6"/>
      <c r="L626" s="63" t="s">
        <v>196</v>
      </c>
      <c r="M626" s="7"/>
      <c r="N626" s="6"/>
      <c r="O626" s="9">
        <f>0.47*Table2[[#This Row],[قيمة المحضر]]</f>
        <v>0</v>
      </c>
      <c r="P626" s="9">
        <f>0.17*Table2[[#This Row],[قيمة المحضر]]</f>
        <v>0</v>
      </c>
      <c r="Q626" s="9">
        <f t="shared" ca="1" si="62"/>
        <v>0</v>
      </c>
      <c r="R626" s="3"/>
      <c r="S626" s="3"/>
      <c r="T626" s="9" t="str">
        <f t="shared" si="63"/>
        <v>-</v>
      </c>
      <c r="U626" s="3" t="s">
        <v>25</v>
      </c>
      <c r="V626" s="9" t="str">
        <f t="shared" si="64"/>
        <v>-</v>
      </c>
      <c r="W626" s="4"/>
      <c r="X626" s="38"/>
      <c r="Y626" s="1">
        <f t="shared" ca="1" si="57"/>
        <v>46162</v>
      </c>
      <c r="Z626" s="1" cm="1">
        <f t="array" ref="Z626">IF(D626&gt;DATE(2015,5,16),0,
K626*
(
INT((MIN(Y626,DATE(2015,5,16))-D626)/365)
+
CEILING(MOD((MIN(Y626,DATE(2015,5,16))-D626)/365,1),0.25)
)
*
_xlfn.SWITCH(J626,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26" s="1" cm="1">
        <f t="array" aca="1" ref="AA626" ca="1">IF(Y626&lt;DATE(2015,5,17),0,
K626*
(
INT((MIN(Y626,DATE(2018,9,23))-MAX(D626,DATE(2015,5,17)))/365)
+
CEILING(MOD((MIN(Y626,DATE(2018,9,23))-MAX(D626,DATE(2015,5,17)))/365,1),0.25)
)
*
_xlfn.SWITCH(J626,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26" s="1" cm="1">
        <f t="array" aca="1" ref="AB626" ca="1">IF(Y626&lt;DATE(2018,9,24),0,
IF(J626="زراعة",
K626*
(
INT((MIN(Y626,DATE(2023,4,30))-MAX(D626,DATE(2018,9,24)))/365)
+
CEILING(MOD((MIN(Y626,DATE(2023,4,30))-MAX(D626,DATE(2018,9,24)))/365,1),0.25)
)
*1,
K626*
(
DATEDIF(MAX(D626,DATE(2018,9,24)),MIN(Y626,DATE(2023,4,30)),"m")+1
)
*
_xlfn.SWITCH(J626,
"موقف/تندة",IF(D626&lt;DATE(2019,11,30),6,30),
"تشوينات",IF(D626&lt;DATE(2019,11,30),4,20),
"مشاتل",IF(D626&lt;DATE(2019,11,30),2,10),
"كافيتيريا",IF(D626&lt;DATE(2019,11,30),30,150),
"نوادي",IF(D626&lt;DATE(2019,11,30),6,30),
"رسو مراكب",IF(D626&lt;DATE(2019,11,30),2,10),
"مباني",IF(D626&lt;DATE(2018,9,24),2,10),
"عشش",IF(D626&lt;DATE(2019,11,30),2,10),
"كشك (تجاري/صناعي)",IF(D626&lt;DATE(2019,11,30),10,50),
"ردم",20,
0)))</f>
        <v>0</v>
      </c>
      <c r="AC626" s="1" cm="1">
        <f t="array" aca="1" ref="AC626" ca="1">IF(Y626&lt;DATE(2023,5,1),0,
IF(J626="زراعة",
K626*
(
INT((Y626-MAX(DATE(2023,5,1),D626))/365)
+
CEILING(MOD((Y626-MAX(DATE(2023,5,1),D626))/365,1),0.25)
)
*3,
IF(J626="ردم",
K626*20,
K626*
(
DATEDIF(MAX(DATE(2023,5,1),D626),Y626,"m")+1
)
*
_xlfn.SWITCH(J626,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26" s="1">
        <f t="shared" ca="1" si="58"/>
        <v>55</v>
      </c>
    </row>
    <row r="627" spans="1:30" ht="18.75" x14ac:dyDescent="0.25">
      <c r="A627" s="52">
        <v>564</v>
      </c>
      <c r="B627" s="6">
        <v>27</v>
      </c>
      <c r="C627" s="6">
        <v>2020</v>
      </c>
      <c r="D627" s="7" t="s">
        <v>757</v>
      </c>
      <c r="E627" s="12"/>
      <c r="F627" s="6"/>
      <c r="G627" s="6" t="s">
        <v>790</v>
      </c>
      <c r="H627" s="3"/>
      <c r="I627" s="63" t="s">
        <v>371</v>
      </c>
      <c r="J627" s="3" t="s">
        <v>29</v>
      </c>
      <c r="K627" s="6"/>
      <c r="L627" s="63" t="s">
        <v>196</v>
      </c>
      <c r="M627" s="7"/>
      <c r="N627" s="6"/>
      <c r="O627" s="9">
        <f>0.47*Table2[[#This Row],[قيمة المحضر]]</f>
        <v>0</v>
      </c>
      <c r="P627" s="9">
        <f>0.17*Table2[[#This Row],[قيمة المحضر]]</f>
        <v>0</v>
      </c>
      <c r="Q627" s="9">
        <f t="shared" ca="1" si="62"/>
        <v>0</v>
      </c>
      <c r="R627" s="3"/>
      <c r="S627" s="3"/>
      <c r="T627" s="9" t="str">
        <f t="shared" si="63"/>
        <v>-</v>
      </c>
      <c r="U627" s="3" t="s">
        <v>25</v>
      </c>
      <c r="V627" s="9" t="str">
        <f t="shared" si="64"/>
        <v>-</v>
      </c>
      <c r="W627" s="4"/>
      <c r="X627" s="38"/>
      <c r="Y627" s="1">
        <f t="shared" ca="1" si="57"/>
        <v>46162</v>
      </c>
      <c r="Z627" s="1" cm="1">
        <f t="array" ref="Z627">IF(D627&gt;DATE(2015,5,16),0,
K627*
(
INT((MIN(Y627,DATE(2015,5,16))-D627)/365)
+
CEILING(MOD((MIN(Y627,DATE(2015,5,16))-D627)/365,1),0.25)
)
*
_xlfn.SWITCH(J627,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27" s="1" cm="1">
        <f t="array" aca="1" ref="AA627" ca="1">IF(Y627&lt;DATE(2015,5,17),0,
K627*
(
INT((MIN(Y627,DATE(2018,9,23))-MAX(D627,DATE(2015,5,17)))/365)
+
CEILING(MOD((MIN(Y627,DATE(2018,9,23))-MAX(D627,DATE(2015,5,17)))/365,1),0.25)
)
*
_xlfn.SWITCH(J627,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27" s="1" cm="1">
        <f t="array" aca="1" ref="AB627" ca="1">IF(Y627&lt;DATE(2018,9,24),0,
IF(J627="زراعة",
K627*
(
INT((MIN(Y627,DATE(2023,4,30))-MAX(D627,DATE(2018,9,24)))/365)
+
CEILING(MOD((MIN(Y627,DATE(2023,4,30))-MAX(D627,DATE(2018,9,24)))/365,1),0.25)
)
*1,
K627*
(
DATEDIF(MAX(D627,DATE(2018,9,24)),MIN(Y627,DATE(2023,4,30)),"m")+1
)
*
_xlfn.SWITCH(J627,
"موقف/تندة",IF(D627&lt;DATE(2019,11,30),6,30),
"تشوينات",IF(D627&lt;DATE(2019,11,30),4,20),
"مشاتل",IF(D627&lt;DATE(2019,11,30),2,10),
"كافيتيريا",IF(D627&lt;DATE(2019,11,30),30,150),
"نوادي",IF(D627&lt;DATE(2019,11,30),6,30),
"رسو مراكب",IF(D627&lt;DATE(2019,11,30),2,10),
"مباني",IF(D627&lt;DATE(2018,9,24),2,10),
"عشش",IF(D627&lt;DATE(2019,11,30),2,10),
"كشك (تجاري/صناعي)",IF(D627&lt;DATE(2019,11,30),10,50),
"ردم",20,
0)))</f>
        <v>0</v>
      </c>
      <c r="AC627" s="1" cm="1">
        <f t="array" aca="1" ref="AC627" ca="1">IF(Y627&lt;DATE(2023,5,1),0,
IF(J627="زراعة",
K627*
(
INT((Y627-MAX(DATE(2023,5,1),D627))/365)
+
CEILING(MOD((Y627-MAX(DATE(2023,5,1),D627))/365,1),0.25)
)
*3,
IF(J627="ردم",
K627*20,
K627*
(
DATEDIF(MAX(DATE(2023,5,1),D627),Y627,"m")+1
)
*
_xlfn.SWITCH(J627,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27" s="1">
        <f t="shared" ca="1" si="58"/>
        <v>55</v>
      </c>
    </row>
    <row r="628" spans="1:30" ht="18.75" x14ac:dyDescent="0.25">
      <c r="A628" s="52">
        <v>565</v>
      </c>
      <c r="B628" s="6">
        <v>28</v>
      </c>
      <c r="C628" s="6">
        <v>2020</v>
      </c>
      <c r="D628" s="7" t="s">
        <v>758</v>
      </c>
      <c r="E628" s="12"/>
      <c r="F628" s="6"/>
      <c r="G628" s="6" t="s">
        <v>791</v>
      </c>
      <c r="H628" s="3"/>
      <c r="I628" s="63" t="s">
        <v>192</v>
      </c>
      <c r="J628" s="3" t="s">
        <v>27</v>
      </c>
      <c r="K628" s="6"/>
      <c r="L628" s="63" t="s">
        <v>89</v>
      </c>
      <c r="M628" s="7"/>
      <c r="N628" s="6"/>
      <c r="O628" s="9">
        <f>0.47*Table2[[#This Row],[قيمة المحضر]]</f>
        <v>0</v>
      </c>
      <c r="P628" s="9">
        <f>0.17*Table2[[#This Row],[قيمة المحضر]]</f>
        <v>0</v>
      </c>
      <c r="Q628" s="9">
        <f t="shared" ca="1" si="62"/>
        <v>0</v>
      </c>
      <c r="R628" s="3"/>
      <c r="S628" s="3"/>
      <c r="T628" s="9" t="str">
        <f t="shared" si="63"/>
        <v>-</v>
      </c>
      <c r="U628" s="3" t="s">
        <v>25</v>
      </c>
      <c r="V628" s="9" t="str">
        <f t="shared" si="64"/>
        <v>-</v>
      </c>
      <c r="W628" s="4"/>
      <c r="X628" s="38"/>
      <c r="Y628" s="1">
        <f t="shared" ca="1" si="57"/>
        <v>46162</v>
      </c>
      <c r="Z628" s="1" cm="1">
        <f t="array" ref="Z628">IF(D628&gt;DATE(2015,5,16),0,
K628*
(
INT((MIN(Y628,DATE(2015,5,16))-D628)/365)
+
CEILING(MOD((MIN(Y628,DATE(2015,5,16))-D628)/365,1),0.25)
)
*
_xlfn.SWITCH(J628,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28" s="1" cm="1">
        <f t="array" aca="1" ref="AA628" ca="1">IF(Y628&lt;DATE(2015,5,17),0,
K628*
(
INT((MIN(Y628,DATE(2018,9,23))-MAX(D628,DATE(2015,5,17)))/365)
+
CEILING(MOD((MIN(Y628,DATE(2018,9,23))-MAX(D628,DATE(2015,5,17)))/365,1),0.25)
)
*
_xlfn.SWITCH(J628,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28" s="1" cm="1">
        <f t="array" aca="1" ref="AB628" ca="1">IF(Y628&lt;DATE(2018,9,24),0,
IF(J628="زراعة",
K628*
(
INT((MIN(Y628,DATE(2023,4,30))-MAX(D628,DATE(2018,9,24)))/365)
+
CEILING(MOD((MIN(Y628,DATE(2023,4,30))-MAX(D628,DATE(2018,9,24)))/365,1),0.25)
)
*1,
K628*
(
DATEDIF(MAX(D628,DATE(2018,9,24)),MIN(Y628,DATE(2023,4,30)),"m")+1
)
*
_xlfn.SWITCH(J628,
"موقف/تندة",IF(D628&lt;DATE(2019,11,30),6,30),
"تشوينات",IF(D628&lt;DATE(2019,11,30),4,20),
"مشاتل",IF(D628&lt;DATE(2019,11,30),2,10),
"كافيتيريا",IF(D628&lt;DATE(2019,11,30),30,150),
"نوادي",IF(D628&lt;DATE(2019,11,30),6,30),
"رسو مراكب",IF(D628&lt;DATE(2019,11,30),2,10),
"مباني",IF(D628&lt;DATE(2018,9,24),2,10),
"عشش",IF(D628&lt;DATE(2019,11,30),2,10),
"كشك (تجاري/صناعي)",IF(D628&lt;DATE(2019,11,30),10,50),
"ردم",20,
0)))</f>
        <v>0</v>
      </c>
      <c r="AC628" s="1" cm="1">
        <f t="array" aca="1" ref="AC628" ca="1">IF(Y628&lt;DATE(2023,5,1),0,
IF(J628="زراعة",
K628*
(
INT((Y628-MAX(DATE(2023,5,1),D628))/365)
+
CEILING(MOD((Y628-MAX(DATE(2023,5,1),D628))/365,1),0.25)
)
*3,
IF(J628="ردم",
K628*20,
K628*
(
DATEDIF(MAX(DATE(2023,5,1),D628),Y628,"m")+1
)
*
_xlfn.SWITCH(J628,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28" s="1">
        <f t="shared" ca="1" si="58"/>
        <v>55</v>
      </c>
    </row>
    <row r="629" spans="1:30" ht="18.75" x14ac:dyDescent="0.25">
      <c r="A629" s="52">
        <v>566</v>
      </c>
      <c r="B629" s="6">
        <v>29</v>
      </c>
      <c r="C629" s="6">
        <v>2020</v>
      </c>
      <c r="D629" s="7" t="s">
        <v>758</v>
      </c>
      <c r="E629" s="12"/>
      <c r="F629" s="6"/>
      <c r="G629" s="6" t="s">
        <v>792</v>
      </c>
      <c r="H629" s="3"/>
      <c r="I629" s="63" t="s">
        <v>192</v>
      </c>
      <c r="J629" s="3" t="s">
        <v>27</v>
      </c>
      <c r="K629" s="6"/>
      <c r="L629" s="63" t="s">
        <v>89</v>
      </c>
      <c r="M629" s="7"/>
      <c r="N629" s="6"/>
      <c r="O629" s="9">
        <f>0.47*Table2[[#This Row],[قيمة المحضر]]</f>
        <v>0</v>
      </c>
      <c r="P629" s="9">
        <f>0.17*Table2[[#This Row],[قيمة المحضر]]</f>
        <v>0</v>
      </c>
      <c r="Q629" s="9">
        <f t="shared" ca="1" si="62"/>
        <v>0</v>
      </c>
      <c r="R629" s="3"/>
      <c r="S629" s="3"/>
      <c r="T629" s="9" t="str">
        <f t="shared" si="63"/>
        <v>-</v>
      </c>
      <c r="U629" s="3" t="s">
        <v>25</v>
      </c>
      <c r="V629" s="9" t="str">
        <f t="shared" si="64"/>
        <v>-</v>
      </c>
      <c r="W629" s="4"/>
      <c r="X629" s="38"/>
      <c r="Y629" s="1">
        <f t="shared" ca="1" si="57"/>
        <v>46162</v>
      </c>
      <c r="Z629" s="1" cm="1">
        <f t="array" ref="Z629">IF(D629&gt;DATE(2015,5,16),0,
K629*
(
INT((MIN(Y629,DATE(2015,5,16))-D629)/365)
+
CEILING(MOD((MIN(Y629,DATE(2015,5,16))-D629)/365,1),0.25)
)
*
_xlfn.SWITCH(J629,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29" s="1" cm="1">
        <f t="array" aca="1" ref="AA629" ca="1">IF(Y629&lt;DATE(2015,5,17),0,
K629*
(
INT((MIN(Y629,DATE(2018,9,23))-MAX(D629,DATE(2015,5,17)))/365)
+
CEILING(MOD((MIN(Y629,DATE(2018,9,23))-MAX(D629,DATE(2015,5,17)))/365,1),0.25)
)
*
_xlfn.SWITCH(J629,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29" s="1" cm="1">
        <f t="array" aca="1" ref="AB629" ca="1">IF(Y629&lt;DATE(2018,9,24),0,
IF(J629="زراعة",
K629*
(
INT((MIN(Y629,DATE(2023,4,30))-MAX(D629,DATE(2018,9,24)))/365)
+
CEILING(MOD((MIN(Y629,DATE(2023,4,30))-MAX(D629,DATE(2018,9,24)))/365,1),0.25)
)
*1,
K629*
(
DATEDIF(MAX(D629,DATE(2018,9,24)),MIN(Y629,DATE(2023,4,30)),"m")+1
)
*
_xlfn.SWITCH(J629,
"موقف/تندة",IF(D629&lt;DATE(2019,11,30),6,30),
"تشوينات",IF(D629&lt;DATE(2019,11,30),4,20),
"مشاتل",IF(D629&lt;DATE(2019,11,30),2,10),
"كافيتيريا",IF(D629&lt;DATE(2019,11,30),30,150),
"نوادي",IF(D629&lt;DATE(2019,11,30),6,30),
"رسو مراكب",IF(D629&lt;DATE(2019,11,30),2,10),
"مباني",IF(D629&lt;DATE(2018,9,24),2,10),
"عشش",IF(D629&lt;DATE(2019,11,30),2,10),
"كشك (تجاري/صناعي)",IF(D629&lt;DATE(2019,11,30),10,50),
"ردم",20,
0)))</f>
        <v>0</v>
      </c>
      <c r="AC629" s="1" cm="1">
        <f t="array" aca="1" ref="AC629" ca="1">IF(Y629&lt;DATE(2023,5,1),0,
IF(J629="زراعة",
K629*
(
INT((Y629-MAX(DATE(2023,5,1),D629))/365)
+
CEILING(MOD((Y629-MAX(DATE(2023,5,1),D629))/365,1),0.25)
)
*3,
IF(J629="ردم",
K629*20,
K629*
(
DATEDIF(MAX(DATE(2023,5,1),D629),Y629,"m")+1
)
*
_xlfn.SWITCH(J629,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29" s="1">
        <f t="shared" ca="1" si="58"/>
        <v>55</v>
      </c>
    </row>
    <row r="630" spans="1:30" ht="18.75" x14ac:dyDescent="0.25">
      <c r="A630" s="52">
        <v>567</v>
      </c>
      <c r="B630" s="6">
        <v>30</v>
      </c>
      <c r="C630" s="6">
        <v>2020</v>
      </c>
      <c r="D630" s="7" t="s">
        <v>758</v>
      </c>
      <c r="E630" s="12"/>
      <c r="F630" s="6"/>
      <c r="G630" s="6" t="s">
        <v>793</v>
      </c>
      <c r="H630" s="3"/>
      <c r="I630" s="63" t="s">
        <v>192</v>
      </c>
      <c r="J630" s="3" t="s">
        <v>27</v>
      </c>
      <c r="K630" s="6"/>
      <c r="L630" s="63" t="s">
        <v>89</v>
      </c>
      <c r="M630" s="7"/>
      <c r="N630" s="6"/>
      <c r="O630" s="9">
        <f>0.47*Table2[[#This Row],[قيمة المحضر]]</f>
        <v>0</v>
      </c>
      <c r="P630" s="9">
        <f>0.17*Table2[[#This Row],[قيمة المحضر]]</f>
        <v>0</v>
      </c>
      <c r="Q630" s="9">
        <f t="shared" ca="1" si="62"/>
        <v>0</v>
      </c>
      <c r="R630" s="3"/>
      <c r="S630" s="3"/>
      <c r="T630" s="9" t="str">
        <f t="shared" si="63"/>
        <v>-</v>
      </c>
      <c r="U630" s="3" t="s">
        <v>25</v>
      </c>
      <c r="V630" s="9" t="str">
        <f t="shared" si="64"/>
        <v>-</v>
      </c>
      <c r="W630" s="4"/>
      <c r="X630" s="38"/>
      <c r="Y630" s="1">
        <f t="shared" ca="1" si="57"/>
        <v>46162</v>
      </c>
      <c r="Z630" s="1" cm="1">
        <f t="array" ref="Z630">IF(D630&gt;DATE(2015,5,16),0,
K630*
(
INT((MIN(Y630,DATE(2015,5,16))-D630)/365)
+
CEILING(MOD((MIN(Y630,DATE(2015,5,16))-D630)/365,1),0.25)
)
*
_xlfn.SWITCH(J630,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30" s="1" cm="1">
        <f t="array" aca="1" ref="AA630" ca="1">IF(Y630&lt;DATE(2015,5,17),0,
K630*
(
INT((MIN(Y630,DATE(2018,9,23))-MAX(D630,DATE(2015,5,17)))/365)
+
CEILING(MOD((MIN(Y630,DATE(2018,9,23))-MAX(D630,DATE(2015,5,17)))/365,1),0.25)
)
*
_xlfn.SWITCH(J630,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30" s="1" cm="1">
        <f t="array" aca="1" ref="AB630" ca="1">IF(Y630&lt;DATE(2018,9,24),0,
IF(J630="زراعة",
K630*
(
INT((MIN(Y630,DATE(2023,4,30))-MAX(D630,DATE(2018,9,24)))/365)
+
CEILING(MOD((MIN(Y630,DATE(2023,4,30))-MAX(D630,DATE(2018,9,24)))/365,1),0.25)
)
*1,
K630*
(
DATEDIF(MAX(D630,DATE(2018,9,24)),MIN(Y630,DATE(2023,4,30)),"m")+1
)
*
_xlfn.SWITCH(J630,
"موقف/تندة",IF(D630&lt;DATE(2019,11,30),6,30),
"تشوينات",IF(D630&lt;DATE(2019,11,30),4,20),
"مشاتل",IF(D630&lt;DATE(2019,11,30),2,10),
"كافيتيريا",IF(D630&lt;DATE(2019,11,30),30,150),
"نوادي",IF(D630&lt;DATE(2019,11,30),6,30),
"رسو مراكب",IF(D630&lt;DATE(2019,11,30),2,10),
"مباني",IF(D630&lt;DATE(2018,9,24),2,10),
"عشش",IF(D630&lt;DATE(2019,11,30),2,10),
"كشك (تجاري/صناعي)",IF(D630&lt;DATE(2019,11,30),10,50),
"ردم",20,
0)))</f>
        <v>0</v>
      </c>
      <c r="AC630" s="1" cm="1">
        <f t="array" aca="1" ref="AC630" ca="1">IF(Y630&lt;DATE(2023,5,1),0,
IF(J630="زراعة",
K630*
(
INT((Y630-MAX(DATE(2023,5,1),D630))/365)
+
CEILING(MOD((Y630-MAX(DATE(2023,5,1),D630))/365,1),0.25)
)
*3,
IF(J630="ردم",
K630*20,
K630*
(
DATEDIF(MAX(DATE(2023,5,1),D630),Y630,"m")+1
)
*
_xlfn.SWITCH(J630,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30" s="1">
        <f t="shared" ca="1" si="58"/>
        <v>55</v>
      </c>
    </row>
    <row r="631" spans="1:30" ht="18.75" x14ac:dyDescent="0.25">
      <c r="A631" s="52">
        <v>568</v>
      </c>
      <c r="B631" s="6">
        <v>31</v>
      </c>
      <c r="C631" s="6">
        <v>2020</v>
      </c>
      <c r="D631" s="7" t="s">
        <v>758</v>
      </c>
      <c r="E631" s="12"/>
      <c r="F631" s="6"/>
      <c r="G631" s="6" t="s">
        <v>794</v>
      </c>
      <c r="H631" s="3"/>
      <c r="I631" s="63" t="s">
        <v>192</v>
      </c>
      <c r="J631" s="3" t="s">
        <v>27</v>
      </c>
      <c r="K631" s="6"/>
      <c r="L631" s="63" t="s">
        <v>89</v>
      </c>
      <c r="M631" s="7"/>
      <c r="N631" s="6"/>
      <c r="O631" s="9">
        <f>0.47*Table2[[#This Row],[قيمة المحضر]]</f>
        <v>0</v>
      </c>
      <c r="P631" s="9">
        <f>0.17*Table2[[#This Row],[قيمة المحضر]]</f>
        <v>0</v>
      </c>
      <c r="Q631" s="9">
        <f t="shared" ca="1" si="62"/>
        <v>0</v>
      </c>
      <c r="R631" s="3"/>
      <c r="S631" s="3"/>
      <c r="T631" s="9" t="str">
        <f t="shared" si="63"/>
        <v>-</v>
      </c>
      <c r="U631" s="3" t="s">
        <v>25</v>
      </c>
      <c r="V631" s="9" t="str">
        <f t="shared" si="64"/>
        <v>-</v>
      </c>
      <c r="W631" s="4"/>
      <c r="X631" s="38"/>
      <c r="Y631" s="1">
        <f t="shared" ca="1" si="57"/>
        <v>46162</v>
      </c>
      <c r="Z631" s="1" cm="1">
        <f t="array" ref="Z631">IF(D631&gt;DATE(2015,5,16),0,
K631*
(
INT((MIN(Y631,DATE(2015,5,16))-D631)/365)
+
CEILING(MOD((MIN(Y631,DATE(2015,5,16))-D631)/365,1),0.25)
)
*
_xlfn.SWITCH(J631,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31" s="1" cm="1">
        <f t="array" aca="1" ref="AA631" ca="1">IF(Y631&lt;DATE(2015,5,17),0,
K631*
(
INT((MIN(Y631,DATE(2018,9,23))-MAX(D631,DATE(2015,5,17)))/365)
+
CEILING(MOD((MIN(Y631,DATE(2018,9,23))-MAX(D631,DATE(2015,5,17)))/365,1),0.25)
)
*
_xlfn.SWITCH(J631,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31" s="1" cm="1">
        <f t="array" aca="1" ref="AB631" ca="1">IF(Y631&lt;DATE(2018,9,24),0,
IF(J631="زراعة",
K631*
(
INT((MIN(Y631,DATE(2023,4,30))-MAX(D631,DATE(2018,9,24)))/365)
+
CEILING(MOD((MIN(Y631,DATE(2023,4,30))-MAX(D631,DATE(2018,9,24)))/365,1),0.25)
)
*1,
K631*
(
DATEDIF(MAX(D631,DATE(2018,9,24)),MIN(Y631,DATE(2023,4,30)),"m")+1
)
*
_xlfn.SWITCH(J631,
"موقف/تندة",IF(D631&lt;DATE(2019,11,30),6,30),
"تشوينات",IF(D631&lt;DATE(2019,11,30),4,20),
"مشاتل",IF(D631&lt;DATE(2019,11,30),2,10),
"كافيتيريا",IF(D631&lt;DATE(2019,11,30),30,150),
"نوادي",IF(D631&lt;DATE(2019,11,30),6,30),
"رسو مراكب",IF(D631&lt;DATE(2019,11,30),2,10),
"مباني",IF(D631&lt;DATE(2018,9,24),2,10),
"عشش",IF(D631&lt;DATE(2019,11,30),2,10),
"كشك (تجاري/صناعي)",IF(D631&lt;DATE(2019,11,30),10,50),
"ردم",20,
0)))</f>
        <v>0</v>
      </c>
      <c r="AC631" s="1" cm="1">
        <f t="array" aca="1" ref="AC631" ca="1">IF(Y631&lt;DATE(2023,5,1),0,
IF(J631="زراعة",
K631*
(
INT((Y631-MAX(DATE(2023,5,1),D631))/365)
+
CEILING(MOD((Y631-MAX(DATE(2023,5,1),D631))/365,1),0.25)
)
*3,
IF(J631="ردم",
K631*20,
K631*
(
DATEDIF(MAX(DATE(2023,5,1),D631),Y631,"m")+1
)
*
_xlfn.SWITCH(J631,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31" s="1">
        <f t="shared" ca="1" si="58"/>
        <v>55</v>
      </c>
    </row>
    <row r="632" spans="1:30" ht="18.75" x14ac:dyDescent="0.25">
      <c r="A632" s="52">
        <v>569</v>
      </c>
      <c r="B632" s="6">
        <v>32</v>
      </c>
      <c r="C632" s="6">
        <v>2020</v>
      </c>
      <c r="D632" s="7" t="s">
        <v>758</v>
      </c>
      <c r="E632" s="12"/>
      <c r="F632" s="6"/>
      <c r="G632" s="6" t="s">
        <v>795</v>
      </c>
      <c r="H632" s="3"/>
      <c r="I632" s="63" t="s">
        <v>192</v>
      </c>
      <c r="J632" s="3" t="s">
        <v>27</v>
      </c>
      <c r="K632" s="6"/>
      <c r="L632" s="63" t="s">
        <v>89</v>
      </c>
      <c r="M632" s="7"/>
      <c r="N632" s="6"/>
      <c r="O632" s="9">
        <f>0.47*Table2[[#This Row],[قيمة المحضر]]</f>
        <v>0</v>
      </c>
      <c r="P632" s="9">
        <f>0.17*Table2[[#This Row],[قيمة المحضر]]</f>
        <v>0</v>
      </c>
      <c r="Q632" s="9">
        <f t="shared" ca="1" si="62"/>
        <v>0</v>
      </c>
      <c r="R632" s="3"/>
      <c r="S632" s="3"/>
      <c r="T632" s="9" t="str">
        <f t="shared" si="63"/>
        <v>-</v>
      </c>
      <c r="U632" s="3" t="s">
        <v>25</v>
      </c>
      <c r="V632" s="9" t="str">
        <f t="shared" si="64"/>
        <v>-</v>
      </c>
      <c r="W632" s="4"/>
      <c r="X632" s="38"/>
      <c r="Y632" s="1">
        <f t="shared" ca="1" si="57"/>
        <v>46162</v>
      </c>
      <c r="Z632" s="1" cm="1">
        <f t="array" ref="Z632">IF(D632&gt;DATE(2015,5,16),0,
K632*
(
INT((MIN(Y632,DATE(2015,5,16))-D632)/365)
+
CEILING(MOD((MIN(Y632,DATE(2015,5,16))-D632)/365,1),0.25)
)
*
_xlfn.SWITCH(J632,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32" s="1" cm="1">
        <f t="array" aca="1" ref="AA632" ca="1">IF(Y632&lt;DATE(2015,5,17),0,
K632*
(
INT((MIN(Y632,DATE(2018,9,23))-MAX(D632,DATE(2015,5,17)))/365)
+
CEILING(MOD((MIN(Y632,DATE(2018,9,23))-MAX(D632,DATE(2015,5,17)))/365,1),0.25)
)
*
_xlfn.SWITCH(J632,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32" s="1" cm="1">
        <f t="array" aca="1" ref="AB632" ca="1">IF(Y632&lt;DATE(2018,9,24),0,
IF(J632="زراعة",
K632*
(
INT((MIN(Y632,DATE(2023,4,30))-MAX(D632,DATE(2018,9,24)))/365)
+
CEILING(MOD((MIN(Y632,DATE(2023,4,30))-MAX(D632,DATE(2018,9,24)))/365,1),0.25)
)
*1,
K632*
(
DATEDIF(MAX(D632,DATE(2018,9,24)),MIN(Y632,DATE(2023,4,30)),"m")+1
)
*
_xlfn.SWITCH(J632,
"موقف/تندة",IF(D632&lt;DATE(2019,11,30),6,30),
"تشوينات",IF(D632&lt;DATE(2019,11,30),4,20),
"مشاتل",IF(D632&lt;DATE(2019,11,30),2,10),
"كافيتيريا",IF(D632&lt;DATE(2019,11,30),30,150),
"نوادي",IF(D632&lt;DATE(2019,11,30),6,30),
"رسو مراكب",IF(D632&lt;DATE(2019,11,30),2,10),
"مباني",IF(D632&lt;DATE(2018,9,24),2,10),
"عشش",IF(D632&lt;DATE(2019,11,30),2,10),
"كشك (تجاري/صناعي)",IF(D632&lt;DATE(2019,11,30),10,50),
"ردم",20,
0)))</f>
        <v>0</v>
      </c>
      <c r="AC632" s="1" cm="1">
        <f t="array" aca="1" ref="AC632" ca="1">IF(Y632&lt;DATE(2023,5,1),0,
IF(J632="زراعة",
K632*
(
INT((Y632-MAX(DATE(2023,5,1),D632))/365)
+
CEILING(MOD((Y632-MAX(DATE(2023,5,1),D632))/365,1),0.25)
)
*3,
IF(J632="ردم",
K632*20,
K632*
(
DATEDIF(MAX(DATE(2023,5,1),D632),Y632,"m")+1
)
*
_xlfn.SWITCH(J632,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32" s="1">
        <f t="shared" ca="1" si="58"/>
        <v>55</v>
      </c>
    </row>
    <row r="633" spans="1:30" ht="18.75" x14ac:dyDescent="0.25">
      <c r="A633" s="52">
        <v>570</v>
      </c>
      <c r="B633" s="6">
        <v>33</v>
      </c>
      <c r="C633" s="6">
        <v>2020</v>
      </c>
      <c r="D633" s="7" t="s">
        <v>758</v>
      </c>
      <c r="E633" s="12"/>
      <c r="F633" s="6"/>
      <c r="G633" s="6" t="s">
        <v>307</v>
      </c>
      <c r="H633" s="3"/>
      <c r="I633" s="63" t="s">
        <v>192</v>
      </c>
      <c r="J633" s="3" t="s">
        <v>28</v>
      </c>
      <c r="K633" s="6"/>
      <c r="L633" s="63" t="s">
        <v>89</v>
      </c>
      <c r="M633" s="7"/>
      <c r="N633" s="6"/>
      <c r="O633" s="9">
        <f>0.47*Table2[[#This Row],[قيمة المحضر]]</f>
        <v>0</v>
      </c>
      <c r="P633" s="9">
        <f>0.17*Table2[[#This Row],[قيمة المحضر]]</f>
        <v>0</v>
      </c>
      <c r="Q633" s="9">
        <f t="shared" ca="1" si="62"/>
        <v>0</v>
      </c>
      <c r="R633" s="3"/>
      <c r="S633" s="3"/>
      <c r="T633" s="9" t="str">
        <f t="shared" si="63"/>
        <v>-</v>
      </c>
      <c r="U633" s="3" t="s">
        <v>25</v>
      </c>
      <c r="V633" s="9" t="str">
        <f t="shared" si="64"/>
        <v>-</v>
      </c>
      <c r="W633" s="4"/>
      <c r="X633" s="38"/>
      <c r="Y633" s="1">
        <f t="shared" ca="1" si="57"/>
        <v>46162</v>
      </c>
      <c r="Z633" s="1" cm="1">
        <f t="array" ref="Z633">IF(D633&gt;DATE(2015,5,16),0,
K633*
(
INT((MIN(Y633,DATE(2015,5,16))-D633)/365)
+
CEILING(MOD((MIN(Y633,DATE(2015,5,16))-D633)/365,1),0.25)
)
*
_xlfn.SWITCH(J633,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33" s="1" cm="1">
        <f t="array" aca="1" ref="AA633" ca="1">IF(Y633&lt;DATE(2015,5,17),0,
K633*
(
INT((MIN(Y633,DATE(2018,9,23))-MAX(D633,DATE(2015,5,17)))/365)
+
CEILING(MOD((MIN(Y633,DATE(2018,9,23))-MAX(D633,DATE(2015,5,17)))/365,1),0.25)
)
*
_xlfn.SWITCH(J633,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33" s="1" cm="1">
        <f t="array" aca="1" ref="AB633" ca="1">IF(Y633&lt;DATE(2018,9,24),0,
IF(J633="زراعة",
K633*
(
INT((MIN(Y633,DATE(2023,4,30))-MAX(D633,DATE(2018,9,24)))/365)
+
CEILING(MOD((MIN(Y633,DATE(2023,4,30))-MAX(D633,DATE(2018,9,24)))/365,1),0.25)
)
*1,
K633*
(
DATEDIF(MAX(D633,DATE(2018,9,24)),MIN(Y633,DATE(2023,4,30)),"m")+1
)
*
_xlfn.SWITCH(J633,
"موقف/تندة",IF(D633&lt;DATE(2019,11,30),6,30),
"تشوينات",IF(D633&lt;DATE(2019,11,30),4,20),
"مشاتل",IF(D633&lt;DATE(2019,11,30),2,10),
"كافيتيريا",IF(D633&lt;DATE(2019,11,30),30,150),
"نوادي",IF(D633&lt;DATE(2019,11,30),6,30),
"رسو مراكب",IF(D633&lt;DATE(2019,11,30),2,10),
"مباني",IF(D633&lt;DATE(2018,9,24),2,10),
"عشش",IF(D633&lt;DATE(2019,11,30),2,10),
"كشك (تجاري/صناعي)",IF(D633&lt;DATE(2019,11,30),10,50),
"ردم",20,
0)))</f>
        <v>0</v>
      </c>
      <c r="AC633" s="1" cm="1">
        <f t="array" aca="1" ref="AC633" ca="1">IF(Y633&lt;DATE(2023,5,1),0,
IF(J633="زراعة",
K633*
(
INT((Y633-MAX(DATE(2023,5,1),D633))/365)
+
CEILING(MOD((Y633-MAX(DATE(2023,5,1),D633))/365,1),0.25)
)
*3,
IF(J633="ردم",
K633*20,
K633*
(
DATEDIF(MAX(DATE(2023,5,1),D633),Y633,"m")+1
)
*
_xlfn.SWITCH(J633,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33" s="1">
        <f t="shared" ca="1" si="58"/>
        <v>55</v>
      </c>
    </row>
    <row r="634" spans="1:30" ht="18.75" x14ac:dyDescent="0.25">
      <c r="A634" s="52">
        <v>571</v>
      </c>
      <c r="B634" s="6">
        <v>34</v>
      </c>
      <c r="C634" s="6">
        <v>2020</v>
      </c>
      <c r="D634" s="7" t="s">
        <v>759</v>
      </c>
      <c r="E634" s="12"/>
      <c r="F634" s="6"/>
      <c r="G634" s="6" t="s">
        <v>796</v>
      </c>
      <c r="H634" s="3"/>
      <c r="I634" s="63" t="s">
        <v>50</v>
      </c>
      <c r="J634" s="3" t="s">
        <v>146</v>
      </c>
      <c r="K634" s="6"/>
      <c r="L634" s="63" t="s">
        <v>672</v>
      </c>
      <c r="M634" s="7"/>
      <c r="N634" s="6"/>
      <c r="O634" s="9">
        <f>0.47*Table2[[#This Row],[قيمة المحضر]]</f>
        <v>0</v>
      </c>
      <c r="P634" s="9">
        <f>0.17*Table2[[#This Row],[قيمة المحضر]]</f>
        <v>0</v>
      </c>
      <c r="Q634" s="9">
        <f t="shared" ca="1" si="62"/>
        <v>0</v>
      </c>
      <c r="R634" s="3"/>
      <c r="S634" s="3"/>
      <c r="T634" s="9" t="str">
        <f t="shared" si="63"/>
        <v>-</v>
      </c>
      <c r="U634" s="3" t="s">
        <v>25</v>
      </c>
      <c r="V634" s="9" t="str">
        <f t="shared" si="64"/>
        <v>-</v>
      </c>
      <c r="W634" s="4"/>
      <c r="X634" s="38"/>
      <c r="Y634" s="1">
        <f t="shared" ca="1" si="57"/>
        <v>46162</v>
      </c>
      <c r="Z634" s="1" cm="1">
        <f t="array" ref="Z634">IF(D634&gt;DATE(2015,5,16),0,
K634*
(
INT((MIN(Y634,DATE(2015,5,16))-D634)/365)
+
CEILING(MOD((MIN(Y634,DATE(2015,5,16))-D634)/365,1),0.25)
)
*
_xlfn.SWITCH(J634,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34" s="1" cm="1">
        <f t="array" aca="1" ref="AA634" ca="1">IF(Y634&lt;DATE(2015,5,17),0,
K634*
(
INT((MIN(Y634,DATE(2018,9,23))-MAX(D634,DATE(2015,5,17)))/365)
+
CEILING(MOD((MIN(Y634,DATE(2018,9,23))-MAX(D634,DATE(2015,5,17)))/365,1),0.25)
)
*
_xlfn.SWITCH(J634,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34" s="1" cm="1">
        <f t="array" aca="1" ref="AB634" ca="1">IF(Y634&lt;DATE(2018,9,24),0,
IF(J634="زراعة",
K634*
(
INT((MIN(Y634,DATE(2023,4,30))-MAX(D634,DATE(2018,9,24)))/365)
+
CEILING(MOD((MIN(Y634,DATE(2023,4,30))-MAX(D634,DATE(2018,9,24)))/365,1),0.25)
)
*1,
K634*
(
DATEDIF(MAX(D634,DATE(2018,9,24)),MIN(Y634,DATE(2023,4,30)),"m")+1
)
*
_xlfn.SWITCH(J634,
"موقف/تندة",IF(D634&lt;DATE(2019,11,30),6,30),
"تشوينات",IF(D634&lt;DATE(2019,11,30),4,20),
"مشاتل",IF(D634&lt;DATE(2019,11,30),2,10),
"كافيتيريا",IF(D634&lt;DATE(2019,11,30),30,150),
"نوادي",IF(D634&lt;DATE(2019,11,30),6,30),
"رسو مراكب",IF(D634&lt;DATE(2019,11,30),2,10),
"مباني",IF(D634&lt;DATE(2018,9,24),2,10),
"عشش",IF(D634&lt;DATE(2019,11,30),2,10),
"كشك (تجاري/صناعي)",IF(D634&lt;DATE(2019,11,30),10,50),
"ردم",20,
0)))</f>
        <v>0</v>
      </c>
      <c r="AC634" s="1" cm="1">
        <f t="array" aca="1" ref="AC634" ca="1">IF(Y634&lt;DATE(2023,5,1),0,
IF(J634="زراعة",
K634*
(
INT((Y634-MAX(DATE(2023,5,1),D634))/365)
+
CEILING(MOD((Y634-MAX(DATE(2023,5,1),D634))/365,1),0.25)
)
*3,
IF(J634="ردم",
K634*20,
K634*
(
DATEDIF(MAX(DATE(2023,5,1),D634),Y634,"m")+1
)
*
_xlfn.SWITCH(J634,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34" s="1">
        <f t="shared" ca="1" si="58"/>
        <v>55</v>
      </c>
    </row>
    <row r="635" spans="1:30" ht="18.75" x14ac:dyDescent="0.25">
      <c r="A635" s="52">
        <v>572</v>
      </c>
      <c r="B635" s="6">
        <v>35</v>
      </c>
      <c r="C635" s="6">
        <v>2020</v>
      </c>
      <c r="D635" s="7" t="s">
        <v>759</v>
      </c>
      <c r="E635" s="12"/>
      <c r="F635" s="6"/>
      <c r="G635" s="6" t="s">
        <v>797</v>
      </c>
      <c r="H635" s="3"/>
      <c r="I635" s="63" t="s">
        <v>50</v>
      </c>
      <c r="J635" s="3" t="s">
        <v>146</v>
      </c>
      <c r="K635" s="6"/>
      <c r="L635" s="63" t="s">
        <v>672</v>
      </c>
      <c r="M635" s="7"/>
      <c r="N635" s="6"/>
      <c r="O635" s="9">
        <f>0.47*Table2[[#This Row],[قيمة المحضر]]</f>
        <v>0</v>
      </c>
      <c r="P635" s="9">
        <f>0.17*Table2[[#This Row],[قيمة المحضر]]</f>
        <v>0</v>
      </c>
      <c r="Q635" s="9">
        <f t="shared" ca="1" si="62"/>
        <v>0</v>
      </c>
      <c r="R635" s="3"/>
      <c r="S635" s="3"/>
      <c r="T635" s="9" t="str">
        <f t="shared" si="63"/>
        <v>-</v>
      </c>
      <c r="U635" s="3" t="s">
        <v>25</v>
      </c>
      <c r="V635" s="9" t="str">
        <f t="shared" si="64"/>
        <v>-</v>
      </c>
      <c r="W635" s="4"/>
      <c r="X635" s="38"/>
      <c r="Y635" s="1">
        <f t="shared" ca="1" si="57"/>
        <v>46162</v>
      </c>
      <c r="Z635" s="1" cm="1">
        <f t="array" ref="Z635">IF(D635&gt;DATE(2015,5,16),0,
K635*
(
INT((MIN(Y635,DATE(2015,5,16))-D635)/365)
+
CEILING(MOD((MIN(Y635,DATE(2015,5,16))-D635)/365,1),0.25)
)
*
_xlfn.SWITCH(J635,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35" s="1" cm="1">
        <f t="array" aca="1" ref="AA635" ca="1">IF(Y635&lt;DATE(2015,5,17),0,
K635*
(
INT((MIN(Y635,DATE(2018,9,23))-MAX(D635,DATE(2015,5,17)))/365)
+
CEILING(MOD((MIN(Y635,DATE(2018,9,23))-MAX(D635,DATE(2015,5,17)))/365,1),0.25)
)
*
_xlfn.SWITCH(J635,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35" s="1" cm="1">
        <f t="array" aca="1" ref="AB635" ca="1">IF(Y635&lt;DATE(2018,9,24),0,
IF(J635="زراعة",
K635*
(
INT((MIN(Y635,DATE(2023,4,30))-MAX(D635,DATE(2018,9,24)))/365)
+
CEILING(MOD((MIN(Y635,DATE(2023,4,30))-MAX(D635,DATE(2018,9,24)))/365,1),0.25)
)
*1,
K635*
(
DATEDIF(MAX(D635,DATE(2018,9,24)),MIN(Y635,DATE(2023,4,30)),"m")+1
)
*
_xlfn.SWITCH(J635,
"موقف/تندة",IF(D635&lt;DATE(2019,11,30),6,30),
"تشوينات",IF(D635&lt;DATE(2019,11,30),4,20),
"مشاتل",IF(D635&lt;DATE(2019,11,30),2,10),
"كافيتيريا",IF(D635&lt;DATE(2019,11,30),30,150),
"نوادي",IF(D635&lt;DATE(2019,11,30),6,30),
"رسو مراكب",IF(D635&lt;DATE(2019,11,30),2,10),
"مباني",IF(D635&lt;DATE(2018,9,24),2,10),
"عشش",IF(D635&lt;DATE(2019,11,30),2,10),
"كشك (تجاري/صناعي)",IF(D635&lt;DATE(2019,11,30),10,50),
"ردم",20,
0)))</f>
        <v>0</v>
      </c>
      <c r="AC635" s="1" cm="1">
        <f t="array" aca="1" ref="AC635" ca="1">IF(Y635&lt;DATE(2023,5,1),0,
IF(J635="زراعة",
K635*
(
INT((Y635-MAX(DATE(2023,5,1),D635))/365)
+
CEILING(MOD((Y635-MAX(DATE(2023,5,1),D635))/365,1),0.25)
)
*3,
IF(J635="ردم",
K635*20,
K635*
(
DATEDIF(MAX(DATE(2023,5,1),D635),Y635,"m")+1
)
*
_xlfn.SWITCH(J635,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35" s="1">
        <f t="shared" ca="1" si="58"/>
        <v>55</v>
      </c>
    </row>
    <row r="636" spans="1:30" ht="18.75" x14ac:dyDescent="0.25">
      <c r="A636" s="52">
        <v>573</v>
      </c>
      <c r="B636" s="6">
        <v>36</v>
      </c>
      <c r="C636" s="6">
        <v>2020</v>
      </c>
      <c r="D636" s="7" t="s">
        <v>759</v>
      </c>
      <c r="E636" s="12"/>
      <c r="F636" s="6"/>
      <c r="G636" s="6" t="s">
        <v>798</v>
      </c>
      <c r="H636" s="3"/>
      <c r="I636" s="63" t="s">
        <v>50</v>
      </c>
      <c r="J636" s="3" t="s">
        <v>146</v>
      </c>
      <c r="K636" s="6"/>
      <c r="L636" s="63" t="s">
        <v>672</v>
      </c>
      <c r="M636" s="7"/>
      <c r="N636" s="6"/>
      <c r="O636" s="9">
        <f>0.47*Table2[[#This Row],[قيمة المحضر]]</f>
        <v>0</v>
      </c>
      <c r="P636" s="9">
        <f>0.17*Table2[[#This Row],[قيمة المحضر]]</f>
        <v>0</v>
      </c>
      <c r="Q636" s="9">
        <f t="shared" ca="1" si="62"/>
        <v>0</v>
      </c>
      <c r="R636" s="3"/>
      <c r="S636" s="3"/>
      <c r="T636" s="9" t="str">
        <f t="shared" si="63"/>
        <v>-</v>
      </c>
      <c r="U636" s="3" t="s">
        <v>25</v>
      </c>
      <c r="V636" s="9" t="str">
        <f t="shared" si="64"/>
        <v>-</v>
      </c>
      <c r="W636" s="4"/>
      <c r="X636" s="38"/>
      <c r="Y636" s="1">
        <f t="shared" ca="1" si="57"/>
        <v>46162</v>
      </c>
      <c r="Z636" s="1" cm="1">
        <f t="array" ref="Z636">IF(D636&gt;DATE(2015,5,16),0,
K636*
(
INT((MIN(Y636,DATE(2015,5,16))-D636)/365)
+
CEILING(MOD((MIN(Y636,DATE(2015,5,16))-D636)/365,1),0.25)
)
*
_xlfn.SWITCH(J636,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36" s="1" cm="1">
        <f t="array" aca="1" ref="AA636" ca="1">IF(Y636&lt;DATE(2015,5,17),0,
K636*
(
INT((MIN(Y636,DATE(2018,9,23))-MAX(D636,DATE(2015,5,17)))/365)
+
CEILING(MOD((MIN(Y636,DATE(2018,9,23))-MAX(D636,DATE(2015,5,17)))/365,1),0.25)
)
*
_xlfn.SWITCH(J636,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36" s="1" cm="1">
        <f t="array" aca="1" ref="AB636" ca="1">IF(Y636&lt;DATE(2018,9,24),0,
IF(J636="زراعة",
K636*
(
INT((MIN(Y636,DATE(2023,4,30))-MAX(D636,DATE(2018,9,24)))/365)
+
CEILING(MOD((MIN(Y636,DATE(2023,4,30))-MAX(D636,DATE(2018,9,24)))/365,1),0.25)
)
*1,
K636*
(
DATEDIF(MAX(D636,DATE(2018,9,24)),MIN(Y636,DATE(2023,4,30)),"m")+1
)
*
_xlfn.SWITCH(J636,
"موقف/تندة",IF(D636&lt;DATE(2019,11,30),6,30),
"تشوينات",IF(D636&lt;DATE(2019,11,30),4,20),
"مشاتل",IF(D636&lt;DATE(2019,11,30),2,10),
"كافيتيريا",IF(D636&lt;DATE(2019,11,30),30,150),
"نوادي",IF(D636&lt;DATE(2019,11,30),6,30),
"رسو مراكب",IF(D636&lt;DATE(2019,11,30),2,10),
"مباني",IF(D636&lt;DATE(2018,9,24),2,10),
"عشش",IF(D636&lt;DATE(2019,11,30),2,10),
"كشك (تجاري/صناعي)",IF(D636&lt;DATE(2019,11,30),10,50),
"ردم",20,
0)))</f>
        <v>0</v>
      </c>
      <c r="AC636" s="1" cm="1">
        <f t="array" aca="1" ref="AC636" ca="1">IF(Y636&lt;DATE(2023,5,1),0,
IF(J636="زراعة",
K636*
(
INT((Y636-MAX(DATE(2023,5,1),D636))/365)
+
CEILING(MOD((Y636-MAX(DATE(2023,5,1),D636))/365,1),0.25)
)
*3,
IF(J636="ردم",
K636*20,
K636*
(
DATEDIF(MAX(DATE(2023,5,1),D636),Y636,"m")+1
)
*
_xlfn.SWITCH(J636,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36" s="1">
        <f t="shared" ca="1" si="58"/>
        <v>55</v>
      </c>
    </row>
    <row r="637" spans="1:30" ht="18.75" x14ac:dyDescent="0.25">
      <c r="A637" s="52">
        <v>574</v>
      </c>
      <c r="B637" s="6">
        <v>37</v>
      </c>
      <c r="C637" s="6">
        <v>2020</v>
      </c>
      <c r="D637" s="7" t="s">
        <v>759</v>
      </c>
      <c r="E637" s="12"/>
      <c r="F637" s="6"/>
      <c r="G637" s="6" t="s">
        <v>799</v>
      </c>
      <c r="H637" s="3"/>
      <c r="I637" s="63" t="s">
        <v>50</v>
      </c>
      <c r="J637" s="3" t="s">
        <v>146</v>
      </c>
      <c r="K637" s="6"/>
      <c r="L637" s="63" t="s">
        <v>672</v>
      </c>
      <c r="M637" s="7"/>
      <c r="N637" s="6"/>
      <c r="O637" s="9">
        <f>0.47*Table2[[#This Row],[قيمة المحضر]]</f>
        <v>0</v>
      </c>
      <c r="P637" s="9">
        <f>0.17*Table2[[#This Row],[قيمة المحضر]]</f>
        <v>0</v>
      </c>
      <c r="Q637" s="9">
        <f t="shared" ca="1" si="62"/>
        <v>0</v>
      </c>
      <c r="R637" s="3"/>
      <c r="S637" s="3"/>
      <c r="T637" s="9" t="str">
        <f t="shared" si="63"/>
        <v>-</v>
      </c>
      <c r="U637" s="3" t="s">
        <v>25</v>
      </c>
      <c r="V637" s="9" t="str">
        <f t="shared" si="64"/>
        <v>-</v>
      </c>
      <c r="W637" s="4"/>
      <c r="X637" s="38"/>
      <c r="Y637" s="1">
        <f t="shared" ca="1" si="57"/>
        <v>46162</v>
      </c>
      <c r="Z637" s="1" cm="1">
        <f t="array" ref="Z637">IF(D637&gt;DATE(2015,5,16),0,
K637*
(
INT((MIN(Y637,DATE(2015,5,16))-D637)/365)
+
CEILING(MOD((MIN(Y637,DATE(2015,5,16))-D637)/365,1),0.25)
)
*
_xlfn.SWITCH(J637,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37" s="1" cm="1">
        <f t="array" aca="1" ref="AA637" ca="1">IF(Y637&lt;DATE(2015,5,17),0,
K637*
(
INT((MIN(Y637,DATE(2018,9,23))-MAX(D637,DATE(2015,5,17)))/365)
+
CEILING(MOD((MIN(Y637,DATE(2018,9,23))-MAX(D637,DATE(2015,5,17)))/365,1),0.25)
)
*
_xlfn.SWITCH(J637,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37" s="1" cm="1">
        <f t="array" aca="1" ref="AB637" ca="1">IF(Y637&lt;DATE(2018,9,24),0,
IF(J637="زراعة",
K637*
(
INT((MIN(Y637,DATE(2023,4,30))-MAX(D637,DATE(2018,9,24)))/365)
+
CEILING(MOD((MIN(Y637,DATE(2023,4,30))-MAX(D637,DATE(2018,9,24)))/365,1),0.25)
)
*1,
K637*
(
DATEDIF(MAX(D637,DATE(2018,9,24)),MIN(Y637,DATE(2023,4,30)),"m")+1
)
*
_xlfn.SWITCH(J637,
"موقف/تندة",IF(D637&lt;DATE(2019,11,30),6,30),
"تشوينات",IF(D637&lt;DATE(2019,11,30),4,20),
"مشاتل",IF(D637&lt;DATE(2019,11,30),2,10),
"كافيتيريا",IF(D637&lt;DATE(2019,11,30),30,150),
"نوادي",IF(D637&lt;DATE(2019,11,30),6,30),
"رسو مراكب",IF(D637&lt;DATE(2019,11,30),2,10),
"مباني",IF(D637&lt;DATE(2018,9,24),2,10),
"عشش",IF(D637&lt;DATE(2019,11,30),2,10),
"كشك (تجاري/صناعي)",IF(D637&lt;DATE(2019,11,30),10,50),
"ردم",20,
0)))</f>
        <v>0</v>
      </c>
      <c r="AC637" s="1" cm="1">
        <f t="array" aca="1" ref="AC637" ca="1">IF(Y637&lt;DATE(2023,5,1),0,
IF(J637="زراعة",
K637*
(
INT((Y637-MAX(DATE(2023,5,1),D637))/365)
+
CEILING(MOD((Y637-MAX(DATE(2023,5,1),D637))/365,1),0.25)
)
*3,
IF(J637="ردم",
K637*20,
K637*
(
DATEDIF(MAX(DATE(2023,5,1),D637),Y637,"m")+1
)
*
_xlfn.SWITCH(J637,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37" s="1">
        <f t="shared" ca="1" si="58"/>
        <v>55</v>
      </c>
    </row>
    <row r="638" spans="1:30" ht="18.75" x14ac:dyDescent="0.25">
      <c r="A638" s="52">
        <v>575</v>
      </c>
      <c r="B638" s="6">
        <v>38</v>
      </c>
      <c r="C638" s="6">
        <v>2020</v>
      </c>
      <c r="D638" s="7" t="s">
        <v>759</v>
      </c>
      <c r="E638" s="12"/>
      <c r="F638" s="6"/>
      <c r="G638" s="6" t="s">
        <v>800</v>
      </c>
      <c r="H638" s="3"/>
      <c r="I638" s="63" t="s">
        <v>50</v>
      </c>
      <c r="J638" s="3" t="s">
        <v>146</v>
      </c>
      <c r="K638" s="6"/>
      <c r="L638" s="63" t="s">
        <v>672</v>
      </c>
      <c r="M638" s="7"/>
      <c r="N638" s="6"/>
      <c r="O638" s="9">
        <f>0.47*Table2[[#This Row],[قيمة المحضر]]</f>
        <v>0</v>
      </c>
      <c r="P638" s="9">
        <f>0.17*Table2[[#This Row],[قيمة المحضر]]</f>
        <v>0</v>
      </c>
      <c r="Q638" s="9">
        <f t="shared" ca="1" si="62"/>
        <v>0</v>
      </c>
      <c r="R638" s="3"/>
      <c r="S638" s="3"/>
      <c r="T638" s="9" t="str">
        <f t="shared" si="63"/>
        <v>-</v>
      </c>
      <c r="U638" s="3" t="s">
        <v>25</v>
      </c>
      <c r="V638" s="9" t="str">
        <f t="shared" si="64"/>
        <v>-</v>
      </c>
      <c r="W638" s="4"/>
      <c r="X638" s="38"/>
      <c r="Y638" s="1">
        <f t="shared" ca="1" si="57"/>
        <v>46162</v>
      </c>
      <c r="Z638" s="1" cm="1">
        <f t="array" ref="Z638">IF(D638&gt;DATE(2015,5,16),0,
K638*
(
INT((MIN(Y638,DATE(2015,5,16))-D638)/365)
+
CEILING(MOD((MIN(Y638,DATE(2015,5,16))-D638)/365,1),0.25)
)
*
_xlfn.SWITCH(J638,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38" s="1" cm="1">
        <f t="array" aca="1" ref="AA638" ca="1">IF(Y638&lt;DATE(2015,5,17),0,
K638*
(
INT((MIN(Y638,DATE(2018,9,23))-MAX(D638,DATE(2015,5,17)))/365)
+
CEILING(MOD((MIN(Y638,DATE(2018,9,23))-MAX(D638,DATE(2015,5,17)))/365,1),0.25)
)
*
_xlfn.SWITCH(J638,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38" s="1" cm="1">
        <f t="array" aca="1" ref="AB638" ca="1">IF(Y638&lt;DATE(2018,9,24),0,
IF(J638="زراعة",
K638*
(
INT((MIN(Y638,DATE(2023,4,30))-MAX(D638,DATE(2018,9,24)))/365)
+
CEILING(MOD((MIN(Y638,DATE(2023,4,30))-MAX(D638,DATE(2018,9,24)))/365,1),0.25)
)
*1,
K638*
(
DATEDIF(MAX(D638,DATE(2018,9,24)),MIN(Y638,DATE(2023,4,30)),"m")+1
)
*
_xlfn.SWITCH(J638,
"موقف/تندة",IF(D638&lt;DATE(2019,11,30),6,30),
"تشوينات",IF(D638&lt;DATE(2019,11,30),4,20),
"مشاتل",IF(D638&lt;DATE(2019,11,30),2,10),
"كافيتيريا",IF(D638&lt;DATE(2019,11,30),30,150),
"نوادي",IF(D638&lt;DATE(2019,11,30),6,30),
"رسو مراكب",IF(D638&lt;DATE(2019,11,30),2,10),
"مباني",IF(D638&lt;DATE(2018,9,24),2,10),
"عشش",IF(D638&lt;DATE(2019,11,30),2,10),
"كشك (تجاري/صناعي)",IF(D638&lt;DATE(2019,11,30),10,50),
"ردم",20,
0)))</f>
        <v>0</v>
      </c>
      <c r="AC638" s="1" cm="1">
        <f t="array" aca="1" ref="AC638" ca="1">IF(Y638&lt;DATE(2023,5,1),0,
IF(J638="زراعة",
K638*
(
INT((Y638-MAX(DATE(2023,5,1),D638))/365)
+
CEILING(MOD((Y638-MAX(DATE(2023,5,1),D638))/365,1),0.25)
)
*3,
IF(J638="ردم",
K638*20,
K638*
(
DATEDIF(MAX(DATE(2023,5,1),D638),Y638,"m")+1
)
*
_xlfn.SWITCH(J638,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38" s="1">
        <f t="shared" ca="1" si="58"/>
        <v>55</v>
      </c>
    </row>
    <row r="639" spans="1:30" ht="18.75" x14ac:dyDescent="0.25">
      <c r="A639" s="52">
        <v>576</v>
      </c>
      <c r="B639" s="6">
        <v>39</v>
      </c>
      <c r="C639" s="6">
        <v>2020</v>
      </c>
      <c r="D639" s="7" t="s">
        <v>759</v>
      </c>
      <c r="E639" s="12"/>
      <c r="F639" s="6"/>
      <c r="G639" s="6" t="s">
        <v>801</v>
      </c>
      <c r="H639" s="3"/>
      <c r="I639" s="63" t="s">
        <v>50</v>
      </c>
      <c r="J639" s="3" t="s">
        <v>146</v>
      </c>
      <c r="K639" s="6"/>
      <c r="L639" s="63" t="s">
        <v>672</v>
      </c>
      <c r="M639" s="7"/>
      <c r="N639" s="6"/>
      <c r="O639" s="9">
        <f>0.47*Table2[[#This Row],[قيمة المحضر]]</f>
        <v>0</v>
      </c>
      <c r="P639" s="9">
        <f>0.17*Table2[[#This Row],[قيمة المحضر]]</f>
        <v>0</v>
      </c>
      <c r="Q639" s="9">
        <f t="shared" ca="1" si="62"/>
        <v>0</v>
      </c>
      <c r="R639" s="3"/>
      <c r="S639" s="3"/>
      <c r="T639" s="9" t="str">
        <f t="shared" si="63"/>
        <v>-</v>
      </c>
      <c r="U639" s="3" t="s">
        <v>25</v>
      </c>
      <c r="V639" s="9" t="str">
        <f t="shared" si="64"/>
        <v>-</v>
      </c>
      <c r="W639" s="4"/>
      <c r="X639" s="38"/>
      <c r="Y639" s="1">
        <f t="shared" ca="1" si="57"/>
        <v>46162</v>
      </c>
      <c r="Z639" s="1" cm="1">
        <f t="array" ref="Z639">IF(D639&gt;DATE(2015,5,16),0,
K639*
(
INT((MIN(Y639,DATE(2015,5,16))-D639)/365)
+
CEILING(MOD((MIN(Y639,DATE(2015,5,16))-D639)/365,1),0.25)
)
*
_xlfn.SWITCH(J639,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39" s="1" cm="1">
        <f t="array" aca="1" ref="AA639" ca="1">IF(Y639&lt;DATE(2015,5,17),0,
K639*
(
INT((MIN(Y639,DATE(2018,9,23))-MAX(D639,DATE(2015,5,17)))/365)
+
CEILING(MOD((MIN(Y639,DATE(2018,9,23))-MAX(D639,DATE(2015,5,17)))/365,1),0.25)
)
*
_xlfn.SWITCH(J639,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39" s="1" cm="1">
        <f t="array" aca="1" ref="AB639" ca="1">IF(Y639&lt;DATE(2018,9,24),0,
IF(J639="زراعة",
K639*
(
INT((MIN(Y639,DATE(2023,4,30))-MAX(D639,DATE(2018,9,24)))/365)
+
CEILING(MOD((MIN(Y639,DATE(2023,4,30))-MAX(D639,DATE(2018,9,24)))/365,1),0.25)
)
*1,
K639*
(
DATEDIF(MAX(D639,DATE(2018,9,24)),MIN(Y639,DATE(2023,4,30)),"m")+1
)
*
_xlfn.SWITCH(J639,
"موقف/تندة",IF(D639&lt;DATE(2019,11,30),6,30),
"تشوينات",IF(D639&lt;DATE(2019,11,30),4,20),
"مشاتل",IF(D639&lt;DATE(2019,11,30),2,10),
"كافيتيريا",IF(D639&lt;DATE(2019,11,30),30,150),
"نوادي",IF(D639&lt;DATE(2019,11,30),6,30),
"رسو مراكب",IF(D639&lt;DATE(2019,11,30),2,10),
"مباني",IF(D639&lt;DATE(2018,9,24),2,10),
"عشش",IF(D639&lt;DATE(2019,11,30),2,10),
"كشك (تجاري/صناعي)",IF(D639&lt;DATE(2019,11,30),10,50),
"ردم",20,
0)))</f>
        <v>0</v>
      </c>
      <c r="AC639" s="1" cm="1">
        <f t="array" aca="1" ref="AC639" ca="1">IF(Y639&lt;DATE(2023,5,1),0,
IF(J639="زراعة",
K639*
(
INT((Y639-MAX(DATE(2023,5,1),D639))/365)
+
CEILING(MOD((Y639-MAX(DATE(2023,5,1),D639))/365,1),0.25)
)
*3,
IF(J639="ردم",
K639*20,
K639*
(
DATEDIF(MAX(DATE(2023,5,1),D639),Y639,"m")+1
)
*
_xlfn.SWITCH(J639,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39" s="1">
        <f t="shared" ca="1" si="58"/>
        <v>55</v>
      </c>
    </row>
    <row r="640" spans="1:30" ht="18.75" x14ac:dyDescent="0.25">
      <c r="A640" s="52">
        <v>577</v>
      </c>
      <c r="B640" s="6">
        <v>40</v>
      </c>
      <c r="C640" s="6">
        <v>2020</v>
      </c>
      <c r="D640" s="7" t="s">
        <v>759</v>
      </c>
      <c r="E640" s="12"/>
      <c r="F640" s="6"/>
      <c r="G640" s="6" t="s">
        <v>802</v>
      </c>
      <c r="H640" s="3"/>
      <c r="I640" s="63" t="s">
        <v>50</v>
      </c>
      <c r="J640" s="3" t="s">
        <v>146</v>
      </c>
      <c r="K640" s="6"/>
      <c r="L640" s="63" t="s">
        <v>672</v>
      </c>
      <c r="M640" s="7"/>
      <c r="N640" s="6"/>
      <c r="O640" s="9">
        <f>0.47*Table2[[#This Row],[قيمة المحضر]]</f>
        <v>0</v>
      </c>
      <c r="P640" s="9">
        <f>0.17*Table2[[#This Row],[قيمة المحضر]]</f>
        <v>0</v>
      </c>
      <c r="Q640" s="9">
        <f t="shared" ca="1" si="62"/>
        <v>0</v>
      </c>
      <c r="R640" s="3"/>
      <c r="S640" s="3"/>
      <c r="T640" s="9" t="str">
        <f t="shared" si="63"/>
        <v>-</v>
      </c>
      <c r="U640" s="3" t="s">
        <v>25</v>
      </c>
      <c r="V640" s="9" t="str">
        <f t="shared" si="64"/>
        <v>-</v>
      </c>
      <c r="W640" s="4"/>
      <c r="X640" s="38"/>
      <c r="Y640" s="1">
        <f t="shared" ca="1" si="57"/>
        <v>46162</v>
      </c>
      <c r="Z640" s="1" cm="1">
        <f t="array" ref="Z640">IF(D640&gt;DATE(2015,5,16),0,
K640*
(
INT((MIN(Y640,DATE(2015,5,16))-D640)/365)
+
CEILING(MOD((MIN(Y640,DATE(2015,5,16))-D640)/365,1),0.25)
)
*
_xlfn.SWITCH(J640,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40" s="1" cm="1">
        <f t="array" aca="1" ref="AA640" ca="1">IF(Y640&lt;DATE(2015,5,17),0,
K640*
(
INT((MIN(Y640,DATE(2018,9,23))-MAX(D640,DATE(2015,5,17)))/365)
+
CEILING(MOD((MIN(Y640,DATE(2018,9,23))-MAX(D640,DATE(2015,5,17)))/365,1),0.25)
)
*
_xlfn.SWITCH(J640,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40" s="1" cm="1">
        <f t="array" aca="1" ref="AB640" ca="1">IF(Y640&lt;DATE(2018,9,24),0,
IF(J640="زراعة",
K640*
(
INT((MIN(Y640,DATE(2023,4,30))-MAX(D640,DATE(2018,9,24)))/365)
+
CEILING(MOD((MIN(Y640,DATE(2023,4,30))-MAX(D640,DATE(2018,9,24)))/365,1),0.25)
)
*1,
K640*
(
DATEDIF(MAX(D640,DATE(2018,9,24)),MIN(Y640,DATE(2023,4,30)),"m")+1
)
*
_xlfn.SWITCH(J640,
"موقف/تندة",IF(D640&lt;DATE(2019,11,30),6,30),
"تشوينات",IF(D640&lt;DATE(2019,11,30),4,20),
"مشاتل",IF(D640&lt;DATE(2019,11,30),2,10),
"كافيتيريا",IF(D640&lt;DATE(2019,11,30),30,150),
"نوادي",IF(D640&lt;DATE(2019,11,30),6,30),
"رسو مراكب",IF(D640&lt;DATE(2019,11,30),2,10),
"مباني",IF(D640&lt;DATE(2018,9,24),2,10),
"عشش",IF(D640&lt;DATE(2019,11,30),2,10),
"كشك (تجاري/صناعي)",IF(D640&lt;DATE(2019,11,30),10,50),
"ردم",20,
0)))</f>
        <v>0</v>
      </c>
      <c r="AC640" s="1" cm="1">
        <f t="array" aca="1" ref="AC640" ca="1">IF(Y640&lt;DATE(2023,5,1),0,
IF(J640="زراعة",
K640*
(
INT((Y640-MAX(DATE(2023,5,1),D640))/365)
+
CEILING(MOD((Y640-MAX(DATE(2023,5,1),D640))/365,1),0.25)
)
*3,
IF(J640="ردم",
K640*20,
K640*
(
DATEDIF(MAX(DATE(2023,5,1),D640),Y640,"m")+1
)
*
_xlfn.SWITCH(J640,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40" s="1">
        <f t="shared" ca="1" si="58"/>
        <v>55</v>
      </c>
    </row>
    <row r="641" spans="1:30" ht="18.75" x14ac:dyDescent="0.25">
      <c r="A641" s="52">
        <v>578</v>
      </c>
      <c r="B641" s="6">
        <v>41</v>
      </c>
      <c r="C641" s="6">
        <v>2020</v>
      </c>
      <c r="D641" s="7" t="s">
        <v>759</v>
      </c>
      <c r="E641" s="12"/>
      <c r="F641" s="6"/>
      <c r="G641" s="6" t="s">
        <v>803</v>
      </c>
      <c r="H641" s="3"/>
      <c r="I641" s="63" t="s">
        <v>50</v>
      </c>
      <c r="J641" s="3" t="s">
        <v>146</v>
      </c>
      <c r="K641" s="6"/>
      <c r="L641" s="63" t="s">
        <v>672</v>
      </c>
      <c r="M641" s="7"/>
      <c r="N641" s="6"/>
      <c r="O641" s="9">
        <f>0.47*Table2[[#This Row],[قيمة المحضر]]</f>
        <v>0</v>
      </c>
      <c r="P641" s="9">
        <f>0.17*Table2[[#This Row],[قيمة المحضر]]</f>
        <v>0</v>
      </c>
      <c r="Q641" s="9">
        <f t="shared" ca="1" si="62"/>
        <v>0</v>
      </c>
      <c r="R641" s="3"/>
      <c r="S641" s="3"/>
      <c r="T641" s="9" t="str">
        <f t="shared" si="63"/>
        <v>-</v>
      </c>
      <c r="U641" s="3" t="s">
        <v>25</v>
      </c>
      <c r="V641" s="9" t="str">
        <f t="shared" si="64"/>
        <v>-</v>
      </c>
      <c r="W641" s="4"/>
      <c r="X641" s="38"/>
      <c r="Y641" s="1">
        <f t="shared" ca="1" si="57"/>
        <v>46162</v>
      </c>
      <c r="Z641" s="1" cm="1">
        <f t="array" ref="Z641">IF(D641&gt;DATE(2015,5,16),0,
K641*
(
INT((MIN(Y641,DATE(2015,5,16))-D641)/365)
+
CEILING(MOD((MIN(Y641,DATE(2015,5,16))-D641)/365,1),0.25)
)
*
_xlfn.SWITCH(J641,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41" s="1" cm="1">
        <f t="array" aca="1" ref="AA641" ca="1">IF(Y641&lt;DATE(2015,5,17),0,
K641*
(
INT((MIN(Y641,DATE(2018,9,23))-MAX(D641,DATE(2015,5,17)))/365)
+
CEILING(MOD((MIN(Y641,DATE(2018,9,23))-MAX(D641,DATE(2015,5,17)))/365,1),0.25)
)
*
_xlfn.SWITCH(J641,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41" s="1" cm="1">
        <f t="array" aca="1" ref="AB641" ca="1">IF(Y641&lt;DATE(2018,9,24),0,
IF(J641="زراعة",
K641*
(
INT((MIN(Y641,DATE(2023,4,30))-MAX(D641,DATE(2018,9,24)))/365)
+
CEILING(MOD((MIN(Y641,DATE(2023,4,30))-MAX(D641,DATE(2018,9,24)))/365,1),0.25)
)
*1,
K641*
(
DATEDIF(MAX(D641,DATE(2018,9,24)),MIN(Y641,DATE(2023,4,30)),"m")+1
)
*
_xlfn.SWITCH(J641,
"موقف/تندة",IF(D641&lt;DATE(2019,11,30),6,30),
"تشوينات",IF(D641&lt;DATE(2019,11,30),4,20),
"مشاتل",IF(D641&lt;DATE(2019,11,30),2,10),
"كافيتيريا",IF(D641&lt;DATE(2019,11,30),30,150),
"نوادي",IF(D641&lt;DATE(2019,11,30),6,30),
"رسو مراكب",IF(D641&lt;DATE(2019,11,30),2,10),
"مباني",IF(D641&lt;DATE(2018,9,24),2,10),
"عشش",IF(D641&lt;DATE(2019,11,30),2,10),
"كشك (تجاري/صناعي)",IF(D641&lt;DATE(2019,11,30),10,50),
"ردم",20,
0)))</f>
        <v>0</v>
      </c>
      <c r="AC641" s="1" cm="1">
        <f t="array" aca="1" ref="AC641" ca="1">IF(Y641&lt;DATE(2023,5,1),0,
IF(J641="زراعة",
K641*
(
INT((Y641-MAX(DATE(2023,5,1),D641))/365)
+
CEILING(MOD((Y641-MAX(DATE(2023,5,1),D641))/365,1),0.25)
)
*3,
IF(J641="ردم",
K641*20,
K641*
(
DATEDIF(MAX(DATE(2023,5,1),D641),Y641,"m")+1
)
*
_xlfn.SWITCH(J641,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41" s="1">
        <f t="shared" ca="1" si="58"/>
        <v>55</v>
      </c>
    </row>
    <row r="642" spans="1:30" ht="18.75" x14ac:dyDescent="0.25">
      <c r="A642" s="52">
        <v>579</v>
      </c>
      <c r="B642" s="6">
        <v>42</v>
      </c>
      <c r="C642" s="6">
        <v>2020</v>
      </c>
      <c r="D642" s="7" t="s">
        <v>759</v>
      </c>
      <c r="E642" s="12"/>
      <c r="F642" s="6"/>
      <c r="G642" s="6" t="s">
        <v>804</v>
      </c>
      <c r="H642" s="3"/>
      <c r="I642" s="63" t="s">
        <v>50</v>
      </c>
      <c r="J642" s="3" t="s">
        <v>146</v>
      </c>
      <c r="K642" s="6"/>
      <c r="L642" s="63" t="s">
        <v>672</v>
      </c>
      <c r="M642" s="7"/>
      <c r="N642" s="6"/>
      <c r="O642" s="9">
        <f>0.47*Table2[[#This Row],[قيمة المحضر]]</f>
        <v>0</v>
      </c>
      <c r="P642" s="9">
        <f>0.17*Table2[[#This Row],[قيمة المحضر]]</f>
        <v>0</v>
      </c>
      <c r="Q642" s="9">
        <f t="shared" ca="1" si="62"/>
        <v>0</v>
      </c>
      <c r="R642" s="3"/>
      <c r="S642" s="3"/>
      <c r="T642" s="9" t="str">
        <f t="shared" si="63"/>
        <v>-</v>
      </c>
      <c r="U642" s="3" t="s">
        <v>25</v>
      </c>
      <c r="V642" s="9" t="str">
        <f t="shared" si="64"/>
        <v>-</v>
      </c>
      <c r="W642" s="4"/>
      <c r="X642" s="38"/>
      <c r="Y642" s="1">
        <f t="shared" ca="1" si="57"/>
        <v>46162</v>
      </c>
      <c r="Z642" s="1" cm="1">
        <f t="array" ref="Z642">IF(D642&gt;DATE(2015,5,16),0,
K642*
(
INT((MIN(Y642,DATE(2015,5,16))-D642)/365)
+
CEILING(MOD((MIN(Y642,DATE(2015,5,16))-D642)/365,1),0.25)
)
*
_xlfn.SWITCH(J642,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42" s="1" cm="1">
        <f t="array" aca="1" ref="AA642" ca="1">IF(Y642&lt;DATE(2015,5,17),0,
K642*
(
INT((MIN(Y642,DATE(2018,9,23))-MAX(D642,DATE(2015,5,17)))/365)
+
CEILING(MOD((MIN(Y642,DATE(2018,9,23))-MAX(D642,DATE(2015,5,17)))/365,1),0.25)
)
*
_xlfn.SWITCH(J642,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42" s="1" cm="1">
        <f t="array" aca="1" ref="AB642" ca="1">IF(Y642&lt;DATE(2018,9,24),0,
IF(J642="زراعة",
K642*
(
INT((MIN(Y642,DATE(2023,4,30))-MAX(D642,DATE(2018,9,24)))/365)
+
CEILING(MOD((MIN(Y642,DATE(2023,4,30))-MAX(D642,DATE(2018,9,24)))/365,1),0.25)
)
*1,
K642*
(
DATEDIF(MAX(D642,DATE(2018,9,24)),MIN(Y642,DATE(2023,4,30)),"m")+1
)
*
_xlfn.SWITCH(J642,
"موقف/تندة",IF(D642&lt;DATE(2019,11,30),6,30),
"تشوينات",IF(D642&lt;DATE(2019,11,30),4,20),
"مشاتل",IF(D642&lt;DATE(2019,11,30),2,10),
"كافيتيريا",IF(D642&lt;DATE(2019,11,30),30,150),
"نوادي",IF(D642&lt;DATE(2019,11,30),6,30),
"رسو مراكب",IF(D642&lt;DATE(2019,11,30),2,10),
"مباني",IF(D642&lt;DATE(2018,9,24),2,10),
"عشش",IF(D642&lt;DATE(2019,11,30),2,10),
"كشك (تجاري/صناعي)",IF(D642&lt;DATE(2019,11,30),10,50),
"ردم",20,
0)))</f>
        <v>0</v>
      </c>
      <c r="AC642" s="1" cm="1">
        <f t="array" aca="1" ref="AC642" ca="1">IF(Y642&lt;DATE(2023,5,1),0,
IF(J642="زراعة",
K642*
(
INT((Y642-MAX(DATE(2023,5,1),D642))/365)
+
CEILING(MOD((Y642-MAX(DATE(2023,5,1),D642))/365,1),0.25)
)
*3,
IF(J642="ردم",
K642*20,
K642*
(
DATEDIF(MAX(DATE(2023,5,1),D642),Y642,"m")+1
)
*
_xlfn.SWITCH(J642,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42" s="1">
        <f t="shared" ca="1" si="58"/>
        <v>55</v>
      </c>
    </row>
    <row r="643" spans="1:30" ht="18.75" x14ac:dyDescent="0.25">
      <c r="A643" s="52">
        <v>580</v>
      </c>
      <c r="B643" s="6">
        <v>43</v>
      </c>
      <c r="C643" s="6">
        <v>2020</v>
      </c>
      <c r="D643" s="7" t="s">
        <v>759</v>
      </c>
      <c r="E643" s="12"/>
      <c r="F643" s="6"/>
      <c r="G643" s="6" t="s">
        <v>805</v>
      </c>
      <c r="H643" s="3"/>
      <c r="I643" s="63" t="s">
        <v>50</v>
      </c>
      <c r="J643" s="3" t="s">
        <v>146</v>
      </c>
      <c r="K643" s="6"/>
      <c r="L643" s="63" t="s">
        <v>672</v>
      </c>
      <c r="M643" s="7"/>
      <c r="N643" s="6"/>
      <c r="O643" s="9">
        <f>0.47*Table2[[#This Row],[قيمة المحضر]]</f>
        <v>0</v>
      </c>
      <c r="P643" s="9">
        <f>0.17*Table2[[#This Row],[قيمة المحضر]]</f>
        <v>0</v>
      </c>
      <c r="Q643" s="9">
        <f t="shared" ca="1" si="62"/>
        <v>0</v>
      </c>
      <c r="R643" s="3"/>
      <c r="S643" s="3"/>
      <c r="T643" s="9" t="str">
        <f t="shared" si="63"/>
        <v>-</v>
      </c>
      <c r="U643" s="3" t="s">
        <v>25</v>
      </c>
      <c r="V643" s="9" t="str">
        <f t="shared" si="64"/>
        <v>-</v>
      </c>
      <c r="W643" s="4"/>
      <c r="X643" s="38"/>
      <c r="Y643" s="1">
        <f t="shared" ref="Y643:Y706" ca="1" si="65">IF(M643="",TODAY(),M643)</f>
        <v>46162</v>
      </c>
      <c r="Z643" s="1" cm="1">
        <f t="array" ref="Z643">IF(D643&gt;DATE(2015,5,16),0,
K643*
(
INT((MIN(Y643,DATE(2015,5,16))-D643)/365)
+
CEILING(MOD((MIN(Y643,DATE(2015,5,16))-D643)/365,1),0.25)
)
*
_xlfn.SWITCH(J643,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43" s="1" cm="1">
        <f t="array" aca="1" ref="AA643" ca="1">IF(Y643&lt;DATE(2015,5,17),0,
K643*
(
INT((MIN(Y643,DATE(2018,9,23))-MAX(D643,DATE(2015,5,17)))/365)
+
CEILING(MOD((MIN(Y643,DATE(2018,9,23))-MAX(D643,DATE(2015,5,17)))/365,1),0.25)
)
*
_xlfn.SWITCH(J643,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43" s="1" cm="1">
        <f t="array" aca="1" ref="AB643" ca="1">IF(Y643&lt;DATE(2018,9,24),0,
IF(J643="زراعة",
K643*
(
INT((MIN(Y643,DATE(2023,4,30))-MAX(D643,DATE(2018,9,24)))/365)
+
CEILING(MOD((MIN(Y643,DATE(2023,4,30))-MAX(D643,DATE(2018,9,24)))/365,1),0.25)
)
*1,
K643*
(
DATEDIF(MAX(D643,DATE(2018,9,24)),MIN(Y643,DATE(2023,4,30)),"m")+1
)
*
_xlfn.SWITCH(J643,
"موقف/تندة",IF(D643&lt;DATE(2019,11,30),6,30),
"تشوينات",IF(D643&lt;DATE(2019,11,30),4,20),
"مشاتل",IF(D643&lt;DATE(2019,11,30),2,10),
"كافيتيريا",IF(D643&lt;DATE(2019,11,30),30,150),
"نوادي",IF(D643&lt;DATE(2019,11,30),6,30),
"رسو مراكب",IF(D643&lt;DATE(2019,11,30),2,10),
"مباني",IF(D643&lt;DATE(2018,9,24),2,10),
"عشش",IF(D643&lt;DATE(2019,11,30),2,10),
"كشك (تجاري/صناعي)",IF(D643&lt;DATE(2019,11,30),10,50),
"ردم",20,
0)))</f>
        <v>0</v>
      </c>
      <c r="AC643" s="1" cm="1">
        <f t="array" aca="1" ref="AC643" ca="1">IF(Y643&lt;DATE(2023,5,1),0,
IF(J643="زراعة",
K643*
(
INT((Y643-MAX(DATE(2023,5,1),D643))/365)
+
CEILING(MOD((Y643-MAX(DATE(2023,5,1),D643))/365,1),0.25)
)
*3,
IF(J643="ردم",
K643*20,
K643*
(
DATEDIF(MAX(DATE(2023,5,1),D643),Y643,"m")+1
)
*
_xlfn.SWITCH(J643,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43" s="1">
        <f t="shared" ref="AD643:AD706" ca="1" si="66">DATEDIF(MAX(D643,DATE(2018,9,24)),MIN(Y643,DATE(2023,4,30)),"m")</f>
        <v>55</v>
      </c>
    </row>
    <row r="644" spans="1:30" ht="18.75" x14ac:dyDescent="0.25">
      <c r="A644" s="52">
        <v>581</v>
      </c>
      <c r="B644" s="6">
        <v>44</v>
      </c>
      <c r="C644" s="6">
        <v>2020</v>
      </c>
      <c r="D644" s="7" t="s">
        <v>759</v>
      </c>
      <c r="E644" s="12"/>
      <c r="F644" s="6"/>
      <c r="G644" s="6" t="s">
        <v>806</v>
      </c>
      <c r="H644" s="3"/>
      <c r="I644" s="63" t="s">
        <v>50</v>
      </c>
      <c r="J644" s="3" t="s">
        <v>146</v>
      </c>
      <c r="K644" s="6"/>
      <c r="L644" s="63" t="s">
        <v>672</v>
      </c>
      <c r="M644" s="7"/>
      <c r="N644" s="6"/>
      <c r="O644" s="9">
        <f>0.47*Table2[[#This Row],[قيمة المحضر]]</f>
        <v>0</v>
      </c>
      <c r="P644" s="9">
        <f>0.17*Table2[[#This Row],[قيمة المحضر]]</f>
        <v>0</v>
      </c>
      <c r="Q644" s="9">
        <f t="shared" ca="1" si="62"/>
        <v>0</v>
      </c>
      <c r="R644" s="3"/>
      <c r="S644" s="3"/>
      <c r="T644" s="9" t="str">
        <f t="shared" si="63"/>
        <v>-</v>
      </c>
      <c r="U644" s="3" t="s">
        <v>25</v>
      </c>
      <c r="V644" s="9" t="str">
        <f t="shared" si="64"/>
        <v>-</v>
      </c>
      <c r="W644" s="4"/>
      <c r="X644" s="38"/>
      <c r="Y644" s="1">
        <f t="shared" ca="1" si="65"/>
        <v>46162</v>
      </c>
      <c r="Z644" s="1" cm="1">
        <f t="array" ref="Z644">IF(D644&gt;DATE(2015,5,16),0,
K644*
(
INT((MIN(Y644,DATE(2015,5,16))-D644)/365)
+
CEILING(MOD((MIN(Y644,DATE(2015,5,16))-D644)/365,1),0.25)
)
*
_xlfn.SWITCH(J644,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44" s="1" cm="1">
        <f t="array" aca="1" ref="AA644" ca="1">IF(Y644&lt;DATE(2015,5,17),0,
K644*
(
INT((MIN(Y644,DATE(2018,9,23))-MAX(D644,DATE(2015,5,17)))/365)
+
CEILING(MOD((MIN(Y644,DATE(2018,9,23))-MAX(D644,DATE(2015,5,17)))/365,1),0.25)
)
*
_xlfn.SWITCH(J644,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44" s="1" cm="1">
        <f t="array" aca="1" ref="AB644" ca="1">IF(Y644&lt;DATE(2018,9,24),0,
IF(J644="زراعة",
K644*
(
INT((MIN(Y644,DATE(2023,4,30))-MAX(D644,DATE(2018,9,24)))/365)
+
CEILING(MOD((MIN(Y644,DATE(2023,4,30))-MAX(D644,DATE(2018,9,24)))/365,1),0.25)
)
*1,
K644*
(
DATEDIF(MAX(D644,DATE(2018,9,24)),MIN(Y644,DATE(2023,4,30)),"m")+1
)
*
_xlfn.SWITCH(J644,
"موقف/تندة",IF(D644&lt;DATE(2019,11,30),6,30),
"تشوينات",IF(D644&lt;DATE(2019,11,30),4,20),
"مشاتل",IF(D644&lt;DATE(2019,11,30),2,10),
"كافيتيريا",IF(D644&lt;DATE(2019,11,30),30,150),
"نوادي",IF(D644&lt;DATE(2019,11,30),6,30),
"رسو مراكب",IF(D644&lt;DATE(2019,11,30),2,10),
"مباني",IF(D644&lt;DATE(2018,9,24),2,10),
"عشش",IF(D644&lt;DATE(2019,11,30),2,10),
"كشك (تجاري/صناعي)",IF(D644&lt;DATE(2019,11,30),10,50),
"ردم",20,
0)))</f>
        <v>0</v>
      </c>
      <c r="AC644" s="1" cm="1">
        <f t="array" aca="1" ref="AC644" ca="1">IF(Y644&lt;DATE(2023,5,1),0,
IF(J644="زراعة",
K644*
(
INT((Y644-MAX(DATE(2023,5,1),D644))/365)
+
CEILING(MOD((Y644-MAX(DATE(2023,5,1),D644))/365,1),0.25)
)
*3,
IF(J644="ردم",
K644*20,
K644*
(
DATEDIF(MAX(DATE(2023,5,1),D644),Y644,"m")+1
)
*
_xlfn.SWITCH(J644,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44" s="1">
        <f t="shared" ca="1" si="66"/>
        <v>55</v>
      </c>
    </row>
    <row r="645" spans="1:30" ht="18.75" x14ac:dyDescent="0.25">
      <c r="A645" s="52">
        <v>582</v>
      </c>
      <c r="B645" s="6">
        <v>45</v>
      </c>
      <c r="C645" s="6">
        <v>2020</v>
      </c>
      <c r="D645" s="7" t="s">
        <v>760</v>
      </c>
      <c r="E645" s="12"/>
      <c r="F645" s="6"/>
      <c r="G645" s="6" t="s">
        <v>807</v>
      </c>
      <c r="H645" s="3"/>
      <c r="I645" s="63" t="s">
        <v>829</v>
      </c>
      <c r="J645" s="3" t="s">
        <v>751</v>
      </c>
      <c r="K645" s="6"/>
      <c r="L645" s="63" t="s">
        <v>90</v>
      </c>
      <c r="M645" s="7"/>
      <c r="N645" s="6"/>
      <c r="O645" s="9">
        <f>0.47*Table2[[#This Row],[قيمة المحضر]]</f>
        <v>0</v>
      </c>
      <c r="P645" s="9">
        <f>0.17*Table2[[#This Row],[قيمة المحضر]]</f>
        <v>0</v>
      </c>
      <c r="Q645" s="9">
        <f t="shared" ca="1" si="62"/>
        <v>0</v>
      </c>
      <c r="R645" s="3"/>
      <c r="S645" s="3"/>
      <c r="T645" s="9" t="str">
        <f t="shared" si="63"/>
        <v>-</v>
      </c>
      <c r="U645" s="3" t="s">
        <v>25</v>
      </c>
      <c r="V645" s="9" t="str">
        <f t="shared" si="64"/>
        <v>-</v>
      </c>
      <c r="W645" s="4"/>
      <c r="X645" s="38"/>
      <c r="Y645" s="1">
        <f t="shared" ca="1" si="65"/>
        <v>46162</v>
      </c>
      <c r="Z645" s="1" cm="1">
        <f t="array" ref="Z645">IF(D645&gt;DATE(2015,5,16),0,
K645*
(
INT((MIN(Y645,DATE(2015,5,16))-D645)/365)
+
CEILING(MOD((MIN(Y645,DATE(2015,5,16))-D645)/365,1),0.25)
)
*
_xlfn.SWITCH(J645,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45" s="1" cm="1">
        <f t="array" aca="1" ref="AA645" ca="1">IF(Y645&lt;DATE(2015,5,17),0,
K645*
(
INT((MIN(Y645,DATE(2018,9,23))-MAX(D645,DATE(2015,5,17)))/365)
+
CEILING(MOD((MIN(Y645,DATE(2018,9,23))-MAX(D645,DATE(2015,5,17)))/365,1),0.25)
)
*
_xlfn.SWITCH(J645,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45" s="1" cm="1">
        <f t="array" aca="1" ref="AB645" ca="1">IF(Y645&lt;DATE(2018,9,24),0,
IF(J645="زراعة",
K645*
(
INT((MIN(Y645,DATE(2023,4,30))-MAX(D645,DATE(2018,9,24)))/365)
+
CEILING(MOD((MIN(Y645,DATE(2023,4,30))-MAX(D645,DATE(2018,9,24)))/365,1),0.25)
)
*1,
K645*
(
DATEDIF(MAX(D645,DATE(2018,9,24)),MIN(Y645,DATE(2023,4,30)),"m")+1
)
*
_xlfn.SWITCH(J645,
"موقف/تندة",IF(D645&lt;DATE(2019,11,30),6,30),
"تشوينات",IF(D645&lt;DATE(2019,11,30),4,20),
"مشاتل",IF(D645&lt;DATE(2019,11,30),2,10),
"كافيتيريا",IF(D645&lt;DATE(2019,11,30),30,150),
"نوادي",IF(D645&lt;DATE(2019,11,30),6,30),
"رسو مراكب",IF(D645&lt;DATE(2019,11,30),2,10),
"مباني",IF(D645&lt;DATE(2018,9,24),2,10),
"عشش",IF(D645&lt;DATE(2019,11,30),2,10),
"كشك (تجاري/صناعي)",IF(D645&lt;DATE(2019,11,30),10,50),
"ردم",20,
0)))</f>
        <v>0</v>
      </c>
      <c r="AC645" s="1" cm="1">
        <f t="array" aca="1" ref="AC645" ca="1">IF(Y645&lt;DATE(2023,5,1),0,
IF(J645="زراعة",
K645*
(
INT((Y645-MAX(DATE(2023,5,1),D645))/365)
+
CEILING(MOD((Y645-MAX(DATE(2023,5,1),D645))/365,1),0.25)
)
*3,
IF(J645="ردم",
K645*20,
K645*
(
DATEDIF(MAX(DATE(2023,5,1),D645),Y645,"m")+1
)
*
_xlfn.SWITCH(J645,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45" s="1">
        <f t="shared" ca="1" si="66"/>
        <v>55</v>
      </c>
    </row>
    <row r="646" spans="1:30" ht="18.75" x14ac:dyDescent="0.25">
      <c r="A646" s="52">
        <v>583</v>
      </c>
      <c r="B646" s="6">
        <v>46</v>
      </c>
      <c r="C646" s="6">
        <v>2020</v>
      </c>
      <c r="D646" s="7" t="s">
        <v>760</v>
      </c>
      <c r="E646" s="12"/>
      <c r="F646" s="6"/>
      <c r="G646" s="6" t="s">
        <v>808</v>
      </c>
      <c r="H646" s="3"/>
      <c r="I646" s="63"/>
      <c r="J646" s="3" t="s">
        <v>29</v>
      </c>
      <c r="K646" s="6"/>
      <c r="L646" s="63" t="s">
        <v>90</v>
      </c>
      <c r="M646" s="7"/>
      <c r="N646" s="6"/>
      <c r="O646" s="9">
        <f>0.47*Table2[[#This Row],[قيمة المحضر]]</f>
        <v>0</v>
      </c>
      <c r="P646" s="9">
        <f>0.17*Table2[[#This Row],[قيمة المحضر]]</f>
        <v>0</v>
      </c>
      <c r="Q646" s="9">
        <f t="shared" ca="1" si="62"/>
        <v>0</v>
      </c>
      <c r="R646" s="3"/>
      <c r="S646" s="3"/>
      <c r="T646" s="9" t="str">
        <f t="shared" si="63"/>
        <v>-</v>
      </c>
      <c r="U646" s="3" t="s">
        <v>25</v>
      </c>
      <c r="V646" s="9" t="str">
        <f t="shared" si="64"/>
        <v>-</v>
      </c>
      <c r="W646" s="4"/>
      <c r="X646" s="38"/>
      <c r="Y646" s="1">
        <f t="shared" ca="1" si="65"/>
        <v>46162</v>
      </c>
      <c r="Z646" s="1" cm="1">
        <f t="array" ref="Z646">IF(D646&gt;DATE(2015,5,16),0,
K646*
(
INT((MIN(Y646,DATE(2015,5,16))-D646)/365)
+
CEILING(MOD((MIN(Y646,DATE(2015,5,16))-D646)/365,1),0.25)
)
*
_xlfn.SWITCH(J646,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46" s="1" cm="1">
        <f t="array" aca="1" ref="AA646" ca="1">IF(Y646&lt;DATE(2015,5,17),0,
K646*
(
INT((MIN(Y646,DATE(2018,9,23))-MAX(D646,DATE(2015,5,17)))/365)
+
CEILING(MOD((MIN(Y646,DATE(2018,9,23))-MAX(D646,DATE(2015,5,17)))/365,1),0.25)
)
*
_xlfn.SWITCH(J646,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46" s="1" cm="1">
        <f t="array" aca="1" ref="AB646" ca="1">IF(Y646&lt;DATE(2018,9,24),0,
IF(J646="زراعة",
K646*
(
INT((MIN(Y646,DATE(2023,4,30))-MAX(D646,DATE(2018,9,24)))/365)
+
CEILING(MOD((MIN(Y646,DATE(2023,4,30))-MAX(D646,DATE(2018,9,24)))/365,1),0.25)
)
*1,
K646*
(
DATEDIF(MAX(D646,DATE(2018,9,24)),MIN(Y646,DATE(2023,4,30)),"m")+1
)
*
_xlfn.SWITCH(J646,
"موقف/تندة",IF(D646&lt;DATE(2019,11,30),6,30),
"تشوينات",IF(D646&lt;DATE(2019,11,30),4,20),
"مشاتل",IF(D646&lt;DATE(2019,11,30),2,10),
"كافيتيريا",IF(D646&lt;DATE(2019,11,30),30,150),
"نوادي",IF(D646&lt;DATE(2019,11,30),6,30),
"رسو مراكب",IF(D646&lt;DATE(2019,11,30),2,10),
"مباني",IF(D646&lt;DATE(2018,9,24),2,10),
"عشش",IF(D646&lt;DATE(2019,11,30),2,10),
"كشك (تجاري/صناعي)",IF(D646&lt;DATE(2019,11,30),10,50),
"ردم",20,
0)))</f>
        <v>0</v>
      </c>
      <c r="AC646" s="1" cm="1">
        <f t="array" aca="1" ref="AC646" ca="1">IF(Y646&lt;DATE(2023,5,1),0,
IF(J646="زراعة",
K646*
(
INT((Y646-MAX(DATE(2023,5,1),D646))/365)
+
CEILING(MOD((Y646-MAX(DATE(2023,5,1),D646))/365,1),0.25)
)
*3,
IF(J646="ردم",
K646*20,
K646*
(
DATEDIF(MAX(DATE(2023,5,1),D646),Y646,"m")+1
)
*
_xlfn.SWITCH(J646,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46" s="1">
        <f t="shared" ca="1" si="66"/>
        <v>55</v>
      </c>
    </row>
    <row r="647" spans="1:30" ht="18.75" x14ac:dyDescent="0.25">
      <c r="A647" s="52">
        <v>584</v>
      </c>
      <c r="B647" s="6">
        <v>47</v>
      </c>
      <c r="C647" s="6">
        <v>2020</v>
      </c>
      <c r="D647" s="7" t="s">
        <v>761</v>
      </c>
      <c r="E647" s="12"/>
      <c r="F647" s="6"/>
      <c r="G647" s="6" t="s">
        <v>809</v>
      </c>
      <c r="H647" s="3"/>
      <c r="I647" s="63" t="s">
        <v>190</v>
      </c>
      <c r="J647" s="3" t="s">
        <v>27</v>
      </c>
      <c r="K647" s="6"/>
      <c r="L647" s="63" t="s">
        <v>90</v>
      </c>
      <c r="M647" s="7"/>
      <c r="N647" s="6"/>
      <c r="O647" s="9">
        <f>0.47*Table2[[#This Row],[قيمة المحضر]]</f>
        <v>0</v>
      </c>
      <c r="P647" s="9">
        <f>0.17*Table2[[#This Row],[قيمة المحضر]]</f>
        <v>0</v>
      </c>
      <c r="Q647" s="9">
        <f t="shared" ca="1" si="62"/>
        <v>0</v>
      </c>
      <c r="R647" s="3"/>
      <c r="S647" s="3"/>
      <c r="T647" s="9" t="str">
        <f t="shared" si="63"/>
        <v>-</v>
      </c>
      <c r="U647" s="3" t="s">
        <v>25</v>
      </c>
      <c r="V647" s="9" t="str">
        <f t="shared" si="64"/>
        <v>-</v>
      </c>
      <c r="W647" s="4"/>
      <c r="X647" s="38"/>
      <c r="Y647" s="1">
        <f t="shared" ca="1" si="65"/>
        <v>46162</v>
      </c>
      <c r="Z647" s="1" cm="1">
        <f t="array" ref="Z647">IF(D647&gt;DATE(2015,5,16),0,
K647*
(
INT((MIN(Y647,DATE(2015,5,16))-D647)/365)
+
CEILING(MOD((MIN(Y647,DATE(2015,5,16))-D647)/365,1),0.25)
)
*
_xlfn.SWITCH(J647,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47" s="1" cm="1">
        <f t="array" aca="1" ref="AA647" ca="1">IF(Y647&lt;DATE(2015,5,17),0,
K647*
(
INT((MIN(Y647,DATE(2018,9,23))-MAX(D647,DATE(2015,5,17)))/365)
+
CEILING(MOD((MIN(Y647,DATE(2018,9,23))-MAX(D647,DATE(2015,5,17)))/365,1),0.25)
)
*
_xlfn.SWITCH(J647,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47" s="1" cm="1">
        <f t="array" aca="1" ref="AB647" ca="1">IF(Y647&lt;DATE(2018,9,24),0,
IF(J647="زراعة",
K647*
(
INT((MIN(Y647,DATE(2023,4,30))-MAX(D647,DATE(2018,9,24)))/365)
+
CEILING(MOD((MIN(Y647,DATE(2023,4,30))-MAX(D647,DATE(2018,9,24)))/365,1),0.25)
)
*1,
K647*
(
DATEDIF(MAX(D647,DATE(2018,9,24)),MIN(Y647,DATE(2023,4,30)),"m")+1
)
*
_xlfn.SWITCH(J647,
"موقف/تندة",IF(D647&lt;DATE(2019,11,30),6,30),
"تشوينات",IF(D647&lt;DATE(2019,11,30),4,20),
"مشاتل",IF(D647&lt;DATE(2019,11,30),2,10),
"كافيتيريا",IF(D647&lt;DATE(2019,11,30),30,150),
"نوادي",IF(D647&lt;DATE(2019,11,30),6,30),
"رسو مراكب",IF(D647&lt;DATE(2019,11,30),2,10),
"مباني",IF(D647&lt;DATE(2018,9,24),2,10),
"عشش",IF(D647&lt;DATE(2019,11,30),2,10),
"كشك (تجاري/صناعي)",IF(D647&lt;DATE(2019,11,30),10,50),
"ردم",20,
0)))</f>
        <v>0</v>
      </c>
      <c r="AC647" s="1" cm="1">
        <f t="array" aca="1" ref="AC647" ca="1">IF(Y647&lt;DATE(2023,5,1),0,
IF(J647="زراعة",
K647*
(
INT((Y647-MAX(DATE(2023,5,1),D647))/365)
+
CEILING(MOD((Y647-MAX(DATE(2023,5,1),D647))/365,1),0.25)
)
*3,
IF(J647="ردم",
K647*20,
K647*
(
DATEDIF(MAX(DATE(2023,5,1),D647),Y647,"m")+1
)
*
_xlfn.SWITCH(J647,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47" s="1">
        <f t="shared" ca="1" si="66"/>
        <v>55</v>
      </c>
    </row>
    <row r="648" spans="1:30" ht="18.75" x14ac:dyDescent="0.25">
      <c r="A648" s="52">
        <v>585</v>
      </c>
      <c r="B648" s="6">
        <v>48</v>
      </c>
      <c r="C648" s="6">
        <v>2020</v>
      </c>
      <c r="D648" s="7" t="s">
        <v>761</v>
      </c>
      <c r="E648" s="12"/>
      <c r="F648" s="6"/>
      <c r="G648" s="6" t="s">
        <v>810</v>
      </c>
      <c r="H648" s="3"/>
      <c r="I648" s="63" t="s">
        <v>190</v>
      </c>
      <c r="J648" s="3" t="s">
        <v>27</v>
      </c>
      <c r="K648" s="6"/>
      <c r="L648" s="63" t="s">
        <v>90</v>
      </c>
      <c r="M648" s="7"/>
      <c r="N648" s="6"/>
      <c r="O648" s="9">
        <f>0.47*Table2[[#This Row],[قيمة المحضر]]</f>
        <v>0</v>
      </c>
      <c r="P648" s="9">
        <f>0.17*Table2[[#This Row],[قيمة المحضر]]</f>
        <v>0</v>
      </c>
      <c r="Q648" s="9">
        <f t="shared" ca="1" si="62"/>
        <v>0</v>
      </c>
      <c r="R648" s="3"/>
      <c r="S648" s="3"/>
      <c r="T648" s="9" t="str">
        <f t="shared" si="63"/>
        <v>-</v>
      </c>
      <c r="U648" s="3" t="s">
        <v>25</v>
      </c>
      <c r="V648" s="9" t="str">
        <f t="shared" si="64"/>
        <v>-</v>
      </c>
      <c r="W648" s="4"/>
      <c r="X648" s="38"/>
      <c r="Y648" s="1">
        <f t="shared" ca="1" si="65"/>
        <v>46162</v>
      </c>
      <c r="Z648" s="1" cm="1">
        <f t="array" ref="Z648">IF(D648&gt;DATE(2015,5,16),0,
K648*
(
INT((MIN(Y648,DATE(2015,5,16))-D648)/365)
+
CEILING(MOD((MIN(Y648,DATE(2015,5,16))-D648)/365,1),0.25)
)
*
_xlfn.SWITCH(J648,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48" s="1" cm="1">
        <f t="array" aca="1" ref="AA648" ca="1">IF(Y648&lt;DATE(2015,5,17),0,
K648*
(
INT((MIN(Y648,DATE(2018,9,23))-MAX(D648,DATE(2015,5,17)))/365)
+
CEILING(MOD((MIN(Y648,DATE(2018,9,23))-MAX(D648,DATE(2015,5,17)))/365,1),0.25)
)
*
_xlfn.SWITCH(J648,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48" s="1" cm="1">
        <f t="array" aca="1" ref="AB648" ca="1">IF(Y648&lt;DATE(2018,9,24),0,
IF(J648="زراعة",
K648*
(
INT((MIN(Y648,DATE(2023,4,30))-MAX(D648,DATE(2018,9,24)))/365)
+
CEILING(MOD((MIN(Y648,DATE(2023,4,30))-MAX(D648,DATE(2018,9,24)))/365,1),0.25)
)
*1,
K648*
(
DATEDIF(MAX(D648,DATE(2018,9,24)),MIN(Y648,DATE(2023,4,30)),"m")+1
)
*
_xlfn.SWITCH(J648,
"موقف/تندة",IF(D648&lt;DATE(2019,11,30),6,30),
"تشوينات",IF(D648&lt;DATE(2019,11,30),4,20),
"مشاتل",IF(D648&lt;DATE(2019,11,30),2,10),
"كافيتيريا",IF(D648&lt;DATE(2019,11,30),30,150),
"نوادي",IF(D648&lt;DATE(2019,11,30),6,30),
"رسو مراكب",IF(D648&lt;DATE(2019,11,30),2,10),
"مباني",IF(D648&lt;DATE(2018,9,24),2,10),
"عشش",IF(D648&lt;DATE(2019,11,30),2,10),
"كشك (تجاري/صناعي)",IF(D648&lt;DATE(2019,11,30),10,50),
"ردم",20,
0)))</f>
        <v>0</v>
      </c>
      <c r="AC648" s="1" cm="1">
        <f t="array" aca="1" ref="AC648" ca="1">IF(Y648&lt;DATE(2023,5,1),0,
IF(J648="زراعة",
K648*
(
INT((Y648-MAX(DATE(2023,5,1),D648))/365)
+
CEILING(MOD((Y648-MAX(DATE(2023,5,1),D648))/365,1),0.25)
)
*3,
IF(J648="ردم",
K648*20,
K648*
(
DATEDIF(MAX(DATE(2023,5,1),D648),Y648,"m")+1
)
*
_xlfn.SWITCH(J648,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48" s="1">
        <f t="shared" ca="1" si="66"/>
        <v>55</v>
      </c>
    </row>
    <row r="649" spans="1:30" ht="18.75" x14ac:dyDescent="0.25">
      <c r="A649" s="52">
        <v>586</v>
      </c>
      <c r="B649" s="6">
        <v>49</v>
      </c>
      <c r="C649" s="6">
        <v>2020</v>
      </c>
      <c r="D649" s="7" t="s">
        <v>762</v>
      </c>
      <c r="E649" s="12"/>
      <c r="F649" s="6"/>
      <c r="G649" s="6" t="s">
        <v>811</v>
      </c>
      <c r="H649" s="3"/>
      <c r="I649" s="63"/>
      <c r="J649" s="3" t="s">
        <v>106</v>
      </c>
      <c r="K649" s="6"/>
      <c r="L649" s="63" t="s">
        <v>90</v>
      </c>
      <c r="M649" s="7"/>
      <c r="N649" s="6"/>
      <c r="O649" s="9">
        <f>0.47*Table2[[#This Row],[قيمة المحضر]]</f>
        <v>0</v>
      </c>
      <c r="P649" s="9">
        <f>0.17*Table2[[#This Row],[قيمة المحضر]]</f>
        <v>0</v>
      </c>
      <c r="Q649" s="9">
        <f t="shared" ca="1" si="62"/>
        <v>0</v>
      </c>
      <c r="R649" s="3"/>
      <c r="S649" s="3"/>
      <c r="T649" s="9" t="str">
        <f t="shared" si="63"/>
        <v>-</v>
      </c>
      <c r="U649" s="3" t="s">
        <v>25</v>
      </c>
      <c r="V649" s="9" t="str">
        <f t="shared" si="64"/>
        <v>-</v>
      </c>
      <c r="W649" s="4"/>
      <c r="X649" s="38"/>
      <c r="Y649" s="1">
        <f t="shared" ca="1" si="65"/>
        <v>46162</v>
      </c>
      <c r="Z649" s="1" cm="1">
        <f t="array" ref="Z649">IF(D649&gt;DATE(2015,5,16),0,
K649*
(
INT((MIN(Y649,DATE(2015,5,16))-D649)/365)
+
CEILING(MOD((MIN(Y649,DATE(2015,5,16))-D649)/365,1),0.25)
)
*
_xlfn.SWITCH(J649,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49" s="1" cm="1">
        <f t="array" aca="1" ref="AA649" ca="1">IF(Y649&lt;DATE(2015,5,17),0,
K649*
(
INT((MIN(Y649,DATE(2018,9,23))-MAX(D649,DATE(2015,5,17)))/365)
+
CEILING(MOD((MIN(Y649,DATE(2018,9,23))-MAX(D649,DATE(2015,5,17)))/365,1),0.25)
)
*
_xlfn.SWITCH(J649,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49" s="1" cm="1">
        <f t="array" aca="1" ref="AB649" ca="1">IF(Y649&lt;DATE(2018,9,24),0,
IF(J649="زراعة",
K649*
(
INT((MIN(Y649,DATE(2023,4,30))-MAX(D649,DATE(2018,9,24)))/365)
+
CEILING(MOD((MIN(Y649,DATE(2023,4,30))-MAX(D649,DATE(2018,9,24)))/365,1),0.25)
)
*1,
K649*
(
DATEDIF(MAX(D649,DATE(2018,9,24)),MIN(Y649,DATE(2023,4,30)),"m")+1
)
*
_xlfn.SWITCH(J649,
"موقف/تندة",IF(D649&lt;DATE(2019,11,30),6,30),
"تشوينات",IF(D649&lt;DATE(2019,11,30),4,20),
"مشاتل",IF(D649&lt;DATE(2019,11,30),2,10),
"كافيتيريا",IF(D649&lt;DATE(2019,11,30),30,150),
"نوادي",IF(D649&lt;DATE(2019,11,30),6,30),
"رسو مراكب",IF(D649&lt;DATE(2019,11,30),2,10),
"مباني",IF(D649&lt;DATE(2018,9,24),2,10),
"عشش",IF(D649&lt;DATE(2019,11,30),2,10),
"كشك (تجاري/صناعي)",IF(D649&lt;DATE(2019,11,30),10,50),
"ردم",20,
0)))</f>
        <v>0</v>
      </c>
      <c r="AC649" s="1" cm="1">
        <f t="array" aca="1" ref="AC649" ca="1">IF(Y649&lt;DATE(2023,5,1),0,
IF(J649="زراعة",
K649*
(
INT((Y649-MAX(DATE(2023,5,1),D649))/365)
+
CEILING(MOD((Y649-MAX(DATE(2023,5,1),D649))/365,1),0.25)
)
*3,
IF(J649="ردم",
K649*20,
K649*
(
DATEDIF(MAX(DATE(2023,5,1),D649),Y649,"m")+1
)
*
_xlfn.SWITCH(J649,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49" s="1">
        <f t="shared" ca="1" si="66"/>
        <v>55</v>
      </c>
    </row>
    <row r="650" spans="1:30" ht="18.75" x14ac:dyDescent="0.25">
      <c r="A650" s="52">
        <v>587</v>
      </c>
      <c r="B650" s="6">
        <v>50</v>
      </c>
      <c r="C650" s="6">
        <v>2020</v>
      </c>
      <c r="D650" s="7" t="s">
        <v>762</v>
      </c>
      <c r="E650" s="12"/>
      <c r="F650" s="6"/>
      <c r="G650" s="6" t="s">
        <v>812</v>
      </c>
      <c r="H650" s="3"/>
      <c r="I650" s="63" t="s">
        <v>103</v>
      </c>
      <c r="J650" s="3" t="s">
        <v>28</v>
      </c>
      <c r="K650" s="6"/>
      <c r="L650" s="63" t="s">
        <v>830</v>
      </c>
      <c r="M650" s="7"/>
      <c r="N650" s="6"/>
      <c r="O650" s="9">
        <f>0.47*Table2[[#This Row],[قيمة المحضر]]</f>
        <v>0</v>
      </c>
      <c r="P650" s="9">
        <f>0.17*Table2[[#This Row],[قيمة المحضر]]</f>
        <v>0</v>
      </c>
      <c r="Q650" s="9">
        <f t="shared" ca="1" si="62"/>
        <v>0</v>
      </c>
      <c r="R650" s="3"/>
      <c r="S650" s="3"/>
      <c r="T650" s="9" t="str">
        <f t="shared" si="63"/>
        <v>-</v>
      </c>
      <c r="U650" s="3" t="s">
        <v>25</v>
      </c>
      <c r="V650" s="9" t="str">
        <f t="shared" si="64"/>
        <v>-</v>
      </c>
      <c r="W650" s="4"/>
      <c r="X650" s="38"/>
      <c r="Y650" s="1">
        <f t="shared" ca="1" si="65"/>
        <v>46162</v>
      </c>
      <c r="Z650" s="1" cm="1">
        <f t="array" ref="Z650">IF(D650&gt;DATE(2015,5,16),0,
K650*
(
INT((MIN(Y650,DATE(2015,5,16))-D650)/365)
+
CEILING(MOD((MIN(Y650,DATE(2015,5,16))-D650)/365,1),0.25)
)
*
_xlfn.SWITCH(J650,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50" s="1" cm="1">
        <f t="array" aca="1" ref="AA650" ca="1">IF(Y650&lt;DATE(2015,5,17),0,
K650*
(
INT((MIN(Y650,DATE(2018,9,23))-MAX(D650,DATE(2015,5,17)))/365)
+
CEILING(MOD((MIN(Y650,DATE(2018,9,23))-MAX(D650,DATE(2015,5,17)))/365,1),0.25)
)
*
_xlfn.SWITCH(J650,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50" s="1" cm="1">
        <f t="array" aca="1" ref="AB650" ca="1">IF(Y650&lt;DATE(2018,9,24),0,
IF(J650="زراعة",
K650*
(
INT((MIN(Y650,DATE(2023,4,30))-MAX(D650,DATE(2018,9,24)))/365)
+
CEILING(MOD((MIN(Y650,DATE(2023,4,30))-MAX(D650,DATE(2018,9,24)))/365,1),0.25)
)
*1,
K650*
(
DATEDIF(MAX(D650,DATE(2018,9,24)),MIN(Y650,DATE(2023,4,30)),"m")+1
)
*
_xlfn.SWITCH(J650,
"موقف/تندة",IF(D650&lt;DATE(2019,11,30),6,30),
"تشوينات",IF(D650&lt;DATE(2019,11,30),4,20),
"مشاتل",IF(D650&lt;DATE(2019,11,30),2,10),
"كافيتيريا",IF(D650&lt;DATE(2019,11,30),30,150),
"نوادي",IF(D650&lt;DATE(2019,11,30),6,30),
"رسو مراكب",IF(D650&lt;DATE(2019,11,30),2,10),
"مباني",IF(D650&lt;DATE(2018,9,24),2,10),
"عشش",IF(D650&lt;DATE(2019,11,30),2,10),
"كشك (تجاري/صناعي)",IF(D650&lt;DATE(2019,11,30),10,50),
"ردم",20,
0)))</f>
        <v>0</v>
      </c>
      <c r="AC650" s="1" cm="1">
        <f t="array" aca="1" ref="AC650" ca="1">IF(Y650&lt;DATE(2023,5,1),0,
IF(J650="زراعة",
K650*
(
INT((Y650-MAX(DATE(2023,5,1),D650))/365)
+
CEILING(MOD((Y650-MAX(DATE(2023,5,1),D650))/365,1),0.25)
)
*3,
IF(J650="ردم",
K650*20,
K650*
(
DATEDIF(MAX(DATE(2023,5,1),D650),Y650,"m")+1
)
*
_xlfn.SWITCH(J650,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50" s="1">
        <f t="shared" ca="1" si="66"/>
        <v>55</v>
      </c>
    </row>
    <row r="651" spans="1:30" ht="18.75" x14ac:dyDescent="0.25">
      <c r="A651" s="52">
        <v>588</v>
      </c>
      <c r="B651" s="6">
        <v>51</v>
      </c>
      <c r="C651" s="6">
        <v>2020</v>
      </c>
      <c r="D651" s="7" t="s">
        <v>762</v>
      </c>
      <c r="E651" s="12"/>
      <c r="F651" s="6"/>
      <c r="G651" s="6" t="s">
        <v>813</v>
      </c>
      <c r="H651" s="3"/>
      <c r="I651" s="63" t="s">
        <v>103</v>
      </c>
      <c r="J651" s="3" t="s">
        <v>28</v>
      </c>
      <c r="K651" s="6"/>
      <c r="L651" s="63" t="s">
        <v>830</v>
      </c>
      <c r="M651" s="7"/>
      <c r="N651" s="6"/>
      <c r="O651" s="9">
        <f>0.47*Table2[[#This Row],[قيمة المحضر]]</f>
        <v>0</v>
      </c>
      <c r="P651" s="9">
        <f>0.17*Table2[[#This Row],[قيمة المحضر]]</f>
        <v>0</v>
      </c>
      <c r="Q651" s="9">
        <f t="shared" ca="1" si="62"/>
        <v>0</v>
      </c>
      <c r="R651" s="3"/>
      <c r="S651" s="3"/>
      <c r="T651" s="9" t="str">
        <f t="shared" si="63"/>
        <v>-</v>
      </c>
      <c r="U651" s="3" t="s">
        <v>25</v>
      </c>
      <c r="V651" s="9" t="str">
        <f t="shared" si="64"/>
        <v>-</v>
      </c>
      <c r="W651" s="4"/>
      <c r="X651" s="38"/>
      <c r="Y651" s="1">
        <f t="shared" ca="1" si="65"/>
        <v>46162</v>
      </c>
      <c r="Z651" s="1" cm="1">
        <f t="array" ref="Z651">IF(D651&gt;DATE(2015,5,16),0,
K651*
(
INT((MIN(Y651,DATE(2015,5,16))-D651)/365)
+
CEILING(MOD((MIN(Y651,DATE(2015,5,16))-D651)/365,1),0.25)
)
*
_xlfn.SWITCH(J651,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51" s="1" cm="1">
        <f t="array" aca="1" ref="AA651" ca="1">IF(Y651&lt;DATE(2015,5,17),0,
K651*
(
INT((MIN(Y651,DATE(2018,9,23))-MAX(D651,DATE(2015,5,17)))/365)
+
CEILING(MOD((MIN(Y651,DATE(2018,9,23))-MAX(D651,DATE(2015,5,17)))/365,1),0.25)
)
*
_xlfn.SWITCH(J651,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51" s="1" cm="1">
        <f t="array" aca="1" ref="AB651" ca="1">IF(Y651&lt;DATE(2018,9,24),0,
IF(J651="زراعة",
K651*
(
INT((MIN(Y651,DATE(2023,4,30))-MAX(D651,DATE(2018,9,24)))/365)
+
CEILING(MOD((MIN(Y651,DATE(2023,4,30))-MAX(D651,DATE(2018,9,24)))/365,1),0.25)
)
*1,
K651*
(
DATEDIF(MAX(D651,DATE(2018,9,24)),MIN(Y651,DATE(2023,4,30)),"m")+1
)
*
_xlfn.SWITCH(J651,
"موقف/تندة",IF(D651&lt;DATE(2019,11,30),6,30),
"تشوينات",IF(D651&lt;DATE(2019,11,30),4,20),
"مشاتل",IF(D651&lt;DATE(2019,11,30),2,10),
"كافيتيريا",IF(D651&lt;DATE(2019,11,30),30,150),
"نوادي",IF(D651&lt;DATE(2019,11,30),6,30),
"رسو مراكب",IF(D651&lt;DATE(2019,11,30),2,10),
"مباني",IF(D651&lt;DATE(2018,9,24),2,10),
"عشش",IF(D651&lt;DATE(2019,11,30),2,10),
"كشك (تجاري/صناعي)",IF(D651&lt;DATE(2019,11,30),10,50),
"ردم",20,
0)))</f>
        <v>0</v>
      </c>
      <c r="AC651" s="1" cm="1">
        <f t="array" aca="1" ref="AC651" ca="1">IF(Y651&lt;DATE(2023,5,1),0,
IF(J651="زراعة",
K651*
(
INT((Y651-MAX(DATE(2023,5,1),D651))/365)
+
CEILING(MOD((Y651-MAX(DATE(2023,5,1),D651))/365,1),0.25)
)
*3,
IF(J651="ردم",
K651*20,
K651*
(
DATEDIF(MAX(DATE(2023,5,1),D651),Y651,"m")+1
)
*
_xlfn.SWITCH(J651,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51" s="1">
        <f t="shared" ca="1" si="66"/>
        <v>55</v>
      </c>
    </row>
    <row r="652" spans="1:30" ht="18.75" x14ac:dyDescent="0.25">
      <c r="A652" s="52">
        <v>589</v>
      </c>
      <c r="B652" s="6">
        <v>52</v>
      </c>
      <c r="C652" s="6">
        <v>2020</v>
      </c>
      <c r="D652" s="7" t="s">
        <v>762</v>
      </c>
      <c r="E652" s="12"/>
      <c r="F652" s="6"/>
      <c r="G652" s="6" t="s">
        <v>814</v>
      </c>
      <c r="H652" s="3"/>
      <c r="I652" s="63" t="s">
        <v>103</v>
      </c>
      <c r="J652" s="3" t="s">
        <v>28</v>
      </c>
      <c r="K652" s="6"/>
      <c r="L652" s="63" t="s">
        <v>830</v>
      </c>
      <c r="M652" s="7"/>
      <c r="N652" s="6"/>
      <c r="O652" s="9">
        <f>0.47*Table2[[#This Row],[قيمة المحضر]]</f>
        <v>0</v>
      </c>
      <c r="P652" s="9">
        <f>0.17*Table2[[#This Row],[قيمة المحضر]]</f>
        <v>0</v>
      </c>
      <c r="Q652" s="9">
        <f t="shared" ca="1" si="62"/>
        <v>0</v>
      </c>
      <c r="R652" s="3"/>
      <c r="S652" s="3"/>
      <c r="T652" s="9" t="str">
        <f t="shared" si="63"/>
        <v>-</v>
      </c>
      <c r="U652" s="3" t="s">
        <v>25</v>
      </c>
      <c r="V652" s="9" t="str">
        <f t="shared" si="64"/>
        <v>-</v>
      </c>
      <c r="W652" s="4"/>
      <c r="X652" s="38"/>
      <c r="Y652" s="1">
        <f t="shared" ca="1" si="65"/>
        <v>46162</v>
      </c>
      <c r="Z652" s="1" cm="1">
        <f t="array" ref="Z652">IF(D652&gt;DATE(2015,5,16),0,
K652*
(
INT((MIN(Y652,DATE(2015,5,16))-D652)/365)
+
CEILING(MOD((MIN(Y652,DATE(2015,5,16))-D652)/365,1),0.25)
)
*
_xlfn.SWITCH(J652,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52" s="1" cm="1">
        <f t="array" aca="1" ref="AA652" ca="1">IF(Y652&lt;DATE(2015,5,17),0,
K652*
(
INT((MIN(Y652,DATE(2018,9,23))-MAX(D652,DATE(2015,5,17)))/365)
+
CEILING(MOD((MIN(Y652,DATE(2018,9,23))-MAX(D652,DATE(2015,5,17)))/365,1),0.25)
)
*
_xlfn.SWITCH(J652,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52" s="1" cm="1">
        <f t="array" aca="1" ref="AB652" ca="1">IF(Y652&lt;DATE(2018,9,24),0,
IF(J652="زراعة",
K652*
(
INT((MIN(Y652,DATE(2023,4,30))-MAX(D652,DATE(2018,9,24)))/365)
+
CEILING(MOD((MIN(Y652,DATE(2023,4,30))-MAX(D652,DATE(2018,9,24)))/365,1),0.25)
)
*1,
K652*
(
DATEDIF(MAX(D652,DATE(2018,9,24)),MIN(Y652,DATE(2023,4,30)),"m")+1
)
*
_xlfn.SWITCH(J652,
"موقف/تندة",IF(D652&lt;DATE(2019,11,30),6,30),
"تشوينات",IF(D652&lt;DATE(2019,11,30),4,20),
"مشاتل",IF(D652&lt;DATE(2019,11,30),2,10),
"كافيتيريا",IF(D652&lt;DATE(2019,11,30),30,150),
"نوادي",IF(D652&lt;DATE(2019,11,30),6,30),
"رسو مراكب",IF(D652&lt;DATE(2019,11,30),2,10),
"مباني",IF(D652&lt;DATE(2018,9,24),2,10),
"عشش",IF(D652&lt;DATE(2019,11,30),2,10),
"كشك (تجاري/صناعي)",IF(D652&lt;DATE(2019,11,30),10,50),
"ردم",20,
0)))</f>
        <v>0</v>
      </c>
      <c r="AC652" s="1" cm="1">
        <f t="array" aca="1" ref="AC652" ca="1">IF(Y652&lt;DATE(2023,5,1),0,
IF(J652="زراعة",
K652*
(
INT((Y652-MAX(DATE(2023,5,1),D652))/365)
+
CEILING(MOD((Y652-MAX(DATE(2023,5,1),D652))/365,1),0.25)
)
*3,
IF(J652="ردم",
K652*20,
K652*
(
DATEDIF(MAX(DATE(2023,5,1),D652),Y652,"m")+1
)
*
_xlfn.SWITCH(J652,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52" s="1">
        <f t="shared" ca="1" si="66"/>
        <v>55</v>
      </c>
    </row>
    <row r="653" spans="1:30" ht="18.75" x14ac:dyDescent="0.25">
      <c r="A653" s="52">
        <v>590</v>
      </c>
      <c r="B653" s="6">
        <v>53</v>
      </c>
      <c r="C653" s="6">
        <v>2020</v>
      </c>
      <c r="D653" s="7" t="s">
        <v>762</v>
      </c>
      <c r="E653" s="12"/>
      <c r="F653" s="6"/>
      <c r="G653" s="6" t="s">
        <v>815</v>
      </c>
      <c r="H653" s="3"/>
      <c r="I653" s="63" t="s">
        <v>103</v>
      </c>
      <c r="J653" s="3" t="s">
        <v>27</v>
      </c>
      <c r="K653" s="6"/>
      <c r="L653" s="63" t="s">
        <v>830</v>
      </c>
      <c r="M653" s="7"/>
      <c r="N653" s="6"/>
      <c r="O653" s="9">
        <f>0.47*Table2[[#This Row],[قيمة المحضر]]</f>
        <v>0</v>
      </c>
      <c r="P653" s="9">
        <f>0.17*Table2[[#This Row],[قيمة المحضر]]</f>
        <v>0</v>
      </c>
      <c r="Q653" s="9">
        <f t="shared" ca="1" si="62"/>
        <v>0</v>
      </c>
      <c r="R653" s="3"/>
      <c r="S653" s="3"/>
      <c r="T653" s="9" t="str">
        <f t="shared" si="63"/>
        <v>-</v>
      </c>
      <c r="U653" s="3" t="s">
        <v>25</v>
      </c>
      <c r="V653" s="9" t="str">
        <f t="shared" si="64"/>
        <v>-</v>
      </c>
      <c r="W653" s="4"/>
      <c r="X653" s="38"/>
      <c r="Y653" s="1">
        <f t="shared" ca="1" si="65"/>
        <v>46162</v>
      </c>
      <c r="Z653" s="1" cm="1">
        <f t="array" ref="Z653">IF(D653&gt;DATE(2015,5,16),0,
K653*
(
INT((MIN(Y653,DATE(2015,5,16))-D653)/365)
+
CEILING(MOD((MIN(Y653,DATE(2015,5,16))-D653)/365,1),0.25)
)
*
_xlfn.SWITCH(J653,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53" s="1" cm="1">
        <f t="array" aca="1" ref="AA653" ca="1">IF(Y653&lt;DATE(2015,5,17),0,
K653*
(
INT((MIN(Y653,DATE(2018,9,23))-MAX(D653,DATE(2015,5,17)))/365)
+
CEILING(MOD((MIN(Y653,DATE(2018,9,23))-MAX(D653,DATE(2015,5,17)))/365,1),0.25)
)
*
_xlfn.SWITCH(J653,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53" s="1" cm="1">
        <f t="array" aca="1" ref="AB653" ca="1">IF(Y653&lt;DATE(2018,9,24),0,
IF(J653="زراعة",
K653*
(
INT((MIN(Y653,DATE(2023,4,30))-MAX(D653,DATE(2018,9,24)))/365)
+
CEILING(MOD((MIN(Y653,DATE(2023,4,30))-MAX(D653,DATE(2018,9,24)))/365,1),0.25)
)
*1,
K653*
(
DATEDIF(MAX(D653,DATE(2018,9,24)),MIN(Y653,DATE(2023,4,30)),"m")+1
)
*
_xlfn.SWITCH(J653,
"موقف/تندة",IF(D653&lt;DATE(2019,11,30),6,30),
"تشوينات",IF(D653&lt;DATE(2019,11,30),4,20),
"مشاتل",IF(D653&lt;DATE(2019,11,30),2,10),
"كافيتيريا",IF(D653&lt;DATE(2019,11,30),30,150),
"نوادي",IF(D653&lt;DATE(2019,11,30),6,30),
"رسو مراكب",IF(D653&lt;DATE(2019,11,30),2,10),
"مباني",IF(D653&lt;DATE(2018,9,24),2,10),
"عشش",IF(D653&lt;DATE(2019,11,30),2,10),
"كشك (تجاري/صناعي)",IF(D653&lt;DATE(2019,11,30),10,50),
"ردم",20,
0)))</f>
        <v>0</v>
      </c>
      <c r="AC653" s="1" cm="1">
        <f t="array" aca="1" ref="AC653" ca="1">IF(Y653&lt;DATE(2023,5,1),0,
IF(J653="زراعة",
K653*
(
INT((Y653-MAX(DATE(2023,5,1),D653))/365)
+
CEILING(MOD((Y653-MAX(DATE(2023,5,1),D653))/365,1),0.25)
)
*3,
IF(J653="ردم",
K653*20,
K653*
(
DATEDIF(MAX(DATE(2023,5,1),D653),Y653,"m")+1
)
*
_xlfn.SWITCH(J653,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53" s="1">
        <f t="shared" ca="1" si="66"/>
        <v>55</v>
      </c>
    </row>
    <row r="654" spans="1:30" ht="18.75" x14ac:dyDescent="0.25">
      <c r="A654" s="52">
        <v>591</v>
      </c>
      <c r="B654" s="6">
        <v>54</v>
      </c>
      <c r="C654" s="6">
        <v>2020</v>
      </c>
      <c r="D654" s="7" t="s">
        <v>762</v>
      </c>
      <c r="E654" s="12"/>
      <c r="F654" s="6"/>
      <c r="G654" s="6" t="s">
        <v>816</v>
      </c>
      <c r="H654" s="3"/>
      <c r="I654" s="63" t="s">
        <v>103</v>
      </c>
      <c r="J654" s="3" t="s">
        <v>27</v>
      </c>
      <c r="K654" s="6"/>
      <c r="L654" s="63" t="s">
        <v>830</v>
      </c>
      <c r="M654" s="7"/>
      <c r="N654" s="6"/>
      <c r="O654" s="9">
        <f>0.47*Table2[[#This Row],[قيمة المحضر]]</f>
        <v>0</v>
      </c>
      <c r="P654" s="9">
        <f>0.17*Table2[[#This Row],[قيمة المحضر]]</f>
        <v>0</v>
      </c>
      <c r="Q654" s="9">
        <f t="shared" ca="1" si="62"/>
        <v>0</v>
      </c>
      <c r="R654" s="3"/>
      <c r="S654" s="3"/>
      <c r="T654" s="9" t="str">
        <f t="shared" si="63"/>
        <v>-</v>
      </c>
      <c r="U654" s="3" t="s">
        <v>25</v>
      </c>
      <c r="V654" s="9" t="str">
        <f t="shared" si="64"/>
        <v>-</v>
      </c>
      <c r="W654" s="4"/>
      <c r="X654" s="38"/>
      <c r="Y654" s="1">
        <f t="shared" ca="1" si="65"/>
        <v>46162</v>
      </c>
      <c r="Z654" s="1" cm="1">
        <f t="array" ref="Z654">IF(D654&gt;DATE(2015,5,16),0,
K654*
(
INT((MIN(Y654,DATE(2015,5,16))-D654)/365)
+
CEILING(MOD((MIN(Y654,DATE(2015,5,16))-D654)/365,1),0.25)
)
*
_xlfn.SWITCH(J654,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54" s="1" cm="1">
        <f t="array" aca="1" ref="AA654" ca="1">IF(Y654&lt;DATE(2015,5,17),0,
K654*
(
INT((MIN(Y654,DATE(2018,9,23))-MAX(D654,DATE(2015,5,17)))/365)
+
CEILING(MOD((MIN(Y654,DATE(2018,9,23))-MAX(D654,DATE(2015,5,17)))/365,1),0.25)
)
*
_xlfn.SWITCH(J654,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54" s="1" cm="1">
        <f t="array" aca="1" ref="AB654" ca="1">IF(Y654&lt;DATE(2018,9,24),0,
IF(J654="زراعة",
K654*
(
INT((MIN(Y654,DATE(2023,4,30))-MAX(D654,DATE(2018,9,24)))/365)
+
CEILING(MOD((MIN(Y654,DATE(2023,4,30))-MAX(D654,DATE(2018,9,24)))/365,1),0.25)
)
*1,
K654*
(
DATEDIF(MAX(D654,DATE(2018,9,24)),MIN(Y654,DATE(2023,4,30)),"m")+1
)
*
_xlfn.SWITCH(J654,
"موقف/تندة",IF(D654&lt;DATE(2019,11,30),6,30),
"تشوينات",IF(D654&lt;DATE(2019,11,30),4,20),
"مشاتل",IF(D654&lt;DATE(2019,11,30),2,10),
"كافيتيريا",IF(D654&lt;DATE(2019,11,30),30,150),
"نوادي",IF(D654&lt;DATE(2019,11,30),6,30),
"رسو مراكب",IF(D654&lt;DATE(2019,11,30),2,10),
"مباني",IF(D654&lt;DATE(2018,9,24),2,10),
"عشش",IF(D654&lt;DATE(2019,11,30),2,10),
"كشك (تجاري/صناعي)",IF(D654&lt;DATE(2019,11,30),10,50),
"ردم",20,
0)))</f>
        <v>0</v>
      </c>
      <c r="AC654" s="1" cm="1">
        <f t="array" aca="1" ref="AC654" ca="1">IF(Y654&lt;DATE(2023,5,1),0,
IF(J654="زراعة",
K654*
(
INT((Y654-MAX(DATE(2023,5,1),D654))/365)
+
CEILING(MOD((Y654-MAX(DATE(2023,5,1),D654))/365,1),0.25)
)
*3,
IF(J654="ردم",
K654*20,
K654*
(
DATEDIF(MAX(DATE(2023,5,1),D654),Y654,"m")+1
)
*
_xlfn.SWITCH(J654,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54" s="1">
        <f t="shared" ca="1" si="66"/>
        <v>55</v>
      </c>
    </row>
    <row r="655" spans="1:30" ht="18.75" x14ac:dyDescent="0.25">
      <c r="A655" s="52">
        <v>592</v>
      </c>
      <c r="B655" s="6">
        <v>55</v>
      </c>
      <c r="C655" s="6">
        <v>2020</v>
      </c>
      <c r="D655" s="7" t="s">
        <v>763</v>
      </c>
      <c r="E655" s="12"/>
      <c r="F655" s="6"/>
      <c r="G655" s="6" t="s">
        <v>817</v>
      </c>
      <c r="H655" s="3"/>
      <c r="I655" s="63" t="s">
        <v>105</v>
      </c>
      <c r="J655" s="3" t="s">
        <v>27</v>
      </c>
      <c r="K655" s="6"/>
      <c r="L655" s="63" t="s">
        <v>368</v>
      </c>
      <c r="M655" s="7"/>
      <c r="N655" s="6"/>
      <c r="O655" s="9">
        <f>0.47*Table2[[#This Row],[قيمة المحضر]]</f>
        <v>0</v>
      </c>
      <c r="P655" s="9">
        <f>0.17*Table2[[#This Row],[قيمة المحضر]]</f>
        <v>0</v>
      </c>
      <c r="Q655" s="9">
        <f t="shared" ca="1" si="62"/>
        <v>0</v>
      </c>
      <c r="R655" s="3"/>
      <c r="S655" s="3"/>
      <c r="T655" s="9" t="str">
        <f t="shared" si="63"/>
        <v>-</v>
      </c>
      <c r="U655" s="3" t="s">
        <v>25</v>
      </c>
      <c r="V655" s="9" t="str">
        <f t="shared" si="64"/>
        <v>-</v>
      </c>
      <c r="W655" s="4"/>
      <c r="X655" s="38"/>
      <c r="Y655" s="1">
        <f t="shared" ca="1" si="65"/>
        <v>46162</v>
      </c>
      <c r="Z655" s="1" cm="1">
        <f t="array" ref="Z655">IF(D655&gt;DATE(2015,5,16),0,
K655*
(
INT((MIN(Y655,DATE(2015,5,16))-D655)/365)
+
CEILING(MOD((MIN(Y655,DATE(2015,5,16))-D655)/365,1),0.25)
)
*
_xlfn.SWITCH(J655,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55" s="1" cm="1">
        <f t="array" aca="1" ref="AA655" ca="1">IF(Y655&lt;DATE(2015,5,17),0,
K655*
(
INT((MIN(Y655,DATE(2018,9,23))-MAX(D655,DATE(2015,5,17)))/365)
+
CEILING(MOD((MIN(Y655,DATE(2018,9,23))-MAX(D655,DATE(2015,5,17)))/365,1),0.25)
)
*
_xlfn.SWITCH(J655,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55" s="1" cm="1">
        <f t="array" aca="1" ref="AB655" ca="1">IF(Y655&lt;DATE(2018,9,24),0,
IF(J655="زراعة",
K655*
(
INT((MIN(Y655,DATE(2023,4,30))-MAX(D655,DATE(2018,9,24)))/365)
+
CEILING(MOD((MIN(Y655,DATE(2023,4,30))-MAX(D655,DATE(2018,9,24)))/365,1),0.25)
)
*1,
K655*
(
DATEDIF(MAX(D655,DATE(2018,9,24)),MIN(Y655,DATE(2023,4,30)),"m")+1
)
*
_xlfn.SWITCH(J655,
"موقف/تندة",IF(D655&lt;DATE(2019,11,30),6,30),
"تشوينات",IF(D655&lt;DATE(2019,11,30),4,20),
"مشاتل",IF(D655&lt;DATE(2019,11,30),2,10),
"كافيتيريا",IF(D655&lt;DATE(2019,11,30),30,150),
"نوادي",IF(D655&lt;DATE(2019,11,30),6,30),
"رسو مراكب",IF(D655&lt;DATE(2019,11,30),2,10),
"مباني",IF(D655&lt;DATE(2018,9,24),2,10),
"عشش",IF(D655&lt;DATE(2019,11,30),2,10),
"كشك (تجاري/صناعي)",IF(D655&lt;DATE(2019,11,30),10,50),
"ردم",20,
0)))</f>
        <v>0</v>
      </c>
      <c r="AC655" s="1" cm="1">
        <f t="array" aca="1" ref="AC655" ca="1">IF(Y655&lt;DATE(2023,5,1),0,
IF(J655="زراعة",
K655*
(
INT((Y655-MAX(DATE(2023,5,1),D655))/365)
+
CEILING(MOD((Y655-MAX(DATE(2023,5,1),D655))/365,1),0.25)
)
*3,
IF(J655="ردم",
K655*20,
K655*
(
DATEDIF(MAX(DATE(2023,5,1),D655),Y655,"m")+1
)
*
_xlfn.SWITCH(J655,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55" s="1">
        <f t="shared" ca="1" si="66"/>
        <v>55</v>
      </c>
    </row>
    <row r="656" spans="1:30" ht="18.75" x14ac:dyDescent="0.25">
      <c r="A656" s="52">
        <v>593</v>
      </c>
      <c r="B656" s="6">
        <v>56</v>
      </c>
      <c r="C656" s="6">
        <v>2020</v>
      </c>
      <c r="D656" s="7" t="s">
        <v>763</v>
      </c>
      <c r="E656" s="12"/>
      <c r="F656" s="6"/>
      <c r="G656" s="6" t="s">
        <v>818</v>
      </c>
      <c r="H656" s="3"/>
      <c r="I656" s="63" t="s">
        <v>105</v>
      </c>
      <c r="J656" s="3" t="s">
        <v>27</v>
      </c>
      <c r="K656" s="6"/>
      <c r="L656" s="63" t="s">
        <v>368</v>
      </c>
      <c r="M656" s="7"/>
      <c r="N656" s="6"/>
      <c r="O656" s="9">
        <f>0.47*Table2[[#This Row],[قيمة المحضر]]</f>
        <v>0</v>
      </c>
      <c r="P656" s="9">
        <f>0.17*Table2[[#This Row],[قيمة المحضر]]</f>
        <v>0</v>
      </c>
      <c r="Q656" s="9">
        <f t="shared" ca="1" si="62"/>
        <v>0</v>
      </c>
      <c r="R656" s="3"/>
      <c r="S656" s="3"/>
      <c r="T656" s="9" t="str">
        <f t="shared" si="63"/>
        <v>-</v>
      </c>
      <c r="U656" s="3" t="s">
        <v>25</v>
      </c>
      <c r="V656" s="9" t="str">
        <f t="shared" si="64"/>
        <v>-</v>
      </c>
      <c r="W656" s="4"/>
      <c r="X656" s="38"/>
      <c r="Y656" s="1">
        <f t="shared" ca="1" si="65"/>
        <v>46162</v>
      </c>
      <c r="Z656" s="1" cm="1">
        <f t="array" ref="Z656">IF(D656&gt;DATE(2015,5,16),0,
K656*
(
INT((MIN(Y656,DATE(2015,5,16))-D656)/365)
+
CEILING(MOD((MIN(Y656,DATE(2015,5,16))-D656)/365,1),0.25)
)
*
_xlfn.SWITCH(J656,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56" s="1" cm="1">
        <f t="array" aca="1" ref="AA656" ca="1">IF(Y656&lt;DATE(2015,5,17),0,
K656*
(
INT((MIN(Y656,DATE(2018,9,23))-MAX(D656,DATE(2015,5,17)))/365)
+
CEILING(MOD((MIN(Y656,DATE(2018,9,23))-MAX(D656,DATE(2015,5,17)))/365,1),0.25)
)
*
_xlfn.SWITCH(J656,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56" s="1" cm="1">
        <f t="array" aca="1" ref="AB656" ca="1">IF(Y656&lt;DATE(2018,9,24),0,
IF(J656="زراعة",
K656*
(
INT((MIN(Y656,DATE(2023,4,30))-MAX(D656,DATE(2018,9,24)))/365)
+
CEILING(MOD((MIN(Y656,DATE(2023,4,30))-MAX(D656,DATE(2018,9,24)))/365,1),0.25)
)
*1,
K656*
(
DATEDIF(MAX(D656,DATE(2018,9,24)),MIN(Y656,DATE(2023,4,30)),"m")+1
)
*
_xlfn.SWITCH(J656,
"موقف/تندة",IF(D656&lt;DATE(2019,11,30),6,30),
"تشوينات",IF(D656&lt;DATE(2019,11,30),4,20),
"مشاتل",IF(D656&lt;DATE(2019,11,30),2,10),
"كافيتيريا",IF(D656&lt;DATE(2019,11,30),30,150),
"نوادي",IF(D656&lt;DATE(2019,11,30),6,30),
"رسو مراكب",IF(D656&lt;DATE(2019,11,30),2,10),
"مباني",IF(D656&lt;DATE(2018,9,24),2,10),
"عشش",IF(D656&lt;DATE(2019,11,30),2,10),
"كشك (تجاري/صناعي)",IF(D656&lt;DATE(2019,11,30),10,50),
"ردم",20,
0)))</f>
        <v>0</v>
      </c>
      <c r="AC656" s="1" cm="1">
        <f t="array" aca="1" ref="AC656" ca="1">IF(Y656&lt;DATE(2023,5,1),0,
IF(J656="زراعة",
K656*
(
INT((Y656-MAX(DATE(2023,5,1),D656))/365)
+
CEILING(MOD((Y656-MAX(DATE(2023,5,1),D656))/365,1),0.25)
)
*3,
IF(J656="ردم",
K656*20,
K656*
(
DATEDIF(MAX(DATE(2023,5,1),D656),Y656,"m")+1
)
*
_xlfn.SWITCH(J656,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56" s="1">
        <f t="shared" ca="1" si="66"/>
        <v>55</v>
      </c>
    </row>
    <row r="657" spans="1:30" ht="18.75" x14ac:dyDescent="0.25">
      <c r="A657" s="52">
        <v>594</v>
      </c>
      <c r="B657" s="6">
        <v>57</v>
      </c>
      <c r="C657" s="6">
        <v>2020</v>
      </c>
      <c r="D657" s="7" t="s">
        <v>763</v>
      </c>
      <c r="E657" s="12"/>
      <c r="F657" s="6"/>
      <c r="G657" s="6" t="s">
        <v>819</v>
      </c>
      <c r="H657" s="3"/>
      <c r="I657" s="63" t="s">
        <v>50</v>
      </c>
      <c r="J657" s="3" t="s">
        <v>77</v>
      </c>
      <c r="K657" s="6"/>
      <c r="L657" s="63" t="s">
        <v>368</v>
      </c>
      <c r="M657" s="7"/>
      <c r="N657" s="6"/>
      <c r="O657" s="9">
        <f>0.47*Table2[[#This Row],[قيمة المحضر]]</f>
        <v>0</v>
      </c>
      <c r="P657" s="9">
        <f>0.17*Table2[[#This Row],[قيمة المحضر]]</f>
        <v>0</v>
      </c>
      <c r="Q657" s="9">
        <f t="shared" ca="1" si="62"/>
        <v>0</v>
      </c>
      <c r="R657" s="3"/>
      <c r="S657" s="3"/>
      <c r="T657" s="9" t="str">
        <f t="shared" si="63"/>
        <v>-</v>
      </c>
      <c r="U657" s="3" t="s">
        <v>25</v>
      </c>
      <c r="V657" s="9" t="str">
        <f t="shared" si="64"/>
        <v>-</v>
      </c>
      <c r="W657" s="4"/>
      <c r="X657" s="38"/>
      <c r="Y657" s="1">
        <f t="shared" ca="1" si="65"/>
        <v>46162</v>
      </c>
      <c r="Z657" s="1" cm="1">
        <f t="array" ref="Z657">IF(D657&gt;DATE(2015,5,16),0,
K657*
(
INT((MIN(Y657,DATE(2015,5,16))-D657)/365)
+
CEILING(MOD((MIN(Y657,DATE(2015,5,16))-D657)/365,1),0.25)
)
*
_xlfn.SWITCH(J657,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57" s="1" cm="1">
        <f t="array" aca="1" ref="AA657" ca="1">IF(Y657&lt;DATE(2015,5,17),0,
K657*
(
INT((MIN(Y657,DATE(2018,9,23))-MAX(D657,DATE(2015,5,17)))/365)
+
CEILING(MOD((MIN(Y657,DATE(2018,9,23))-MAX(D657,DATE(2015,5,17)))/365,1),0.25)
)
*
_xlfn.SWITCH(J657,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57" s="1" cm="1">
        <f t="array" aca="1" ref="AB657" ca="1">IF(Y657&lt;DATE(2018,9,24),0,
IF(J657="زراعة",
K657*
(
INT((MIN(Y657,DATE(2023,4,30))-MAX(D657,DATE(2018,9,24)))/365)
+
CEILING(MOD((MIN(Y657,DATE(2023,4,30))-MAX(D657,DATE(2018,9,24)))/365,1),0.25)
)
*1,
K657*
(
DATEDIF(MAX(D657,DATE(2018,9,24)),MIN(Y657,DATE(2023,4,30)),"m")+1
)
*
_xlfn.SWITCH(J657,
"موقف/تندة",IF(D657&lt;DATE(2019,11,30),6,30),
"تشوينات",IF(D657&lt;DATE(2019,11,30),4,20),
"مشاتل",IF(D657&lt;DATE(2019,11,30),2,10),
"كافيتيريا",IF(D657&lt;DATE(2019,11,30),30,150),
"نوادي",IF(D657&lt;DATE(2019,11,30),6,30),
"رسو مراكب",IF(D657&lt;DATE(2019,11,30),2,10),
"مباني",IF(D657&lt;DATE(2018,9,24),2,10),
"عشش",IF(D657&lt;DATE(2019,11,30),2,10),
"كشك (تجاري/صناعي)",IF(D657&lt;DATE(2019,11,30),10,50),
"ردم",20,
0)))</f>
        <v>0</v>
      </c>
      <c r="AC657" s="1" cm="1">
        <f t="array" aca="1" ref="AC657" ca="1">IF(Y657&lt;DATE(2023,5,1),0,
IF(J657="زراعة",
K657*
(
INT((Y657-MAX(DATE(2023,5,1),D657))/365)
+
CEILING(MOD((Y657-MAX(DATE(2023,5,1),D657))/365,1),0.25)
)
*3,
IF(J657="ردم",
K657*20,
K657*
(
DATEDIF(MAX(DATE(2023,5,1),D657),Y657,"m")+1
)
*
_xlfn.SWITCH(J657,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57" s="1">
        <f t="shared" ca="1" si="66"/>
        <v>55</v>
      </c>
    </row>
    <row r="658" spans="1:30" ht="18.75" x14ac:dyDescent="0.25">
      <c r="A658" s="52">
        <v>595</v>
      </c>
      <c r="B658" s="6">
        <v>58</v>
      </c>
      <c r="C658" s="6">
        <v>2020</v>
      </c>
      <c r="D658" s="7" t="s">
        <v>763</v>
      </c>
      <c r="E658" s="12"/>
      <c r="F658" s="6"/>
      <c r="G658" s="6" t="s">
        <v>820</v>
      </c>
      <c r="H658" s="3"/>
      <c r="I658" s="63" t="s">
        <v>105</v>
      </c>
      <c r="J658" s="3" t="s">
        <v>77</v>
      </c>
      <c r="K658" s="6"/>
      <c r="L658" s="63" t="s">
        <v>368</v>
      </c>
      <c r="M658" s="7"/>
      <c r="N658" s="6"/>
      <c r="O658" s="9">
        <f>0.47*Table2[[#This Row],[قيمة المحضر]]</f>
        <v>0</v>
      </c>
      <c r="P658" s="9">
        <f>0.17*Table2[[#This Row],[قيمة المحضر]]</f>
        <v>0</v>
      </c>
      <c r="Q658" s="9">
        <f t="shared" ca="1" si="62"/>
        <v>0</v>
      </c>
      <c r="R658" s="3"/>
      <c r="S658" s="3"/>
      <c r="T658" s="9" t="str">
        <f t="shared" si="63"/>
        <v>-</v>
      </c>
      <c r="U658" s="3" t="s">
        <v>25</v>
      </c>
      <c r="V658" s="9" t="str">
        <f t="shared" si="64"/>
        <v>-</v>
      </c>
      <c r="W658" s="4"/>
      <c r="X658" s="38"/>
      <c r="Y658" s="1">
        <f t="shared" ca="1" si="65"/>
        <v>46162</v>
      </c>
      <c r="Z658" s="1" cm="1">
        <f t="array" ref="Z658">IF(D658&gt;DATE(2015,5,16),0,
K658*
(
INT((MIN(Y658,DATE(2015,5,16))-D658)/365)
+
CEILING(MOD((MIN(Y658,DATE(2015,5,16))-D658)/365,1),0.25)
)
*
_xlfn.SWITCH(J658,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58" s="1" cm="1">
        <f t="array" aca="1" ref="AA658" ca="1">IF(Y658&lt;DATE(2015,5,17),0,
K658*
(
INT((MIN(Y658,DATE(2018,9,23))-MAX(D658,DATE(2015,5,17)))/365)
+
CEILING(MOD((MIN(Y658,DATE(2018,9,23))-MAX(D658,DATE(2015,5,17)))/365,1),0.25)
)
*
_xlfn.SWITCH(J658,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58" s="1" cm="1">
        <f t="array" aca="1" ref="AB658" ca="1">IF(Y658&lt;DATE(2018,9,24),0,
IF(J658="زراعة",
K658*
(
INT((MIN(Y658,DATE(2023,4,30))-MAX(D658,DATE(2018,9,24)))/365)
+
CEILING(MOD((MIN(Y658,DATE(2023,4,30))-MAX(D658,DATE(2018,9,24)))/365,1),0.25)
)
*1,
K658*
(
DATEDIF(MAX(D658,DATE(2018,9,24)),MIN(Y658,DATE(2023,4,30)),"m")+1
)
*
_xlfn.SWITCH(J658,
"موقف/تندة",IF(D658&lt;DATE(2019,11,30),6,30),
"تشوينات",IF(D658&lt;DATE(2019,11,30),4,20),
"مشاتل",IF(D658&lt;DATE(2019,11,30),2,10),
"كافيتيريا",IF(D658&lt;DATE(2019,11,30),30,150),
"نوادي",IF(D658&lt;DATE(2019,11,30),6,30),
"رسو مراكب",IF(D658&lt;DATE(2019,11,30),2,10),
"مباني",IF(D658&lt;DATE(2018,9,24),2,10),
"عشش",IF(D658&lt;DATE(2019,11,30),2,10),
"كشك (تجاري/صناعي)",IF(D658&lt;DATE(2019,11,30),10,50),
"ردم",20,
0)))</f>
        <v>0</v>
      </c>
      <c r="AC658" s="1" cm="1">
        <f t="array" aca="1" ref="AC658" ca="1">IF(Y658&lt;DATE(2023,5,1),0,
IF(J658="زراعة",
K658*
(
INT((Y658-MAX(DATE(2023,5,1),D658))/365)
+
CEILING(MOD((Y658-MAX(DATE(2023,5,1),D658))/365,1),0.25)
)
*3,
IF(J658="ردم",
K658*20,
K658*
(
DATEDIF(MAX(DATE(2023,5,1),D658),Y658,"m")+1
)
*
_xlfn.SWITCH(J658,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58" s="1">
        <f t="shared" ca="1" si="66"/>
        <v>55</v>
      </c>
    </row>
    <row r="659" spans="1:30" ht="18.75" x14ac:dyDescent="0.25">
      <c r="A659" s="52">
        <v>596</v>
      </c>
      <c r="B659" s="6">
        <v>59</v>
      </c>
      <c r="C659" s="6">
        <v>2020</v>
      </c>
      <c r="D659" s="7" t="s">
        <v>763</v>
      </c>
      <c r="E659" s="12"/>
      <c r="F659" s="6"/>
      <c r="G659" s="6" t="s">
        <v>821</v>
      </c>
      <c r="H659" s="3"/>
      <c r="I659" s="63" t="s">
        <v>105</v>
      </c>
      <c r="J659" s="3" t="s">
        <v>29</v>
      </c>
      <c r="K659" s="6"/>
      <c r="L659" s="63" t="s">
        <v>368</v>
      </c>
      <c r="M659" s="7"/>
      <c r="N659" s="6"/>
      <c r="O659" s="9">
        <f>0.47*Table2[[#This Row],[قيمة المحضر]]</f>
        <v>0</v>
      </c>
      <c r="P659" s="9">
        <f>0.17*Table2[[#This Row],[قيمة المحضر]]</f>
        <v>0</v>
      </c>
      <c r="Q659" s="9">
        <f t="shared" ca="1" si="62"/>
        <v>0</v>
      </c>
      <c r="R659" s="3"/>
      <c r="S659" s="3"/>
      <c r="T659" s="9" t="str">
        <f t="shared" si="63"/>
        <v>-</v>
      </c>
      <c r="U659" s="3" t="s">
        <v>25</v>
      </c>
      <c r="V659" s="9" t="str">
        <f t="shared" si="64"/>
        <v>-</v>
      </c>
      <c r="W659" s="4"/>
      <c r="X659" s="38"/>
      <c r="Y659" s="1">
        <f t="shared" ca="1" si="65"/>
        <v>46162</v>
      </c>
      <c r="Z659" s="1" cm="1">
        <f t="array" ref="Z659">IF(D659&gt;DATE(2015,5,16),0,
K659*
(
INT((MIN(Y659,DATE(2015,5,16))-D659)/365)
+
CEILING(MOD((MIN(Y659,DATE(2015,5,16))-D659)/365,1),0.25)
)
*
_xlfn.SWITCH(J659,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59" s="1" cm="1">
        <f t="array" aca="1" ref="AA659" ca="1">IF(Y659&lt;DATE(2015,5,17),0,
K659*
(
INT((MIN(Y659,DATE(2018,9,23))-MAX(D659,DATE(2015,5,17)))/365)
+
CEILING(MOD((MIN(Y659,DATE(2018,9,23))-MAX(D659,DATE(2015,5,17)))/365,1),0.25)
)
*
_xlfn.SWITCH(J659,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59" s="1" cm="1">
        <f t="array" aca="1" ref="AB659" ca="1">IF(Y659&lt;DATE(2018,9,24),0,
IF(J659="زراعة",
K659*
(
INT((MIN(Y659,DATE(2023,4,30))-MAX(D659,DATE(2018,9,24)))/365)
+
CEILING(MOD((MIN(Y659,DATE(2023,4,30))-MAX(D659,DATE(2018,9,24)))/365,1),0.25)
)
*1,
K659*
(
DATEDIF(MAX(D659,DATE(2018,9,24)),MIN(Y659,DATE(2023,4,30)),"m")+1
)
*
_xlfn.SWITCH(J659,
"موقف/تندة",IF(D659&lt;DATE(2019,11,30),6,30),
"تشوينات",IF(D659&lt;DATE(2019,11,30),4,20),
"مشاتل",IF(D659&lt;DATE(2019,11,30),2,10),
"كافيتيريا",IF(D659&lt;DATE(2019,11,30),30,150),
"نوادي",IF(D659&lt;DATE(2019,11,30),6,30),
"رسو مراكب",IF(D659&lt;DATE(2019,11,30),2,10),
"مباني",IF(D659&lt;DATE(2018,9,24),2,10),
"عشش",IF(D659&lt;DATE(2019,11,30),2,10),
"كشك (تجاري/صناعي)",IF(D659&lt;DATE(2019,11,30),10,50),
"ردم",20,
0)))</f>
        <v>0</v>
      </c>
      <c r="AC659" s="1" cm="1">
        <f t="array" aca="1" ref="AC659" ca="1">IF(Y659&lt;DATE(2023,5,1),0,
IF(J659="زراعة",
K659*
(
INT((Y659-MAX(DATE(2023,5,1),D659))/365)
+
CEILING(MOD((Y659-MAX(DATE(2023,5,1),D659))/365,1),0.25)
)
*3,
IF(J659="ردم",
K659*20,
K659*
(
DATEDIF(MAX(DATE(2023,5,1),D659),Y659,"m")+1
)
*
_xlfn.SWITCH(J659,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59" s="1">
        <f t="shared" ca="1" si="66"/>
        <v>55</v>
      </c>
    </row>
    <row r="660" spans="1:30" ht="18.75" x14ac:dyDescent="0.25">
      <c r="A660" s="52">
        <v>597</v>
      </c>
      <c r="B660" s="6">
        <v>60</v>
      </c>
      <c r="C660" s="6">
        <v>2020</v>
      </c>
      <c r="D660" s="7" t="s">
        <v>763</v>
      </c>
      <c r="E660" s="12"/>
      <c r="F660" s="6"/>
      <c r="G660" s="6" t="s">
        <v>822</v>
      </c>
      <c r="H660" s="3"/>
      <c r="I660" s="63" t="s">
        <v>103</v>
      </c>
      <c r="J660" s="3" t="s">
        <v>27</v>
      </c>
      <c r="K660" s="6"/>
      <c r="L660" s="63" t="s">
        <v>830</v>
      </c>
      <c r="M660" s="7"/>
      <c r="N660" s="6"/>
      <c r="O660" s="9">
        <f>0.47*Table2[[#This Row],[قيمة المحضر]]</f>
        <v>0</v>
      </c>
      <c r="P660" s="9">
        <f>0.17*Table2[[#This Row],[قيمة المحضر]]</f>
        <v>0</v>
      </c>
      <c r="Q660" s="9">
        <f t="shared" ca="1" si="62"/>
        <v>0</v>
      </c>
      <c r="R660" s="3"/>
      <c r="S660" s="3"/>
      <c r="T660" s="9" t="str">
        <f t="shared" si="63"/>
        <v>-</v>
      </c>
      <c r="U660" s="3" t="s">
        <v>25</v>
      </c>
      <c r="V660" s="9" t="str">
        <f t="shared" si="64"/>
        <v>-</v>
      </c>
      <c r="W660" s="4"/>
      <c r="X660" s="38"/>
      <c r="Y660" s="1">
        <f t="shared" ca="1" si="65"/>
        <v>46162</v>
      </c>
      <c r="Z660" s="1" cm="1">
        <f t="array" ref="Z660">IF(D660&gt;DATE(2015,5,16),0,
K660*
(
INT((MIN(Y660,DATE(2015,5,16))-D660)/365)
+
CEILING(MOD((MIN(Y660,DATE(2015,5,16))-D660)/365,1),0.25)
)
*
_xlfn.SWITCH(J660,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60" s="1" cm="1">
        <f t="array" aca="1" ref="AA660" ca="1">IF(Y660&lt;DATE(2015,5,17),0,
K660*
(
INT((MIN(Y660,DATE(2018,9,23))-MAX(D660,DATE(2015,5,17)))/365)
+
CEILING(MOD((MIN(Y660,DATE(2018,9,23))-MAX(D660,DATE(2015,5,17)))/365,1),0.25)
)
*
_xlfn.SWITCH(J660,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60" s="1" cm="1">
        <f t="array" aca="1" ref="AB660" ca="1">IF(Y660&lt;DATE(2018,9,24),0,
IF(J660="زراعة",
K660*
(
INT((MIN(Y660,DATE(2023,4,30))-MAX(D660,DATE(2018,9,24)))/365)
+
CEILING(MOD((MIN(Y660,DATE(2023,4,30))-MAX(D660,DATE(2018,9,24)))/365,1),0.25)
)
*1,
K660*
(
DATEDIF(MAX(D660,DATE(2018,9,24)),MIN(Y660,DATE(2023,4,30)),"m")+1
)
*
_xlfn.SWITCH(J660,
"موقف/تندة",IF(D660&lt;DATE(2019,11,30),6,30),
"تشوينات",IF(D660&lt;DATE(2019,11,30),4,20),
"مشاتل",IF(D660&lt;DATE(2019,11,30),2,10),
"كافيتيريا",IF(D660&lt;DATE(2019,11,30),30,150),
"نوادي",IF(D660&lt;DATE(2019,11,30),6,30),
"رسو مراكب",IF(D660&lt;DATE(2019,11,30),2,10),
"مباني",IF(D660&lt;DATE(2018,9,24),2,10),
"عشش",IF(D660&lt;DATE(2019,11,30),2,10),
"كشك (تجاري/صناعي)",IF(D660&lt;DATE(2019,11,30),10,50),
"ردم",20,
0)))</f>
        <v>0</v>
      </c>
      <c r="AC660" s="1" cm="1">
        <f t="array" aca="1" ref="AC660" ca="1">IF(Y660&lt;DATE(2023,5,1),0,
IF(J660="زراعة",
K660*
(
INT((Y660-MAX(DATE(2023,5,1),D660))/365)
+
CEILING(MOD((Y660-MAX(DATE(2023,5,1),D660))/365,1),0.25)
)
*3,
IF(J660="ردم",
K660*20,
K660*
(
DATEDIF(MAX(DATE(2023,5,1),D660),Y660,"m")+1
)
*
_xlfn.SWITCH(J660,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60" s="1">
        <f t="shared" ca="1" si="66"/>
        <v>55</v>
      </c>
    </row>
    <row r="661" spans="1:30" ht="18.75" x14ac:dyDescent="0.25">
      <c r="A661" s="52">
        <v>598</v>
      </c>
      <c r="B661" s="6">
        <v>61</v>
      </c>
      <c r="C661" s="6">
        <v>2020</v>
      </c>
      <c r="D661" s="7" t="s">
        <v>763</v>
      </c>
      <c r="E661" s="12"/>
      <c r="F661" s="6"/>
      <c r="G661" s="6" t="s">
        <v>823</v>
      </c>
      <c r="H661" s="3"/>
      <c r="I661" s="63" t="s">
        <v>144</v>
      </c>
      <c r="J661" s="3" t="s">
        <v>29</v>
      </c>
      <c r="K661" s="6"/>
      <c r="L661" s="63" t="s">
        <v>368</v>
      </c>
      <c r="M661" s="7"/>
      <c r="N661" s="6"/>
      <c r="O661" s="9">
        <f>0.47*Table2[[#This Row],[قيمة المحضر]]</f>
        <v>0</v>
      </c>
      <c r="P661" s="9">
        <f>0.17*Table2[[#This Row],[قيمة المحضر]]</f>
        <v>0</v>
      </c>
      <c r="Q661" s="9">
        <f t="shared" ca="1" si="62"/>
        <v>0</v>
      </c>
      <c r="R661" s="3"/>
      <c r="S661" s="3"/>
      <c r="T661" s="9" t="str">
        <f t="shared" si="63"/>
        <v>-</v>
      </c>
      <c r="U661" s="3" t="s">
        <v>25</v>
      </c>
      <c r="V661" s="9" t="str">
        <f t="shared" si="64"/>
        <v>-</v>
      </c>
      <c r="W661" s="4"/>
      <c r="X661" s="38"/>
      <c r="Y661" s="1">
        <f t="shared" ca="1" si="65"/>
        <v>46162</v>
      </c>
      <c r="Z661" s="1" cm="1">
        <f t="array" ref="Z661">IF(D661&gt;DATE(2015,5,16),0,
K661*
(
INT((MIN(Y661,DATE(2015,5,16))-D661)/365)
+
CEILING(MOD((MIN(Y661,DATE(2015,5,16))-D661)/365,1),0.25)
)
*
_xlfn.SWITCH(J661,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61" s="1" cm="1">
        <f t="array" aca="1" ref="AA661" ca="1">IF(Y661&lt;DATE(2015,5,17),0,
K661*
(
INT((MIN(Y661,DATE(2018,9,23))-MAX(D661,DATE(2015,5,17)))/365)
+
CEILING(MOD((MIN(Y661,DATE(2018,9,23))-MAX(D661,DATE(2015,5,17)))/365,1),0.25)
)
*
_xlfn.SWITCH(J661,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61" s="1" cm="1">
        <f t="array" aca="1" ref="AB661" ca="1">IF(Y661&lt;DATE(2018,9,24),0,
IF(J661="زراعة",
K661*
(
INT((MIN(Y661,DATE(2023,4,30))-MAX(D661,DATE(2018,9,24)))/365)
+
CEILING(MOD((MIN(Y661,DATE(2023,4,30))-MAX(D661,DATE(2018,9,24)))/365,1),0.25)
)
*1,
K661*
(
DATEDIF(MAX(D661,DATE(2018,9,24)),MIN(Y661,DATE(2023,4,30)),"m")+1
)
*
_xlfn.SWITCH(J661,
"موقف/تندة",IF(D661&lt;DATE(2019,11,30),6,30),
"تشوينات",IF(D661&lt;DATE(2019,11,30),4,20),
"مشاتل",IF(D661&lt;DATE(2019,11,30),2,10),
"كافيتيريا",IF(D661&lt;DATE(2019,11,30),30,150),
"نوادي",IF(D661&lt;DATE(2019,11,30),6,30),
"رسو مراكب",IF(D661&lt;DATE(2019,11,30),2,10),
"مباني",IF(D661&lt;DATE(2018,9,24),2,10),
"عشش",IF(D661&lt;DATE(2019,11,30),2,10),
"كشك (تجاري/صناعي)",IF(D661&lt;DATE(2019,11,30),10,50),
"ردم",20,
0)))</f>
        <v>0</v>
      </c>
      <c r="AC661" s="1" cm="1">
        <f t="array" aca="1" ref="AC661" ca="1">IF(Y661&lt;DATE(2023,5,1),0,
IF(J661="زراعة",
K661*
(
INT((Y661-MAX(DATE(2023,5,1),D661))/365)
+
CEILING(MOD((Y661-MAX(DATE(2023,5,1),D661))/365,1),0.25)
)
*3,
IF(J661="ردم",
K661*20,
K661*
(
DATEDIF(MAX(DATE(2023,5,1),D661),Y661,"m")+1
)
*
_xlfn.SWITCH(J661,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61" s="1">
        <f t="shared" ca="1" si="66"/>
        <v>55</v>
      </c>
    </row>
    <row r="662" spans="1:30" ht="18.75" x14ac:dyDescent="0.25">
      <c r="A662" s="52">
        <v>599</v>
      </c>
      <c r="B662" s="6">
        <v>62</v>
      </c>
      <c r="C662" s="6">
        <v>2020</v>
      </c>
      <c r="D662" s="7" t="s">
        <v>763</v>
      </c>
      <c r="E662" s="12"/>
      <c r="F662" s="6"/>
      <c r="G662" s="6" t="s">
        <v>824</v>
      </c>
      <c r="H662" s="3"/>
      <c r="I662" s="63" t="s">
        <v>144</v>
      </c>
      <c r="J662" s="3" t="s">
        <v>29</v>
      </c>
      <c r="K662" s="6"/>
      <c r="L662" s="63" t="s">
        <v>368</v>
      </c>
      <c r="M662" s="7"/>
      <c r="N662" s="6"/>
      <c r="O662" s="9">
        <f>0.47*Table2[[#This Row],[قيمة المحضر]]</f>
        <v>0</v>
      </c>
      <c r="P662" s="9">
        <f>0.17*Table2[[#This Row],[قيمة المحضر]]</f>
        <v>0</v>
      </c>
      <c r="Q662" s="9">
        <f t="shared" ca="1" si="62"/>
        <v>0</v>
      </c>
      <c r="R662" s="3"/>
      <c r="S662" s="3"/>
      <c r="T662" s="9" t="str">
        <f t="shared" si="63"/>
        <v>-</v>
      </c>
      <c r="U662" s="3" t="s">
        <v>25</v>
      </c>
      <c r="V662" s="9" t="str">
        <f t="shared" si="64"/>
        <v>-</v>
      </c>
      <c r="W662" s="4"/>
      <c r="X662" s="38"/>
      <c r="Y662" s="1">
        <f t="shared" ca="1" si="65"/>
        <v>46162</v>
      </c>
      <c r="Z662" s="1" cm="1">
        <f t="array" ref="Z662">IF(D662&gt;DATE(2015,5,16),0,
K662*
(
INT((MIN(Y662,DATE(2015,5,16))-D662)/365)
+
CEILING(MOD((MIN(Y662,DATE(2015,5,16))-D662)/365,1),0.25)
)
*
_xlfn.SWITCH(J662,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62" s="1" cm="1">
        <f t="array" aca="1" ref="AA662" ca="1">IF(Y662&lt;DATE(2015,5,17),0,
K662*
(
INT((MIN(Y662,DATE(2018,9,23))-MAX(D662,DATE(2015,5,17)))/365)
+
CEILING(MOD((MIN(Y662,DATE(2018,9,23))-MAX(D662,DATE(2015,5,17)))/365,1),0.25)
)
*
_xlfn.SWITCH(J662,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62" s="1" cm="1">
        <f t="array" aca="1" ref="AB662" ca="1">IF(Y662&lt;DATE(2018,9,24),0,
IF(J662="زراعة",
K662*
(
INT((MIN(Y662,DATE(2023,4,30))-MAX(D662,DATE(2018,9,24)))/365)
+
CEILING(MOD((MIN(Y662,DATE(2023,4,30))-MAX(D662,DATE(2018,9,24)))/365,1),0.25)
)
*1,
K662*
(
DATEDIF(MAX(D662,DATE(2018,9,24)),MIN(Y662,DATE(2023,4,30)),"m")+1
)
*
_xlfn.SWITCH(J662,
"موقف/تندة",IF(D662&lt;DATE(2019,11,30),6,30),
"تشوينات",IF(D662&lt;DATE(2019,11,30),4,20),
"مشاتل",IF(D662&lt;DATE(2019,11,30),2,10),
"كافيتيريا",IF(D662&lt;DATE(2019,11,30),30,150),
"نوادي",IF(D662&lt;DATE(2019,11,30),6,30),
"رسو مراكب",IF(D662&lt;DATE(2019,11,30),2,10),
"مباني",IF(D662&lt;DATE(2018,9,24),2,10),
"عشش",IF(D662&lt;DATE(2019,11,30),2,10),
"كشك (تجاري/صناعي)",IF(D662&lt;DATE(2019,11,30),10,50),
"ردم",20,
0)))</f>
        <v>0</v>
      </c>
      <c r="AC662" s="1" cm="1">
        <f t="array" aca="1" ref="AC662" ca="1">IF(Y662&lt;DATE(2023,5,1),0,
IF(J662="زراعة",
K662*
(
INT((Y662-MAX(DATE(2023,5,1),D662))/365)
+
CEILING(MOD((Y662-MAX(DATE(2023,5,1),D662))/365,1),0.25)
)
*3,
IF(J662="ردم",
K662*20,
K662*
(
DATEDIF(MAX(DATE(2023,5,1),D662),Y662,"m")+1
)
*
_xlfn.SWITCH(J662,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62" s="1">
        <f t="shared" ca="1" si="66"/>
        <v>55</v>
      </c>
    </row>
    <row r="663" spans="1:30" ht="18.75" x14ac:dyDescent="0.25">
      <c r="A663" s="52">
        <v>600</v>
      </c>
      <c r="B663" s="6">
        <v>63</v>
      </c>
      <c r="C663" s="6">
        <v>2020</v>
      </c>
      <c r="D663" s="7" t="s">
        <v>763</v>
      </c>
      <c r="E663" s="12"/>
      <c r="F663" s="6"/>
      <c r="G663" s="6" t="s">
        <v>825</v>
      </c>
      <c r="H663" s="3"/>
      <c r="I663" s="63" t="s">
        <v>105</v>
      </c>
      <c r="J663" s="3" t="s">
        <v>29</v>
      </c>
      <c r="K663" s="6"/>
      <c r="L663" s="63" t="s">
        <v>368</v>
      </c>
      <c r="M663" s="7"/>
      <c r="N663" s="6"/>
      <c r="O663" s="9">
        <f>0.47*Table2[[#This Row],[قيمة المحضر]]</f>
        <v>0</v>
      </c>
      <c r="P663" s="9">
        <f>0.17*Table2[[#This Row],[قيمة المحضر]]</f>
        <v>0</v>
      </c>
      <c r="Q663" s="9">
        <f t="shared" ca="1" si="62"/>
        <v>0</v>
      </c>
      <c r="R663" s="3"/>
      <c r="S663" s="3"/>
      <c r="T663" s="9" t="str">
        <f t="shared" si="63"/>
        <v>-</v>
      </c>
      <c r="U663" s="3" t="s">
        <v>25</v>
      </c>
      <c r="V663" s="9" t="str">
        <f t="shared" si="64"/>
        <v>-</v>
      </c>
      <c r="W663" s="4"/>
      <c r="X663" s="38"/>
      <c r="Y663" s="1">
        <f t="shared" ca="1" si="65"/>
        <v>46162</v>
      </c>
      <c r="Z663" s="1" cm="1">
        <f t="array" ref="Z663">IF(D663&gt;DATE(2015,5,16),0,
K663*
(
INT((MIN(Y663,DATE(2015,5,16))-D663)/365)
+
CEILING(MOD((MIN(Y663,DATE(2015,5,16))-D663)/365,1),0.25)
)
*
_xlfn.SWITCH(J663,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63" s="1" cm="1">
        <f t="array" aca="1" ref="AA663" ca="1">IF(Y663&lt;DATE(2015,5,17),0,
K663*
(
INT((MIN(Y663,DATE(2018,9,23))-MAX(D663,DATE(2015,5,17)))/365)
+
CEILING(MOD((MIN(Y663,DATE(2018,9,23))-MAX(D663,DATE(2015,5,17)))/365,1),0.25)
)
*
_xlfn.SWITCH(J663,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63" s="1" cm="1">
        <f t="array" aca="1" ref="AB663" ca="1">IF(Y663&lt;DATE(2018,9,24),0,
IF(J663="زراعة",
K663*
(
INT((MIN(Y663,DATE(2023,4,30))-MAX(D663,DATE(2018,9,24)))/365)
+
CEILING(MOD((MIN(Y663,DATE(2023,4,30))-MAX(D663,DATE(2018,9,24)))/365,1),0.25)
)
*1,
K663*
(
DATEDIF(MAX(D663,DATE(2018,9,24)),MIN(Y663,DATE(2023,4,30)),"m")+1
)
*
_xlfn.SWITCH(J663,
"موقف/تندة",IF(D663&lt;DATE(2019,11,30),6,30),
"تشوينات",IF(D663&lt;DATE(2019,11,30),4,20),
"مشاتل",IF(D663&lt;DATE(2019,11,30),2,10),
"كافيتيريا",IF(D663&lt;DATE(2019,11,30),30,150),
"نوادي",IF(D663&lt;DATE(2019,11,30),6,30),
"رسو مراكب",IF(D663&lt;DATE(2019,11,30),2,10),
"مباني",IF(D663&lt;DATE(2018,9,24),2,10),
"عشش",IF(D663&lt;DATE(2019,11,30),2,10),
"كشك (تجاري/صناعي)",IF(D663&lt;DATE(2019,11,30),10,50),
"ردم",20,
0)))</f>
        <v>0</v>
      </c>
      <c r="AC663" s="1" cm="1">
        <f t="array" aca="1" ref="AC663" ca="1">IF(Y663&lt;DATE(2023,5,1),0,
IF(J663="زراعة",
K663*
(
INT((Y663-MAX(DATE(2023,5,1),D663))/365)
+
CEILING(MOD((Y663-MAX(DATE(2023,5,1),D663))/365,1),0.25)
)
*3,
IF(J663="ردم",
K663*20,
K663*
(
DATEDIF(MAX(DATE(2023,5,1),D663),Y663,"m")+1
)
*
_xlfn.SWITCH(J663,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63" s="1">
        <f t="shared" ca="1" si="66"/>
        <v>55</v>
      </c>
    </row>
    <row r="664" spans="1:30" ht="18.75" x14ac:dyDescent="0.25">
      <c r="A664" s="52">
        <v>601</v>
      </c>
      <c r="B664" s="6">
        <v>64</v>
      </c>
      <c r="C664" s="6">
        <v>2020</v>
      </c>
      <c r="D664" s="7" t="s">
        <v>763</v>
      </c>
      <c r="E664" s="12"/>
      <c r="F664" s="6"/>
      <c r="G664" s="6" t="s">
        <v>825</v>
      </c>
      <c r="H664" s="3"/>
      <c r="I664" s="63" t="s">
        <v>105</v>
      </c>
      <c r="J664" s="3" t="s">
        <v>27</v>
      </c>
      <c r="K664" s="6"/>
      <c r="L664" s="63" t="s">
        <v>368</v>
      </c>
      <c r="M664" s="7"/>
      <c r="N664" s="6"/>
      <c r="O664" s="9">
        <f>0.47*Table2[[#This Row],[قيمة المحضر]]</f>
        <v>0</v>
      </c>
      <c r="P664" s="9">
        <f>0.17*Table2[[#This Row],[قيمة المحضر]]</f>
        <v>0</v>
      </c>
      <c r="Q664" s="9">
        <f t="shared" ca="1" si="62"/>
        <v>0</v>
      </c>
      <c r="R664" s="3"/>
      <c r="S664" s="3"/>
      <c r="T664" s="9" t="str">
        <f t="shared" si="63"/>
        <v>-</v>
      </c>
      <c r="U664" s="3" t="s">
        <v>25</v>
      </c>
      <c r="V664" s="9" t="str">
        <f t="shared" si="64"/>
        <v>-</v>
      </c>
      <c r="W664" s="4"/>
      <c r="X664" s="38"/>
      <c r="Y664" s="1">
        <f t="shared" ca="1" si="65"/>
        <v>46162</v>
      </c>
      <c r="Z664" s="1" cm="1">
        <f t="array" ref="Z664">IF(D664&gt;DATE(2015,5,16),0,
K664*
(
INT((MIN(Y664,DATE(2015,5,16))-D664)/365)
+
CEILING(MOD((MIN(Y664,DATE(2015,5,16))-D664)/365,1),0.25)
)
*
_xlfn.SWITCH(J664,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64" s="1" cm="1">
        <f t="array" aca="1" ref="AA664" ca="1">IF(Y664&lt;DATE(2015,5,17),0,
K664*
(
INT((MIN(Y664,DATE(2018,9,23))-MAX(D664,DATE(2015,5,17)))/365)
+
CEILING(MOD((MIN(Y664,DATE(2018,9,23))-MAX(D664,DATE(2015,5,17)))/365,1),0.25)
)
*
_xlfn.SWITCH(J664,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64" s="1" cm="1">
        <f t="array" aca="1" ref="AB664" ca="1">IF(Y664&lt;DATE(2018,9,24),0,
IF(J664="زراعة",
K664*
(
INT((MIN(Y664,DATE(2023,4,30))-MAX(D664,DATE(2018,9,24)))/365)
+
CEILING(MOD((MIN(Y664,DATE(2023,4,30))-MAX(D664,DATE(2018,9,24)))/365,1),0.25)
)
*1,
K664*
(
DATEDIF(MAX(D664,DATE(2018,9,24)),MIN(Y664,DATE(2023,4,30)),"m")+1
)
*
_xlfn.SWITCH(J664,
"موقف/تندة",IF(D664&lt;DATE(2019,11,30),6,30),
"تشوينات",IF(D664&lt;DATE(2019,11,30),4,20),
"مشاتل",IF(D664&lt;DATE(2019,11,30),2,10),
"كافيتيريا",IF(D664&lt;DATE(2019,11,30),30,150),
"نوادي",IF(D664&lt;DATE(2019,11,30),6,30),
"رسو مراكب",IF(D664&lt;DATE(2019,11,30),2,10),
"مباني",IF(D664&lt;DATE(2018,9,24),2,10),
"عشش",IF(D664&lt;DATE(2019,11,30),2,10),
"كشك (تجاري/صناعي)",IF(D664&lt;DATE(2019,11,30),10,50),
"ردم",20,
0)))</f>
        <v>0</v>
      </c>
      <c r="AC664" s="1" cm="1">
        <f t="array" aca="1" ref="AC664" ca="1">IF(Y664&lt;DATE(2023,5,1),0,
IF(J664="زراعة",
K664*
(
INT((Y664-MAX(DATE(2023,5,1),D664))/365)
+
CEILING(MOD((Y664-MAX(DATE(2023,5,1),D664))/365,1),0.25)
)
*3,
IF(J664="ردم",
K664*20,
K664*
(
DATEDIF(MAX(DATE(2023,5,1),D664),Y664,"m")+1
)
*
_xlfn.SWITCH(J664,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64" s="1">
        <f t="shared" ca="1" si="66"/>
        <v>55</v>
      </c>
    </row>
    <row r="665" spans="1:30" ht="18.75" x14ac:dyDescent="0.25">
      <c r="A665" s="52">
        <v>602</v>
      </c>
      <c r="B665" s="6">
        <v>65</v>
      </c>
      <c r="C665" s="6">
        <v>2020</v>
      </c>
      <c r="D665" s="7" t="s">
        <v>764</v>
      </c>
      <c r="E665" s="12"/>
      <c r="F665" s="6"/>
      <c r="G665" s="6" t="s">
        <v>826</v>
      </c>
      <c r="H665" s="3"/>
      <c r="I665" s="63" t="s">
        <v>105</v>
      </c>
      <c r="J665" s="3" t="s">
        <v>29</v>
      </c>
      <c r="K665" s="6"/>
      <c r="L665" s="63" t="s">
        <v>368</v>
      </c>
      <c r="M665" s="7"/>
      <c r="N665" s="6"/>
      <c r="O665" s="9">
        <f>0.47*Table2[[#This Row],[قيمة المحضر]]</f>
        <v>0</v>
      </c>
      <c r="P665" s="9">
        <f>0.17*Table2[[#This Row],[قيمة المحضر]]</f>
        <v>0</v>
      </c>
      <c r="Q665" s="9">
        <f t="shared" ca="1" si="62"/>
        <v>0</v>
      </c>
      <c r="R665" s="3"/>
      <c r="S665" s="3"/>
      <c r="T665" s="9" t="str">
        <f t="shared" si="63"/>
        <v>-</v>
      </c>
      <c r="U665" s="3" t="s">
        <v>25</v>
      </c>
      <c r="V665" s="9" t="str">
        <f t="shared" si="64"/>
        <v>-</v>
      </c>
      <c r="W665" s="4"/>
      <c r="X665" s="38"/>
      <c r="Y665" s="1">
        <f t="shared" ca="1" si="65"/>
        <v>46162</v>
      </c>
      <c r="Z665" s="1" cm="1">
        <f t="array" ref="Z665">IF(D665&gt;DATE(2015,5,16),0,
K665*
(
INT((MIN(Y665,DATE(2015,5,16))-D665)/365)
+
CEILING(MOD((MIN(Y665,DATE(2015,5,16))-D665)/365,1),0.25)
)
*
_xlfn.SWITCH(J665,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65" s="1" cm="1">
        <f t="array" aca="1" ref="AA665" ca="1">IF(Y665&lt;DATE(2015,5,17),0,
K665*
(
INT((MIN(Y665,DATE(2018,9,23))-MAX(D665,DATE(2015,5,17)))/365)
+
CEILING(MOD((MIN(Y665,DATE(2018,9,23))-MAX(D665,DATE(2015,5,17)))/365,1),0.25)
)
*
_xlfn.SWITCH(J665,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65" s="1" cm="1">
        <f t="array" aca="1" ref="AB665" ca="1">IF(Y665&lt;DATE(2018,9,24),0,
IF(J665="زراعة",
K665*
(
INT((MIN(Y665,DATE(2023,4,30))-MAX(D665,DATE(2018,9,24)))/365)
+
CEILING(MOD((MIN(Y665,DATE(2023,4,30))-MAX(D665,DATE(2018,9,24)))/365,1),0.25)
)
*1,
K665*
(
DATEDIF(MAX(D665,DATE(2018,9,24)),MIN(Y665,DATE(2023,4,30)),"m")+1
)
*
_xlfn.SWITCH(J665,
"موقف/تندة",IF(D665&lt;DATE(2019,11,30),6,30),
"تشوينات",IF(D665&lt;DATE(2019,11,30),4,20),
"مشاتل",IF(D665&lt;DATE(2019,11,30),2,10),
"كافيتيريا",IF(D665&lt;DATE(2019,11,30),30,150),
"نوادي",IF(D665&lt;DATE(2019,11,30),6,30),
"رسو مراكب",IF(D665&lt;DATE(2019,11,30),2,10),
"مباني",IF(D665&lt;DATE(2018,9,24),2,10),
"عشش",IF(D665&lt;DATE(2019,11,30),2,10),
"كشك (تجاري/صناعي)",IF(D665&lt;DATE(2019,11,30),10,50),
"ردم",20,
0)))</f>
        <v>0</v>
      </c>
      <c r="AC665" s="1" cm="1">
        <f t="array" aca="1" ref="AC665" ca="1">IF(Y665&lt;DATE(2023,5,1),0,
IF(J665="زراعة",
K665*
(
INT((Y665-MAX(DATE(2023,5,1),D665))/365)
+
CEILING(MOD((Y665-MAX(DATE(2023,5,1),D665))/365,1),0.25)
)
*3,
IF(J665="ردم",
K665*20,
K665*
(
DATEDIF(MAX(DATE(2023,5,1),D665),Y665,"m")+1
)
*
_xlfn.SWITCH(J665,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65" s="1">
        <f t="shared" ca="1" si="66"/>
        <v>55</v>
      </c>
    </row>
    <row r="666" spans="1:30" ht="19.5" thickBot="1" x14ac:dyDescent="0.3">
      <c r="A666" s="84">
        <v>603</v>
      </c>
      <c r="B666" s="82">
        <v>66</v>
      </c>
      <c r="C666" s="6">
        <v>2020</v>
      </c>
      <c r="D666" s="7" t="s">
        <v>765</v>
      </c>
      <c r="E666" s="12"/>
      <c r="F666" s="6"/>
      <c r="G666" s="6" t="s">
        <v>827</v>
      </c>
      <c r="H666" s="3"/>
      <c r="I666" s="65" t="s">
        <v>377</v>
      </c>
      <c r="J666" s="3" t="s">
        <v>77</v>
      </c>
      <c r="K666" s="6"/>
      <c r="L666" s="65" t="s">
        <v>196</v>
      </c>
      <c r="M666" s="7"/>
      <c r="N666" s="6"/>
      <c r="O666" s="9">
        <f>0.47*Table2[[#This Row],[قيمة المحضر]]</f>
        <v>0</v>
      </c>
      <c r="P666" s="9">
        <f>0.17*Table2[[#This Row],[قيمة المحضر]]</f>
        <v>0</v>
      </c>
      <c r="Q666" s="9">
        <f t="shared" ref="Q666:Q726" ca="1" si="67">Z666+AA666+AB666+AC666</f>
        <v>0</v>
      </c>
      <c r="R666" s="3"/>
      <c r="S666" s="3"/>
      <c r="T666" s="9" t="str">
        <f t="shared" ref="T666:T726" si="68">IF(R666="تم الحجز",Q666+O666+N666,"-")</f>
        <v>-</v>
      </c>
      <c r="U666" s="3" t="s">
        <v>25</v>
      </c>
      <c r="V666" s="9" t="str">
        <f t="shared" ref="V666:V726" si="69">IF(OR(U666="قائم",U666="قائم و سدد مقابل انتفاع"),"-",
IF(U666="تم رد الشئ لأصله",P666+Q666,
IF(U666="ازالة جبرية",N666+O666+Q666,"")))</f>
        <v>-</v>
      </c>
      <c r="W666" s="4"/>
      <c r="X666" s="38"/>
      <c r="Y666" s="1">
        <f t="shared" ca="1" si="65"/>
        <v>46162</v>
      </c>
      <c r="Z666" s="1" cm="1">
        <f t="array" ref="Z666">IF(D666&gt;DATE(2015,5,16),0,
K666*
(
INT((MIN(Y666,DATE(2015,5,16))-D666)/365)
+
CEILING(MOD((MIN(Y666,DATE(2015,5,16))-D666)/365,1),0.25)
)
*
_xlfn.SWITCH(J666,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66" s="1" cm="1">
        <f t="array" aca="1" ref="AA666" ca="1">IF(Y666&lt;DATE(2015,5,17),0,
K666*
(
INT((MIN(Y666,DATE(2018,9,23))-MAX(D666,DATE(2015,5,17)))/365)
+
CEILING(MOD((MIN(Y666,DATE(2018,9,23))-MAX(D666,DATE(2015,5,17)))/365,1),0.25)
)
*
_xlfn.SWITCH(J666,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66" s="1" cm="1">
        <f t="array" aca="1" ref="AB666" ca="1">IF(Y666&lt;DATE(2018,9,24),0,
IF(J666="زراعة",
K666*
(
INT((MIN(Y666,DATE(2023,4,30))-MAX(D666,DATE(2018,9,24)))/365)
+
CEILING(MOD((MIN(Y666,DATE(2023,4,30))-MAX(D666,DATE(2018,9,24)))/365,1),0.25)
)
*1,
K666*
(
DATEDIF(MAX(D666,DATE(2018,9,24)),MIN(Y666,DATE(2023,4,30)),"m")+1
)
*
_xlfn.SWITCH(J666,
"موقف/تندة",IF(D666&lt;DATE(2019,11,30),6,30),
"تشوينات",IF(D666&lt;DATE(2019,11,30),4,20),
"مشاتل",IF(D666&lt;DATE(2019,11,30),2,10),
"كافيتيريا",IF(D666&lt;DATE(2019,11,30),30,150),
"نوادي",IF(D666&lt;DATE(2019,11,30),6,30),
"رسو مراكب",IF(D666&lt;DATE(2019,11,30),2,10),
"مباني",IF(D666&lt;DATE(2018,9,24),2,10),
"عشش",IF(D666&lt;DATE(2019,11,30),2,10),
"كشك (تجاري/صناعي)",IF(D666&lt;DATE(2019,11,30),10,50),
"ردم",20,
0)))</f>
        <v>0</v>
      </c>
      <c r="AC666" s="1" cm="1">
        <f t="array" aca="1" ref="AC666" ca="1">IF(Y666&lt;DATE(2023,5,1),0,
IF(J666="زراعة",
K666*
(
INT((Y666-MAX(DATE(2023,5,1),D666))/365)
+
CEILING(MOD((Y666-MAX(DATE(2023,5,1),D666))/365,1),0.25)
)
*3,
IF(J666="ردم",
K666*20,
K666*
(
DATEDIF(MAX(DATE(2023,5,1),D666),Y666,"m")+1
)
*
_xlfn.SWITCH(J666,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66" s="1">
        <f t="shared" ca="1" si="66"/>
        <v>55</v>
      </c>
    </row>
    <row r="667" spans="1:30" ht="19.5" thickBot="1" x14ac:dyDescent="0.3">
      <c r="A667" s="85">
        <v>603</v>
      </c>
      <c r="B667" s="86">
        <v>66</v>
      </c>
      <c r="C667" s="40">
        <v>2020</v>
      </c>
      <c r="D667" s="41" t="s">
        <v>765</v>
      </c>
      <c r="E667" s="42"/>
      <c r="F667" s="40"/>
      <c r="G667" s="40" t="s">
        <v>827</v>
      </c>
      <c r="H667" s="40"/>
      <c r="I667" s="65" t="s">
        <v>377</v>
      </c>
      <c r="J667" s="40" t="s">
        <v>146</v>
      </c>
      <c r="K667" s="40"/>
      <c r="L667" s="65" t="s">
        <v>196</v>
      </c>
      <c r="M667" s="41"/>
      <c r="N667" s="40"/>
      <c r="O667" s="43">
        <f>0.47*Table2[[#This Row],[قيمة المحضر]]</f>
        <v>0</v>
      </c>
      <c r="P667" s="43">
        <f>0.17*Table2[[#This Row],[قيمة المحضر]]</f>
        <v>0</v>
      </c>
      <c r="Q667" s="43">
        <f t="shared" ca="1" si="67"/>
        <v>0</v>
      </c>
      <c r="R667" s="40"/>
      <c r="S667" s="40"/>
      <c r="T667" s="43" t="str">
        <f t="shared" si="68"/>
        <v>-</v>
      </c>
      <c r="U667" s="40" t="s">
        <v>25</v>
      </c>
      <c r="V667" s="43" t="str">
        <f t="shared" si="69"/>
        <v>-</v>
      </c>
      <c r="W667" s="44"/>
      <c r="X667" s="45"/>
      <c r="Y667" s="1">
        <f t="shared" ca="1" si="65"/>
        <v>46162</v>
      </c>
      <c r="Z667" s="1" cm="1">
        <f t="array" ref="Z667">IF(D667&gt;DATE(2015,5,16),0,
K667*
(
INT((MIN(Y667,DATE(2015,5,16))-D667)/365)
+
CEILING(MOD((MIN(Y667,DATE(2015,5,16))-D667)/365,1),0.25)
)
*
_xlfn.SWITCH(J667,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67" s="1" cm="1">
        <f t="array" aca="1" ref="AA667" ca="1">IF(Y667&lt;DATE(2015,5,17),0,
K667*
(
INT((MIN(Y667,DATE(2018,9,23))-MAX(D667,DATE(2015,5,17)))/365)
+
CEILING(MOD((MIN(Y667,DATE(2018,9,23))-MAX(D667,DATE(2015,5,17)))/365,1),0.25)
)
*
_xlfn.SWITCH(J667,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67" s="1" cm="1">
        <f t="array" aca="1" ref="AB667" ca="1">IF(Y667&lt;DATE(2018,9,24),0,
IF(J667="زراعة",
K667*
(
INT((MIN(Y667,DATE(2023,4,30))-MAX(D667,DATE(2018,9,24)))/365)
+
CEILING(MOD((MIN(Y667,DATE(2023,4,30))-MAX(D667,DATE(2018,9,24)))/365,1),0.25)
)
*1,
K667*
(
DATEDIF(MAX(D667,DATE(2018,9,24)),MIN(Y667,DATE(2023,4,30)),"m")+1
)
*
_xlfn.SWITCH(J667,
"موقف/تندة",IF(D667&lt;DATE(2019,11,30),6,30),
"تشوينات",IF(D667&lt;DATE(2019,11,30),4,20),
"مشاتل",IF(D667&lt;DATE(2019,11,30),2,10),
"كافيتيريا",IF(D667&lt;DATE(2019,11,30),30,150),
"نوادي",IF(D667&lt;DATE(2019,11,30),6,30),
"رسو مراكب",IF(D667&lt;DATE(2019,11,30),2,10),
"مباني",IF(D667&lt;DATE(2018,9,24),2,10),
"عشش",IF(D667&lt;DATE(2019,11,30),2,10),
"كشك (تجاري/صناعي)",IF(D667&lt;DATE(2019,11,30),10,50),
"ردم",20,
0)))</f>
        <v>0</v>
      </c>
      <c r="AC667" s="1" cm="1">
        <f t="array" aca="1" ref="AC667" ca="1">IF(Y667&lt;DATE(2023,5,1),0,
IF(J667="زراعة",
K667*
(
INT((Y667-MAX(DATE(2023,5,1),D667))/365)
+
CEILING(MOD((Y667-MAX(DATE(2023,5,1),D667))/365,1),0.25)
)
*3,
IF(J667="ردم",
K667*20,
K667*
(
DATEDIF(MAX(DATE(2023,5,1),D667),Y667,"m")+1
)
*
_xlfn.SWITCH(J667,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67" s="1">
        <f t="shared" ca="1" si="66"/>
        <v>55</v>
      </c>
    </row>
    <row r="668" spans="1:30" ht="18.75" x14ac:dyDescent="0.25">
      <c r="A668" s="46">
        <v>604</v>
      </c>
      <c r="B668" s="47">
        <v>1</v>
      </c>
      <c r="C668" s="47">
        <v>2021</v>
      </c>
      <c r="D668" s="48" t="s">
        <v>831</v>
      </c>
      <c r="E668" s="49"/>
      <c r="F668" s="47"/>
      <c r="G668" s="47" t="s">
        <v>837</v>
      </c>
      <c r="H668" s="47"/>
      <c r="I668" s="61" t="s">
        <v>50</v>
      </c>
      <c r="J668" s="31" t="s">
        <v>751</v>
      </c>
      <c r="K668" s="47"/>
      <c r="L668" s="61" t="s">
        <v>672</v>
      </c>
      <c r="M668" s="48"/>
      <c r="N668" s="47"/>
      <c r="O668" s="34">
        <f>0.47*Table2[[#This Row],[قيمة المحضر]]</f>
        <v>0</v>
      </c>
      <c r="P668" s="34">
        <f>0.17*Table2[[#This Row],[قيمة المحضر]]</f>
        <v>0</v>
      </c>
      <c r="Q668" s="34">
        <f t="shared" ca="1" si="67"/>
        <v>0</v>
      </c>
      <c r="R668" s="31"/>
      <c r="S668" s="31"/>
      <c r="T668" s="34" t="str">
        <f t="shared" si="68"/>
        <v>-</v>
      </c>
      <c r="U668" s="31" t="s">
        <v>25</v>
      </c>
      <c r="V668" s="34" t="str">
        <f t="shared" si="69"/>
        <v>-</v>
      </c>
      <c r="W668" s="35"/>
      <c r="X668" s="36"/>
      <c r="Y668" s="1">
        <f t="shared" ca="1" si="65"/>
        <v>46162</v>
      </c>
      <c r="Z668" s="1" cm="1">
        <f t="array" ref="Z668">IF(D668&gt;DATE(2015,5,16),0,
K668*
(
INT((MIN(Y668,DATE(2015,5,16))-D668)/365)
+
CEILING(MOD((MIN(Y668,DATE(2015,5,16))-D668)/365,1),0.25)
)
*
_xlfn.SWITCH(J668,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68" s="1" cm="1">
        <f t="array" aca="1" ref="AA668" ca="1">IF(Y668&lt;DATE(2015,5,17),0,
K668*
(
INT((MIN(Y668,DATE(2018,9,23))-MAX(D668,DATE(2015,5,17)))/365)
+
CEILING(MOD((MIN(Y668,DATE(2018,9,23))-MAX(D668,DATE(2015,5,17)))/365,1),0.25)
)
*
_xlfn.SWITCH(J668,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68" s="1" cm="1">
        <f t="array" aca="1" ref="AB668" ca="1">IF(Y668&lt;DATE(2018,9,24),0,
IF(J668="زراعة",
K668*
(
INT((MIN(Y668,DATE(2023,4,30))-MAX(D668,DATE(2018,9,24)))/365)
+
CEILING(MOD((MIN(Y668,DATE(2023,4,30))-MAX(D668,DATE(2018,9,24)))/365,1),0.25)
)
*1,
K668*
(
DATEDIF(MAX(D668,DATE(2018,9,24)),MIN(Y668,DATE(2023,4,30)),"m")+1
)
*
_xlfn.SWITCH(J668,
"موقف/تندة",IF(D668&lt;DATE(2019,11,30),6,30),
"تشوينات",IF(D668&lt;DATE(2019,11,30),4,20),
"مشاتل",IF(D668&lt;DATE(2019,11,30),2,10),
"كافيتيريا",IF(D668&lt;DATE(2019,11,30),30,150),
"نوادي",IF(D668&lt;DATE(2019,11,30),6,30),
"رسو مراكب",IF(D668&lt;DATE(2019,11,30),2,10),
"مباني",IF(D668&lt;DATE(2018,9,24),2,10),
"عشش",IF(D668&lt;DATE(2019,11,30),2,10),
"كشك (تجاري/صناعي)",IF(D668&lt;DATE(2019,11,30),10,50),
"ردم",20,
0)))</f>
        <v>0</v>
      </c>
      <c r="AC668" s="1" cm="1">
        <f t="array" aca="1" ref="AC668" ca="1">IF(Y668&lt;DATE(2023,5,1),0,
IF(J668="زراعة",
K668*
(
INT((Y668-MAX(DATE(2023,5,1),D668))/365)
+
CEILING(MOD((Y668-MAX(DATE(2023,5,1),D668))/365,1),0.25)
)
*3,
IF(J668="ردم",
K668*20,
K668*
(
DATEDIF(MAX(DATE(2023,5,1),D668),Y668,"m")+1
)
*
_xlfn.SWITCH(J668,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68" s="1">
        <f t="shared" ca="1" si="66"/>
        <v>55</v>
      </c>
    </row>
    <row r="669" spans="1:30" ht="18.75" x14ac:dyDescent="0.25">
      <c r="A669" s="51">
        <v>605</v>
      </c>
      <c r="B669" s="6">
        <v>2</v>
      </c>
      <c r="C669" s="6">
        <v>2021</v>
      </c>
      <c r="D669" s="7" t="s">
        <v>832</v>
      </c>
      <c r="E669" s="12"/>
      <c r="F669" s="6"/>
      <c r="G669" s="6" t="s">
        <v>838</v>
      </c>
      <c r="H669" s="6"/>
      <c r="I669" s="63" t="s">
        <v>105</v>
      </c>
      <c r="J669" s="3" t="s">
        <v>29</v>
      </c>
      <c r="K669" s="6"/>
      <c r="L669" s="63" t="s">
        <v>368</v>
      </c>
      <c r="M669" s="7"/>
      <c r="N669" s="6"/>
      <c r="O669" s="9">
        <f>0.47*Table2[[#This Row],[قيمة المحضر]]</f>
        <v>0</v>
      </c>
      <c r="P669" s="9">
        <f>0.17*Table2[[#This Row],[قيمة المحضر]]</f>
        <v>0</v>
      </c>
      <c r="Q669" s="9">
        <f t="shared" ca="1" si="67"/>
        <v>0</v>
      </c>
      <c r="R669" s="3"/>
      <c r="S669" s="3"/>
      <c r="T669" s="9" t="str">
        <f t="shared" si="68"/>
        <v>-</v>
      </c>
      <c r="U669" s="3" t="s">
        <v>25</v>
      </c>
      <c r="V669" s="9" t="str">
        <f t="shared" si="69"/>
        <v>-</v>
      </c>
      <c r="W669" s="4"/>
      <c r="X669" s="38"/>
      <c r="Y669" s="1">
        <f t="shared" ca="1" si="65"/>
        <v>46162</v>
      </c>
      <c r="Z669" s="1" cm="1">
        <f t="array" ref="Z669">IF(D669&gt;DATE(2015,5,16),0,
K669*
(
INT((MIN(Y669,DATE(2015,5,16))-D669)/365)
+
CEILING(MOD((MIN(Y669,DATE(2015,5,16))-D669)/365,1),0.25)
)
*
_xlfn.SWITCH(J669,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69" s="1" cm="1">
        <f t="array" aca="1" ref="AA669" ca="1">IF(Y669&lt;DATE(2015,5,17),0,
K669*
(
INT((MIN(Y669,DATE(2018,9,23))-MAX(D669,DATE(2015,5,17)))/365)
+
CEILING(MOD((MIN(Y669,DATE(2018,9,23))-MAX(D669,DATE(2015,5,17)))/365,1),0.25)
)
*
_xlfn.SWITCH(J669,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69" s="1" cm="1">
        <f t="array" aca="1" ref="AB669" ca="1">IF(Y669&lt;DATE(2018,9,24),0,
IF(J669="زراعة",
K669*
(
INT((MIN(Y669,DATE(2023,4,30))-MAX(D669,DATE(2018,9,24)))/365)
+
CEILING(MOD((MIN(Y669,DATE(2023,4,30))-MAX(D669,DATE(2018,9,24)))/365,1),0.25)
)
*1,
K669*
(
DATEDIF(MAX(D669,DATE(2018,9,24)),MIN(Y669,DATE(2023,4,30)),"m")+1
)
*
_xlfn.SWITCH(J669,
"موقف/تندة",IF(D669&lt;DATE(2019,11,30),6,30),
"تشوينات",IF(D669&lt;DATE(2019,11,30),4,20),
"مشاتل",IF(D669&lt;DATE(2019,11,30),2,10),
"كافيتيريا",IF(D669&lt;DATE(2019,11,30),30,150),
"نوادي",IF(D669&lt;DATE(2019,11,30),6,30),
"رسو مراكب",IF(D669&lt;DATE(2019,11,30),2,10),
"مباني",IF(D669&lt;DATE(2018,9,24),2,10),
"عشش",IF(D669&lt;DATE(2019,11,30),2,10),
"كشك (تجاري/صناعي)",IF(D669&lt;DATE(2019,11,30),10,50),
"ردم",20,
0)))</f>
        <v>0</v>
      </c>
      <c r="AC669" s="1" cm="1">
        <f t="array" aca="1" ref="AC669" ca="1">IF(Y669&lt;DATE(2023,5,1),0,
IF(J669="زراعة",
K669*
(
INT((Y669-MAX(DATE(2023,5,1),D669))/365)
+
CEILING(MOD((Y669-MAX(DATE(2023,5,1),D669))/365,1),0.25)
)
*3,
IF(J669="ردم",
K669*20,
K669*
(
DATEDIF(MAX(DATE(2023,5,1),D669),Y669,"m")+1
)
*
_xlfn.SWITCH(J669,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69" s="1">
        <f t="shared" ca="1" si="66"/>
        <v>55</v>
      </c>
    </row>
    <row r="670" spans="1:30" ht="18.75" x14ac:dyDescent="0.25">
      <c r="A670" s="51">
        <v>606</v>
      </c>
      <c r="B670" s="6">
        <v>3</v>
      </c>
      <c r="C670" s="6">
        <v>2021</v>
      </c>
      <c r="D670" s="7" t="s">
        <v>833</v>
      </c>
      <c r="E670" s="12"/>
      <c r="F670" s="6"/>
      <c r="G670" s="6" t="s">
        <v>839</v>
      </c>
      <c r="H670" s="6"/>
      <c r="I670" s="63" t="s">
        <v>33</v>
      </c>
      <c r="J670" s="3" t="s">
        <v>438</v>
      </c>
      <c r="K670" s="6"/>
      <c r="L670" s="63" t="s">
        <v>89</v>
      </c>
      <c r="M670" s="7"/>
      <c r="N670" s="6"/>
      <c r="O670" s="9">
        <f>0.47*Table2[[#This Row],[قيمة المحضر]]</f>
        <v>0</v>
      </c>
      <c r="P670" s="9">
        <f>0.17*Table2[[#This Row],[قيمة المحضر]]</f>
        <v>0</v>
      </c>
      <c r="Q670" s="9">
        <f t="shared" ca="1" si="67"/>
        <v>0</v>
      </c>
      <c r="R670" s="3"/>
      <c r="S670" s="3"/>
      <c r="T670" s="9" t="str">
        <f t="shared" si="68"/>
        <v>-</v>
      </c>
      <c r="U670" s="3" t="s">
        <v>25</v>
      </c>
      <c r="V670" s="9" t="str">
        <f t="shared" si="69"/>
        <v>-</v>
      </c>
      <c r="W670" s="4"/>
      <c r="X670" s="38"/>
      <c r="Y670" s="1">
        <f t="shared" ca="1" si="65"/>
        <v>46162</v>
      </c>
      <c r="Z670" s="1" cm="1">
        <f t="array" ref="Z670">IF(D670&gt;DATE(2015,5,16),0,
K670*
(
INT((MIN(Y670,DATE(2015,5,16))-D670)/365)
+
CEILING(MOD((MIN(Y670,DATE(2015,5,16))-D670)/365,1),0.25)
)
*
_xlfn.SWITCH(J670,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70" s="1" cm="1">
        <f t="array" aca="1" ref="AA670" ca="1">IF(Y670&lt;DATE(2015,5,17),0,
K670*
(
INT((MIN(Y670,DATE(2018,9,23))-MAX(D670,DATE(2015,5,17)))/365)
+
CEILING(MOD((MIN(Y670,DATE(2018,9,23))-MAX(D670,DATE(2015,5,17)))/365,1),0.25)
)
*
_xlfn.SWITCH(J670,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70" s="1" cm="1">
        <f t="array" aca="1" ref="AB670" ca="1">IF(Y670&lt;DATE(2018,9,24),0,
IF(J670="زراعة",
K670*
(
INT((MIN(Y670,DATE(2023,4,30))-MAX(D670,DATE(2018,9,24)))/365)
+
CEILING(MOD((MIN(Y670,DATE(2023,4,30))-MAX(D670,DATE(2018,9,24)))/365,1),0.25)
)
*1,
K670*
(
DATEDIF(MAX(D670,DATE(2018,9,24)),MIN(Y670,DATE(2023,4,30)),"m")+1
)
*
_xlfn.SWITCH(J670,
"موقف/تندة",IF(D670&lt;DATE(2019,11,30),6,30),
"تشوينات",IF(D670&lt;DATE(2019,11,30),4,20),
"مشاتل",IF(D670&lt;DATE(2019,11,30),2,10),
"كافيتيريا",IF(D670&lt;DATE(2019,11,30),30,150),
"نوادي",IF(D670&lt;DATE(2019,11,30),6,30),
"رسو مراكب",IF(D670&lt;DATE(2019,11,30),2,10),
"مباني",IF(D670&lt;DATE(2018,9,24),2,10),
"عشش",IF(D670&lt;DATE(2019,11,30),2,10),
"كشك (تجاري/صناعي)",IF(D670&lt;DATE(2019,11,30),10,50),
"ردم",20,
0)))</f>
        <v>0</v>
      </c>
      <c r="AC670" s="1" cm="1">
        <f t="array" aca="1" ref="AC670" ca="1">IF(Y670&lt;DATE(2023,5,1),0,
IF(J670="زراعة",
K670*
(
INT((Y670-MAX(DATE(2023,5,1),D670))/365)
+
CEILING(MOD((Y670-MAX(DATE(2023,5,1),D670))/365,1),0.25)
)
*3,
IF(J670="ردم",
K670*20,
K670*
(
DATEDIF(MAX(DATE(2023,5,1),D670),Y670,"m")+1
)
*
_xlfn.SWITCH(J670,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70" s="1">
        <f t="shared" ca="1" si="66"/>
        <v>55</v>
      </c>
    </row>
    <row r="671" spans="1:30" ht="18.75" x14ac:dyDescent="0.25">
      <c r="A671" s="51">
        <v>607</v>
      </c>
      <c r="B671" s="6">
        <v>4</v>
      </c>
      <c r="C671" s="6">
        <v>2021</v>
      </c>
      <c r="D671" s="7" t="s">
        <v>834</v>
      </c>
      <c r="E671" s="12"/>
      <c r="F671" s="6"/>
      <c r="G671" s="6" t="s">
        <v>840</v>
      </c>
      <c r="H671" s="6"/>
      <c r="I671" s="63" t="s">
        <v>297</v>
      </c>
      <c r="J671" s="3" t="s">
        <v>28</v>
      </c>
      <c r="K671" s="6"/>
      <c r="L671" s="64" t="s">
        <v>88</v>
      </c>
      <c r="M671" s="7"/>
      <c r="N671" s="6"/>
      <c r="O671" s="9">
        <f>0.47*Table2[[#This Row],[قيمة المحضر]]</f>
        <v>0</v>
      </c>
      <c r="P671" s="9">
        <f>0.17*Table2[[#This Row],[قيمة المحضر]]</f>
        <v>0</v>
      </c>
      <c r="Q671" s="9">
        <f t="shared" ca="1" si="67"/>
        <v>0</v>
      </c>
      <c r="R671" s="3"/>
      <c r="S671" s="3"/>
      <c r="T671" s="9" t="str">
        <f t="shared" si="68"/>
        <v>-</v>
      </c>
      <c r="U671" s="3" t="s">
        <v>25</v>
      </c>
      <c r="V671" s="9" t="str">
        <f t="shared" si="69"/>
        <v>-</v>
      </c>
      <c r="W671" s="4"/>
      <c r="X671" s="38"/>
      <c r="Y671" s="1">
        <f t="shared" ca="1" si="65"/>
        <v>46162</v>
      </c>
      <c r="Z671" s="1" cm="1">
        <f t="array" ref="Z671">IF(D671&gt;DATE(2015,5,16),0,
K671*
(
INT((MIN(Y671,DATE(2015,5,16))-D671)/365)
+
CEILING(MOD((MIN(Y671,DATE(2015,5,16))-D671)/365,1),0.25)
)
*
_xlfn.SWITCH(J671,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71" s="1" cm="1">
        <f t="array" aca="1" ref="AA671" ca="1">IF(Y671&lt;DATE(2015,5,17),0,
K671*
(
INT((MIN(Y671,DATE(2018,9,23))-MAX(D671,DATE(2015,5,17)))/365)
+
CEILING(MOD((MIN(Y671,DATE(2018,9,23))-MAX(D671,DATE(2015,5,17)))/365,1),0.25)
)
*
_xlfn.SWITCH(J671,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71" s="1" cm="1">
        <f t="array" aca="1" ref="AB671" ca="1">IF(Y671&lt;DATE(2018,9,24),0,
IF(J671="زراعة",
K671*
(
INT((MIN(Y671,DATE(2023,4,30))-MAX(D671,DATE(2018,9,24)))/365)
+
CEILING(MOD((MIN(Y671,DATE(2023,4,30))-MAX(D671,DATE(2018,9,24)))/365,1),0.25)
)
*1,
K671*
(
DATEDIF(MAX(D671,DATE(2018,9,24)),MIN(Y671,DATE(2023,4,30)),"m")+1
)
*
_xlfn.SWITCH(J671,
"موقف/تندة",IF(D671&lt;DATE(2019,11,30),6,30),
"تشوينات",IF(D671&lt;DATE(2019,11,30),4,20),
"مشاتل",IF(D671&lt;DATE(2019,11,30),2,10),
"كافيتيريا",IF(D671&lt;DATE(2019,11,30),30,150),
"نوادي",IF(D671&lt;DATE(2019,11,30),6,30),
"رسو مراكب",IF(D671&lt;DATE(2019,11,30),2,10),
"مباني",IF(D671&lt;DATE(2018,9,24),2,10),
"عشش",IF(D671&lt;DATE(2019,11,30),2,10),
"كشك (تجاري/صناعي)",IF(D671&lt;DATE(2019,11,30),10,50),
"ردم",20,
0)))</f>
        <v>0</v>
      </c>
      <c r="AC671" s="1" cm="1">
        <f t="array" aca="1" ref="AC671" ca="1">IF(Y671&lt;DATE(2023,5,1),0,
IF(J671="زراعة",
K671*
(
INT((Y671-MAX(DATE(2023,5,1),D671))/365)
+
CEILING(MOD((Y671-MAX(DATE(2023,5,1),D671))/365,1),0.25)
)
*3,
IF(J671="ردم",
K671*20,
K671*
(
DATEDIF(MAX(DATE(2023,5,1),D671),Y671,"m")+1
)
*
_xlfn.SWITCH(J671,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71" s="1">
        <f t="shared" ca="1" si="66"/>
        <v>55</v>
      </c>
    </row>
    <row r="672" spans="1:30" ht="18.75" x14ac:dyDescent="0.25">
      <c r="A672" s="51">
        <v>608</v>
      </c>
      <c r="B672" s="6">
        <v>5</v>
      </c>
      <c r="C672" s="6">
        <v>2021</v>
      </c>
      <c r="D672" s="7" t="s">
        <v>835</v>
      </c>
      <c r="E672" s="12"/>
      <c r="F672" s="6"/>
      <c r="G672" s="6" t="s">
        <v>841</v>
      </c>
      <c r="H672" s="6"/>
      <c r="I672" s="63" t="s">
        <v>373</v>
      </c>
      <c r="J672" s="3" t="s">
        <v>28</v>
      </c>
      <c r="K672" s="6"/>
      <c r="L672" s="64" t="s">
        <v>88</v>
      </c>
      <c r="M672" s="7"/>
      <c r="N672" s="6"/>
      <c r="O672" s="9">
        <f>0.47*Table2[[#This Row],[قيمة المحضر]]</f>
        <v>0</v>
      </c>
      <c r="P672" s="9">
        <f>0.17*Table2[[#This Row],[قيمة المحضر]]</f>
        <v>0</v>
      </c>
      <c r="Q672" s="9">
        <f t="shared" ca="1" si="67"/>
        <v>0</v>
      </c>
      <c r="R672" s="3"/>
      <c r="S672" s="3"/>
      <c r="T672" s="9" t="str">
        <f t="shared" si="68"/>
        <v>-</v>
      </c>
      <c r="U672" s="3" t="s">
        <v>25</v>
      </c>
      <c r="V672" s="9" t="str">
        <f t="shared" si="69"/>
        <v>-</v>
      </c>
      <c r="W672" s="4"/>
      <c r="X672" s="38"/>
      <c r="Y672" s="1">
        <f t="shared" ca="1" si="65"/>
        <v>46162</v>
      </c>
      <c r="Z672" s="1" cm="1">
        <f t="array" ref="Z672">IF(D672&gt;DATE(2015,5,16),0,
K672*
(
INT((MIN(Y672,DATE(2015,5,16))-D672)/365)
+
CEILING(MOD((MIN(Y672,DATE(2015,5,16))-D672)/365,1),0.25)
)
*
_xlfn.SWITCH(J672,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72" s="1" cm="1">
        <f t="array" aca="1" ref="AA672" ca="1">IF(Y672&lt;DATE(2015,5,17),0,
K672*
(
INT((MIN(Y672,DATE(2018,9,23))-MAX(D672,DATE(2015,5,17)))/365)
+
CEILING(MOD((MIN(Y672,DATE(2018,9,23))-MAX(D672,DATE(2015,5,17)))/365,1),0.25)
)
*
_xlfn.SWITCH(J672,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72" s="1" cm="1">
        <f t="array" aca="1" ref="AB672" ca="1">IF(Y672&lt;DATE(2018,9,24),0,
IF(J672="زراعة",
K672*
(
INT((MIN(Y672,DATE(2023,4,30))-MAX(D672,DATE(2018,9,24)))/365)
+
CEILING(MOD((MIN(Y672,DATE(2023,4,30))-MAX(D672,DATE(2018,9,24)))/365,1),0.25)
)
*1,
K672*
(
DATEDIF(MAX(D672,DATE(2018,9,24)),MIN(Y672,DATE(2023,4,30)),"m")+1
)
*
_xlfn.SWITCH(J672,
"موقف/تندة",IF(D672&lt;DATE(2019,11,30),6,30),
"تشوينات",IF(D672&lt;DATE(2019,11,30),4,20),
"مشاتل",IF(D672&lt;DATE(2019,11,30),2,10),
"كافيتيريا",IF(D672&lt;DATE(2019,11,30),30,150),
"نوادي",IF(D672&lt;DATE(2019,11,30),6,30),
"رسو مراكب",IF(D672&lt;DATE(2019,11,30),2,10),
"مباني",IF(D672&lt;DATE(2018,9,24),2,10),
"عشش",IF(D672&lt;DATE(2019,11,30),2,10),
"كشك (تجاري/صناعي)",IF(D672&lt;DATE(2019,11,30),10,50),
"ردم",20,
0)))</f>
        <v>0</v>
      </c>
      <c r="AC672" s="1" cm="1">
        <f t="array" aca="1" ref="AC672" ca="1">IF(Y672&lt;DATE(2023,5,1),0,
IF(J672="زراعة",
K672*
(
INT((Y672-MAX(DATE(2023,5,1),D672))/365)
+
CEILING(MOD((Y672-MAX(DATE(2023,5,1),D672))/365,1),0.25)
)
*3,
IF(J672="ردم",
K672*20,
K672*
(
DATEDIF(MAX(DATE(2023,5,1),D672),Y672,"m")+1
)
*
_xlfn.SWITCH(J672,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72" s="1">
        <f t="shared" ca="1" si="66"/>
        <v>55</v>
      </c>
    </row>
    <row r="673" spans="1:30" ht="18.75" x14ac:dyDescent="0.25">
      <c r="A673" s="51">
        <v>609</v>
      </c>
      <c r="B673" s="6">
        <v>6</v>
      </c>
      <c r="C673" s="6">
        <v>2021</v>
      </c>
      <c r="D673" s="7" t="s">
        <v>836</v>
      </c>
      <c r="E673" s="12"/>
      <c r="F673" s="6"/>
      <c r="G673" s="6" t="s">
        <v>842</v>
      </c>
      <c r="H673" s="6"/>
      <c r="I673" s="63" t="s">
        <v>297</v>
      </c>
      <c r="J673" s="3" t="s">
        <v>28</v>
      </c>
      <c r="K673" s="6"/>
      <c r="L673" s="63" t="s">
        <v>88</v>
      </c>
      <c r="M673" s="7"/>
      <c r="N673" s="6"/>
      <c r="O673" s="9">
        <f>0.47*Table2[[#This Row],[قيمة المحضر]]</f>
        <v>0</v>
      </c>
      <c r="P673" s="9">
        <f>0.17*Table2[[#This Row],[قيمة المحضر]]</f>
        <v>0</v>
      </c>
      <c r="Q673" s="9">
        <f t="shared" ca="1" si="67"/>
        <v>0</v>
      </c>
      <c r="R673" s="3"/>
      <c r="S673" s="3"/>
      <c r="T673" s="9" t="str">
        <f t="shared" si="68"/>
        <v>-</v>
      </c>
      <c r="U673" s="3" t="s">
        <v>25</v>
      </c>
      <c r="V673" s="9" t="str">
        <f t="shared" si="69"/>
        <v>-</v>
      </c>
      <c r="W673" s="4"/>
      <c r="X673" s="38"/>
      <c r="Y673" s="1">
        <f t="shared" ca="1" si="65"/>
        <v>46162</v>
      </c>
      <c r="Z673" s="1" cm="1">
        <f t="array" ref="Z673">IF(D673&gt;DATE(2015,5,16),0,
K673*
(
INT((MIN(Y673,DATE(2015,5,16))-D673)/365)
+
CEILING(MOD((MIN(Y673,DATE(2015,5,16))-D673)/365,1),0.25)
)
*
_xlfn.SWITCH(J673,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73" s="1" cm="1">
        <f t="array" aca="1" ref="AA673" ca="1">IF(Y673&lt;DATE(2015,5,17),0,
K673*
(
INT((MIN(Y673,DATE(2018,9,23))-MAX(D673,DATE(2015,5,17)))/365)
+
CEILING(MOD((MIN(Y673,DATE(2018,9,23))-MAX(D673,DATE(2015,5,17)))/365,1),0.25)
)
*
_xlfn.SWITCH(J673,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73" s="1" cm="1">
        <f t="array" aca="1" ref="AB673" ca="1">IF(Y673&lt;DATE(2018,9,24),0,
IF(J673="زراعة",
K673*
(
INT((MIN(Y673,DATE(2023,4,30))-MAX(D673,DATE(2018,9,24)))/365)
+
CEILING(MOD((MIN(Y673,DATE(2023,4,30))-MAX(D673,DATE(2018,9,24)))/365,1),0.25)
)
*1,
K673*
(
DATEDIF(MAX(D673,DATE(2018,9,24)),MIN(Y673,DATE(2023,4,30)),"m")+1
)
*
_xlfn.SWITCH(J673,
"موقف/تندة",IF(D673&lt;DATE(2019,11,30),6,30),
"تشوينات",IF(D673&lt;DATE(2019,11,30),4,20),
"مشاتل",IF(D673&lt;DATE(2019,11,30),2,10),
"كافيتيريا",IF(D673&lt;DATE(2019,11,30),30,150),
"نوادي",IF(D673&lt;DATE(2019,11,30),6,30),
"رسو مراكب",IF(D673&lt;DATE(2019,11,30),2,10),
"مباني",IF(D673&lt;DATE(2018,9,24),2,10),
"عشش",IF(D673&lt;DATE(2019,11,30),2,10),
"كشك (تجاري/صناعي)",IF(D673&lt;DATE(2019,11,30),10,50),
"ردم",20,
0)))</f>
        <v>0</v>
      </c>
      <c r="AC673" s="1" cm="1">
        <f t="array" aca="1" ref="AC673" ca="1">IF(Y673&lt;DATE(2023,5,1),0,
IF(J673="زراعة",
K673*
(
INT((Y673-MAX(DATE(2023,5,1),D673))/365)
+
CEILING(MOD((Y673-MAX(DATE(2023,5,1),D673))/365,1),0.25)
)
*3,
IF(J673="ردم",
K673*20,
K673*
(
DATEDIF(MAX(DATE(2023,5,1),D673),Y673,"m")+1
)
*
_xlfn.SWITCH(J673,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73" s="1">
        <f t="shared" ca="1" si="66"/>
        <v>55</v>
      </c>
    </row>
    <row r="674" spans="1:30" ht="18.75" x14ac:dyDescent="0.25">
      <c r="A674" s="51">
        <v>610</v>
      </c>
      <c r="B674" s="6">
        <v>7</v>
      </c>
      <c r="C674" s="6">
        <v>2021</v>
      </c>
      <c r="D674" s="7" t="s">
        <v>836</v>
      </c>
      <c r="E674" s="12"/>
      <c r="F674" s="6"/>
      <c r="G674" s="6" t="s">
        <v>843</v>
      </c>
      <c r="H674" s="6"/>
      <c r="I674" s="63" t="s">
        <v>297</v>
      </c>
      <c r="J674" s="3" t="s">
        <v>28</v>
      </c>
      <c r="K674" s="6"/>
      <c r="L674" s="63" t="s">
        <v>88</v>
      </c>
      <c r="M674" s="7"/>
      <c r="N674" s="6"/>
      <c r="O674" s="9">
        <f>0.47*Table2[[#This Row],[قيمة المحضر]]</f>
        <v>0</v>
      </c>
      <c r="P674" s="9">
        <f>0.17*Table2[[#This Row],[قيمة المحضر]]</f>
        <v>0</v>
      </c>
      <c r="Q674" s="9">
        <f t="shared" ca="1" si="67"/>
        <v>0</v>
      </c>
      <c r="R674" s="3"/>
      <c r="S674" s="3"/>
      <c r="T674" s="9" t="str">
        <f t="shared" si="68"/>
        <v>-</v>
      </c>
      <c r="U674" s="3" t="s">
        <v>25</v>
      </c>
      <c r="V674" s="9" t="str">
        <f t="shared" si="69"/>
        <v>-</v>
      </c>
      <c r="W674" s="4"/>
      <c r="X674" s="38"/>
      <c r="Y674" s="1">
        <f t="shared" ca="1" si="65"/>
        <v>46162</v>
      </c>
      <c r="Z674" s="1" cm="1">
        <f t="array" ref="Z674">IF(D674&gt;DATE(2015,5,16),0,
K674*
(
INT((MIN(Y674,DATE(2015,5,16))-D674)/365)
+
CEILING(MOD((MIN(Y674,DATE(2015,5,16))-D674)/365,1),0.25)
)
*
_xlfn.SWITCH(J674,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74" s="1" cm="1">
        <f t="array" aca="1" ref="AA674" ca="1">IF(Y674&lt;DATE(2015,5,17),0,
K674*
(
INT((MIN(Y674,DATE(2018,9,23))-MAX(D674,DATE(2015,5,17)))/365)
+
CEILING(MOD((MIN(Y674,DATE(2018,9,23))-MAX(D674,DATE(2015,5,17)))/365,1),0.25)
)
*
_xlfn.SWITCH(J674,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74" s="1" cm="1">
        <f t="array" aca="1" ref="AB674" ca="1">IF(Y674&lt;DATE(2018,9,24),0,
IF(J674="زراعة",
K674*
(
INT((MIN(Y674,DATE(2023,4,30))-MAX(D674,DATE(2018,9,24)))/365)
+
CEILING(MOD((MIN(Y674,DATE(2023,4,30))-MAX(D674,DATE(2018,9,24)))/365,1),0.25)
)
*1,
K674*
(
DATEDIF(MAX(D674,DATE(2018,9,24)),MIN(Y674,DATE(2023,4,30)),"m")+1
)
*
_xlfn.SWITCH(J674,
"موقف/تندة",IF(D674&lt;DATE(2019,11,30),6,30),
"تشوينات",IF(D674&lt;DATE(2019,11,30),4,20),
"مشاتل",IF(D674&lt;DATE(2019,11,30),2,10),
"كافيتيريا",IF(D674&lt;DATE(2019,11,30),30,150),
"نوادي",IF(D674&lt;DATE(2019,11,30),6,30),
"رسو مراكب",IF(D674&lt;DATE(2019,11,30),2,10),
"مباني",IF(D674&lt;DATE(2018,9,24),2,10),
"عشش",IF(D674&lt;DATE(2019,11,30),2,10),
"كشك (تجاري/صناعي)",IF(D674&lt;DATE(2019,11,30),10,50),
"ردم",20,
0)))</f>
        <v>0</v>
      </c>
      <c r="AC674" s="1" cm="1">
        <f t="array" aca="1" ref="AC674" ca="1">IF(Y674&lt;DATE(2023,5,1),0,
IF(J674="زراعة",
K674*
(
INT((Y674-MAX(DATE(2023,5,1),D674))/365)
+
CEILING(MOD((Y674-MAX(DATE(2023,5,1),D674))/365,1),0.25)
)
*3,
IF(J674="ردم",
K674*20,
K674*
(
DATEDIF(MAX(DATE(2023,5,1),D674),Y674,"m")+1
)
*
_xlfn.SWITCH(J674,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74" s="1">
        <f t="shared" ca="1" si="66"/>
        <v>55</v>
      </c>
    </row>
    <row r="675" spans="1:30" ht="18.75" x14ac:dyDescent="0.25">
      <c r="A675" s="51">
        <v>611</v>
      </c>
      <c r="B675" s="6">
        <v>8</v>
      </c>
      <c r="C675" s="6">
        <v>2021</v>
      </c>
      <c r="D675" s="7" t="s">
        <v>836</v>
      </c>
      <c r="E675" s="12"/>
      <c r="F675" s="6"/>
      <c r="G675" s="6" t="s">
        <v>844</v>
      </c>
      <c r="H675" s="6"/>
      <c r="I675" s="63" t="s">
        <v>297</v>
      </c>
      <c r="J675" s="3" t="s">
        <v>28</v>
      </c>
      <c r="K675" s="6"/>
      <c r="L675" s="63" t="s">
        <v>88</v>
      </c>
      <c r="M675" s="7"/>
      <c r="N675" s="6"/>
      <c r="O675" s="9">
        <f>0.47*Table2[[#This Row],[قيمة المحضر]]</f>
        <v>0</v>
      </c>
      <c r="P675" s="9">
        <f>0.17*Table2[[#This Row],[قيمة المحضر]]</f>
        <v>0</v>
      </c>
      <c r="Q675" s="9">
        <f t="shared" ca="1" si="67"/>
        <v>0</v>
      </c>
      <c r="R675" s="3"/>
      <c r="S675" s="3"/>
      <c r="T675" s="9" t="str">
        <f t="shared" si="68"/>
        <v>-</v>
      </c>
      <c r="U675" s="3" t="s">
        <v>25</v>
      </c>
      <c r="V675" s="9" t="str">
        <f t="shared" si="69"/>
        <v>-</v>
      </c>
      <c r="W675" s="4"/>
      <c r="X675" s="38"/>
      <c r="Y675" s="1">
        <f t="shared" ca="1" si="65"/>
        <v>46162</v>
      </c>
      <c r="Z675" s="1" cm="1">
        <f t="array" ref="Z675">IF(D675&gt;DATE(2015,5,16),0,
K675*
(
INT((MIN(Y675,DATE(2015,5,16))-D675)/365)
+
CEILING(MOD((MIN(Y675,DATE(2015,5,16))-D675)/365,1),0.25)
)
*
_xlfn.SWITCH(J675,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75" s="1" cm="1">
        <f t="array" aca="1" ref="AA675" ca="1">IF(Y675&lt;DATE(2015,5,17),0,
K675*
(
INT((MIN(Y675,DATE(2018,9,23))-MAX(D675,DATE(2015,5,17)))/365)
+
CEILING(MOD((MIN(Y675,DATE(2018,9,23))-MAX(D675,DATE(2015,5,17)))/365,1),0.25)
)
*
_xlfn.SWITCH(J675,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75" s="1" cm="1">
        <f t="array" aca="1" ref="AB675" ca="1">IF(Y675&lt;DATE(2018,9,24),0,
IF(J675="زراعة",
K675*
(
INT((MIN(Y675,DATE(2023,4,30))-MAX(D675,DATE(2018,9,24)))/365)
+
CEILING(MOD((MIN(Y675,DATE(2023,4,30))-MAX(D675,DATE(2018,9,24)))/365,1),0.25)
)
*1,
K675*
(
DATEDIF(MAX(D675,DATE(2018,9,24)),MIN(Y675,DATE(2023,4,30)),"m")+1
)
*
_xlfn.SWITCH(J675,
"موقف/تندة",IF(D675&lt;DATE(2019,11,30),6,30),
"تشوينات",IF(D675&lt;DATE(2019,11,30),4,20),
"مشاتل",IF(D675&lt;DATE(2019,11,30),2,10),
"كافيتيريا",IF(D675&lt;DATE(2019,11,30),30,150),
"نوادي",IF(D675&lt;DATE(2019,11,30),6,30),
"رسو مراكب",IF(D675&lt;DATE(2019,11,30),2,10),
"مباني",IF(D675&lt;DATE(2018,9,24),2,10),
"عشش",IF(D675&lt;DATE(2019,11,30),2,10),
"كشك (تجاري/صناعي)",IF(D675&lt;DATE(2019,11,30),10,50),
"ردم",20,
0)))</f>
        <v>0</v>
      </c>
      <c r="AC675" s="1" cm="1">
        <f t="array" aca="1" ref="AC675" ca="1">IF(Y675&lt;DATE(2023,5,1),0,
IF(J675="زراعة",
K675*
(
INT((Y675-MAX(DATE(2023,5,1),D675))/365)
+
CEILING(MOD((Y675-MAX(DATE(2023,5,1),D675))/365,1),0.25)
)
*3,
IF(J675="ردم",
K675*20,
K675*
(
DATEDIF(MAX(DATE(2023,5,1),D675),Y675,"m")+1
)
*
_xlfn.SWITCH(J675,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75" s="1">
        <f t="shared" ca="1" si="66"/>
        <v>55</v>
      </c>
    </row>
    <row r="676" spans="1:30" ht="18.75" x14ac:dyDescent="0.25">
      <c r="A676" s="51">
        <v>612</v>
      </c>
      <c r="B676" s="6">
        <v>9</v>
      </c>
      <c r="C676" s="6">
        <v>2021</v>
      </c>
      <c r="D676" s="7" t="s">
        <v>835</v>
      </c>
      <c r="E676" s="12"/>
      <c r="F676" s="6"/>
      <c r="G676" s="6" t="s">
        <v>845</v>
      </c>
      <c r="H676" s="6"/>
      <c r="I676" s="63" t="s">
        <v>297</v>
      </c>
      <c r="J676" s="3" t="s">
        <v>28</v>
      </c>
      <c r="K676" s="6"/>
      <c r="L676" s="63" t="s">
        <v>88</v>
      </c>
      <c r="M676" s="7"/>
      <c r="N676" s="6"/>
      <c r="O676" s="9">
        <f>0.47*Table2[[#This Row],[قيمة المحضر]]</f>
        <v>0</v>
      </c>
      <c r="P676" s="9">
        <f>0.17*Table2[[#This Row],[قيمة المحضر]]</f>
        <v>0</v>
      </c>
      <c r="Q676" s="9">
        <f t="shared" ca="1" si="67"/>
        <v>0</v>
      </c>
      <c r="R676" s="3"/>
      <c r="S676" s="3"/>
      <c r="T676" s="9" t="str">
        <f t="shared" si="68"/>
        <v>-</v>
      </c>
      <c r="U676" s="3" t="s">
        <v>25</v>
      </c>
      <c r="V676" s="9" t="str">
        <f t="shared" si="69"/>
        <v>-</v>
      </c>
      <c r="W676" s="4"/>
      <c r="X676" s="38"/>
      <c r="Y676" s="1">
        <f t="shared" ca="1" si="65"/>
        <v>46162</v>
      </c>
      <c r="Z676" s="1" cm="1">
        <f t="array" ref="Z676">IF(D676&gt;DATE(2015,5,16),0,
K676*
(
INT((MIN(Y676,DATE(2015,5,16))-D676)/365)
+
CEILING(MOD((MIN(Y676,DATE(2015,5,16))-D676)/365,1),0.25)
)
*
_xlfn.SWITCH(J676,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76" s="1" cm="1">
        <f t="array" aca="1" ref="AA676" ca="1">IF(Y676&lt;DATE(2015,5,17),0,
K676*
(
INT((MIN(Y676,DATE(2018,9,23))-MAX(D676,DATE(2015,5,17)))/365)
+
CEILING(MOD((MIN(Y676,DATE(2018,9,23))-MAX(D676,DATE(2015,5,17)))/365,1),0.25)
)
*
_xlfn.SWITCH(J676,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76" s="1" cm="1">
        <f t="array" aca="1" ref="AB676" ca="1">IF(Y676&lt;DATE(2018,9,24),0,
IF(J676="زراعة",
K676*
(
INT((MIN(Y676,DATE(2023,4,30))-MAX(D676,DATE(2018,9,24)))/365)
+
CEILING(MOD((MIN(Y676,DATE(2023,4,30))-MAX(D676,DATE(2018,9,24)))/365,1),0.25)
)
*1,
K676*
(
DATEDIF(MAX(D676,DATE(2018,9,24)),MIN(Y676,DATE(2023,4,30)),"m")+1
)
*
_xlfn.SWITCH(J676,
"موقف/تندة",IF(D676&lt;DATE(2019,11,30),6,30),
"تشوينات",IF(D676&lt;DATE(2019,11,30),4,20),
"مشاتل",IF(D676&lt;DATE(2019,11,30),2,10),
"كافيتيريا",IF(D676&lt;DATE(2019,11,30),30,150),
"نوادي",IF(D676&lt;DATE(2019,11,30),6,30),
"رسو مراكب",IF(D676&lt;DATE(2019,11,30),2,10),
"مباني",IF(D676&lt;DATE(2018,9,24),2,10),
"عشش",IF(D676&lt;DATE(2019,11,30),2,10),
"كشك (تجاري/صناعي)",IF(D676&lt;DATE(2019,11,30),10,50),
"ردم",20,
0)))</f>
        <v>0</v>
      </c>
      <c r="AC676" s="1" cm="1">
        <f t="array" aca="1" ref="AC676" ca="1">IF(Y676&lt;DATE(2023,5,1),0,
IF(J676="زراعة",
K676*
(
INT((Y676-MAX(DATE(2023,5,1),D676))/365)
+
CEILING(MOD((Y676-MAX(DATE(2023,5,1),D676))/365,1),0.25)
)
*3,
IF(J676="ردم",
K676*20,
K676*
(
DATEDIF(MAX(DATE(2023,5,1),D676),Y676,"m")+1
)
*
_xlfn.SWITCH(J676,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76" s="1">
        <f t="shared" ca="1" si="66"/>
        <v>55</v>
      </c>
    </row>
    <row r="677" spans="1:30" ht="18.75" x14ac:dyDescent="0.25">
      <c r="A677" s="51">
        <v>613</v>
      </c>
      <c r="B677" s="6">
        <v>10</v>
      </c>
      <c r="C677" s="6">
        <v>2021</v>
      </c>
      <c r="D677" s="7" t="s">
        <v>836</v>
      </c>
      <c r="E677" s="12"/>
      <c r="F677" s="6"/>
      <c r="G677" s="6" t="s">
        <v>846</v>
      </c>
      <c r="H677" s="6"/>
      <c r="I677" s="63" t="s">
        <v>33</v>
      </c>
      <c r="J677" s="3" t="s">
        <v>28</v>
      </c>
      <c r="K677" s="6"/>
      <c r="L677" s="63" t="s">
        <v>88</v>
      </c>
      <c r="M677" s="7"/>
      <c r="N677" s="6"/>
      <c r="O677" s="9">
        <f>0.47*Table2[[#This Row],[قيمة المحضر]]</f>
        <v>0</v>
      </c>
      <c r="P677" s="9">
        <f>0.17*Table2[[#This Row],[قيمة المحضر]]</f>
        <v>0</v>
      </c>
      <c r="Q677" s="9">
        <f t="shared" ca="1" si="67"/>
        <v>0</v>
      </c>
      <c r="R677" s="3"/>
      <c r="S677" s="3"/>
      <c r="T677" s="9" t="str">
        <f t="shared" si="68"/>
        <v>-</v>
      </c>
      <c r="U677" s="3" t="s">
        <v>25</v>
      </c>
      <c r="V677" s="9" t="str">
        <f t="shared" si="69"/>
        <v>-</v>
      </c>
      <c r="W677" s="4"/>
      <c r="X677" s="38"/>
      <c r="Y677" s="1">
        <f t="shared" ca="1" si="65"/>
        <v>46162</v>
      </c>
      <c r="Z677" s="1" cm="1">
        <f t="array" ref="Z677">IF(D677&gt;DATE(2015,5,16),0,
K677*
(
INT((MIN(Y677,DATE(2015,5,16))-D677)/365)
+
CEILING(MOD((MIN(Y677,DATE(2015,5,16))-D677)/365,1),0.25)
)
*
_xlfn.SWITCH(J677,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77" s="1" cm="1">
        <f t="array" aca="1" ref="AA677" ca="1">IF(Y677&lt;DATE(2015,5,17),0,
K677*
(
INT((MIN(Y677,DATE(2018,9,23))-MAX(D677,DATE(2015,5,17)))/365)
+
CEILING(MOD((MIN(Y677,DATE(2018,9,23))-MAX(D677,DATE(2015,5,17)))/365,1),0.25)
)
*
_xlfn.SWITCH(J677,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77" s="1" cm="1">
        <f t="array" aca="1" ref="AB677" ca="1">IF(Y677&lt;DATE(2018,9,24),0,
IF(J677="زراعة",
K677*
(
INT((MIN(Y677,DATE(2023,4,30))-MAX(D677,DATE(2018,9,24)))/365)
+
CEILING(MOD((MIN(Y677,DATE(2023,4,30))-MAX(D677,DATE(2018,9,24)))/365,1),0.25)
)
*1,
K677*
(
DATEDIF(MAX(D677,DATE(2018,9,24)),MIN(Y677,DATE(2023,4,30)),"m")+1
)
*
_xlfn.SWITCH(J677,
"موقف/تندة",IF(D677&lt;DATE(2019,11,30),6,30),
"تشوينات",IF(D677&lt;DATE(2019,11,30),4,20),
"مشاتل",IF(D677&lt;DATE(2019,11,30),2,10),
"كافيتيريا",IF(D677&lt;DATE(2019,11,30),30,150),
"نوادي",IF(D677&lt;DATE(2019,11,30),6,30),
"رسو مراكب",IF(D677&lt;DATE(2019,11,30),2,10),
"مباني",IF(D677&lt;DATE(2018,9,24),2,10),
"عشش",IF(D677&lt;DATE(2019,11,30),2,10),
"كشك (تجاري/صناعي)",IF(D677&lt;DATE(2019,11,30),10,50),
"ردم",20,
0)))</f>
        <v>0</v>
      </c>
      <c r="AC677" s="1" cm="1">
        <f t="array" aca="1" ref="AC677" ca="1">IF(Y677&lt;DATE(2023,5,1),0,
IF(J677="زراعة",
K677*
(
INT((Y677-MAX(DATE(2023,5,1),D677))/365)
+
CEILING(MOD((Y677-MAX(DATE(2023,5,1),D677))/365,1),0.25)
)
*3,
IF(J677="ردم",
K677*20,
K677*
(
DATEDIF(MAX(DATE(2023,5,1),D677),Y677,"m")+1
)
*
_xlfn.SWITCH(J677,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77" s="1">
        <f t="shared" ca="1" si="66"/>
        <v>55</v>
      </c>
    </row>
    <row r="678" spans="1:30" ht="18.75" x14ac:dyDescent="0.25">
      <c r="A678" s="51">
        <v>614</v>
      </c>
      <c r="B678" s="6">
        <v>11</v>
      </c>
      <c r="C678" s="6">
        <v>2021</v>
      </c>
      <c r="D678" s="7" t="s">
        <v>835</v>
      </c>
      <c r="E678" s="12"/>
      <c r="F678" s="6"/>
      <c r="G678" s="6" t="s">
        <v>847</v>
      </c>
      <c r="H678" s="6"/>
      <c r="I678" s="63" t="s">
        <v>297</v>
      </c>
      <c r="J678" s="3" t="s">
        <v>77</v>
      </c>
      <c r="K678" s="6"/>
      <c r="L678" s="63" t="s">
        <v>88</v>
      </c>
      <c r="M678" s="7"/>
      <c r="N678" s="6"/>
      <c r="O678" s="9">
        <f>0.47*Table2[[#This Row],[قيمة المحضر]]</f>
        <v>0</v>
      </c>
      <c r="P678" s="9">
        <f>0.17*Table2[[#This Row],[قيمة المحضر]]</f>
        <v>0</v>
      </c>
      <c r="Q678" s="9">
        <f t="shared" ca="1" si="67"/>
        <v>0</v>
      </c>
      <c r="R678" s="3"/>
      <c r="S678" s="3"/>
      <c r="T678" s="9" t="str">
        <f t="shared" si="68"/>
        <v>-</v>
      </c>
      <c r="U678" s="3" t="s">
        <v>25</v>
      </c>
      <c r="V678" s="9" t="str">
        <f t="shared" si="69"/>
        <v>-</v>
      </c>
      <c r="W678" s="4"/>
      <c r="X678" s="38"/>
      <c r="Y678" s="1">
        <f t="shared" ca="1" si="65"/>
        <v>46162</v>
      </c>
      <c r="Z678" s="1" cm="1">
        <f t="array" ref="Z678">IF(D678&gt;DATE(2015,5,16),0,
K678*
(
INT((MIN(Y678,DATE(2015,5,16))-D678)/365)
+
CEILING(MOD((MIN(Y678,DATE(2015,5,16))-D678)/365,1),0.25)
)
*
_xlfn.SWITCH(J678,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78" s="1" cm="1">
        <f t="array" aca="1" ref="AA678" ca="1">IF(Y678&lt;DATE(2015,5,17),0,
K678*
(
INT((MIN(Y678,DATE(2018,9,23))-MAX(D678,DATE(2015,5,17)))/365)
+
CEILING(MOD((MIN(Y678,DATE(2018,9,23))-MAX(D678,DATE(2015,5,17)))/365,1),0.25)
)
*
_xlfn.SWITCH(J678,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78" s="1" cm="1">
        <f t="array" aca="1" ref="AB678" ca="1">IF(Y678&lt;DATE(2018,9,24),0,
IF(J678="زراعة",
K678*
(
INT((MIN(Y678,DATE(2023,4,30))-MAX(D678,DATE(2018,9,24)))/365)
+
CEILING(MOD((MIN(Y678,DATE(2023,4,30))-MAX(D678,DATE(2018,9,24)))/365,1),0.25)
)
*1,
K678*
(
DATEDIF(MAX(D678,DATE(2018,9,24)),MIN(Y678,DATE(2023,4,30)),"m")+1
)
*
_xlfn.SWITCH(J678,
"موقف/تندة",IF(D678&lt;DATE(2019,11,30),6,30),
"تشوينات",IF(D678&lt;DATE(2019,11,30),4,20),
"مشاتل",IF(D678&lt;DATE(2019,11,30),2,10),
"كافيتيريا",IF(D678&lt;DATE(2019,11,30),30,150),
"نوادي",IF(D678&lt;DATE(2019,11,30),6,30),
"رسو مراكب",IF(D678&lt;DATE(2019,11,30),2,10),
"مباني",IF(D678&lt;DATE(2018,9,24),2,10),
"عشش",IF(D678&lt;DATE(2019,11,30),2,10),
"كشك (تجاري/صناعي)",IF(D678&lt;DATE(2019,11,30),10,50),
"ردم",20,
0)))</f>
        <v>0</v>
      </c>
      <c r="AC678" s="1" cm="1">
        <f t="array" aca="1" ref="AC678" ca="1">IF(Y678&lt;DATE(2023,5,1),0,
IF(J678="زراعة",
K678*
(
INT((Y678-MAX(DATE(2023,5,1),D678))/365)
+
CEILING(MOD((Y678-MAX(DATE(2023,5,1),D678))/365,1),0.25)
)
*3,
IF(J678="ردم",
K678*20,
K678*
(
DATEDIF(MAX(DATE(2023,5,1),D678),Y678,"m")+1
)
*
_xlfn.SWITCH(J678,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78" s="1">
        <f t="shared" ca="1" si="66"/>
        <v>55</v>
      </c>
    </row>
    <row r="679" spans="1:30" ht="18.75" x14ac:dyDescent="0.25">
      <c r="A679" s="51">
        <v>615</v>
      </c>
      <c r="B679" s="6">
        <v>12</v>
      </c>
      <c r="C679" s="6">
        <v>2021</v>
      </c>
      <c r="D679" s="7" t="s">
        <v>835</v>
      </c>
      <c r="E679" s="12"/>
      <c r="F679" s="6"/>
      <c r="G679" s="6" t="s">
        <v>848</v>
      </c>
      <c r="H679" s="6"/>
      <c r="I679" s="63" t="s">
        <v>33</v>
      </c>
      <c r="J679" s="3" t="s">
        <v>28</v>
      </c>
      <c r="K679" s="6"/>
      <c r="L679" s="63" t="s">
        <v>88</v>
      </c>
      <c r="M679" s="7"/>
      <c r="N679" s="6"/>
      <c r="O679" s="9">
        <f>0.47*Table2[[#This Row],[قيمة المحضر]]</f>
        <v>0</v>
      </c>
      <c r="P679" s="9">
        <f>0.17*Table2[[#This Row],[قيمة المحضر]]</f>
        <v>0</v>
      </c>
      <c r="Q679" s="9">
        <f t="shared" ca="1" si="67"/>
        <v>0</v>
      </c>
      <c r="R679" s="3"/>
      <c r="S679" s="3"/>
      <c r="T679" s="9" t="str">
        <f t="shared" si="68"/>
        <v>-</v>
      </c>
      <c r="U679" s="3" t="s">
        <v>25</v>
      </c>
      <c r="V679" s="9" t="str">
        <f t="shared" si="69"/>
        <v>-</v>
      </c>
      <c r="W679" s="4"/>
      <c r="X679" s="38"/>
      <c r="Y679" s="1">
        <f t="shared" ca="1" si="65"/>
        <v>46162</v>
      </c>
      <c r="Z679" s="1" cm="1">
        <f t="array" ref="Z679">IF(D679&gt;DATE(2015,5,16),0,
K679*
(
INT((MIN(Y679,DATE(2015,5,16))-D679)/365)
+
CEILING(MOD((MIN(Y679,DATE(2015,5,16))-D679)/365,1),0.25)
)
*
_xlfn.SWITCH(J679,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79" s="1" cm="1">
        <f t="array" aca="1" ref="AA679" ca="1">IF(Y679&lt;DATE(2015,5,17),0,
K679*
(
INT((MIN(Y679,DATE(2018,9,23))-MAX(D679,DATE(2015,5,17)))/365)
+
CEILING(MOD((MIN(Y679,DATE(2018,9,23))-MAX(D679,DATE(2015,5,17)))/365,1),0.25)
)
*
_xlfn.SWITCH(J679,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79" s="1" cm="1">
        <f t="array" aca="1" ref="AB679" ca="1">IF(Y679&lt;DATE(2018,9,24),0,
IF(J679="زراعة",
K679*
(
INT((MIN(Y679,DATE(2023,4,30))-MAX(D679,DATE(2018,9,24)))/365)
+
CEILING(MOD((MIN(Y679,DATE(2023,4,30))-MAX(D679,DATE(2018,9,24)))/365,1),0.25)
)
*1,
K679*
(
DATEDIF(MAX(D679,DATE(2018,9,24)),MIN(Y679,DATE(2023,4,30)),"m")+1
)
*
_xlfn.SWITCH(J679,
"موقف/تندة",IF(D679&lt;DATE(2019,11,30),6,30),
"تشوينات",IF(D679&lt;DATE(2019,11,30),4,20),
"مشاتل",IF(D679&lt;DATE(2019,11,30),2,10),
"كافيتيريا",IF(D679&lt;DATE(2019,11,30),30,150),
"نوادي",IF(D679&lt;DATE(2019,11,30),6,30),
"رسو مراكب",IF(D679&lt;DATE(2019,11,30),2,10),
"مباني",IF(D679&lt;DATE(2018,9,24),2,10),
"عشش",IF(D679&lt;DATE(2019,11,30),2,10),
"كشك (تجاري/صناعي)",IF(D679&lt;DATE(2019,11,30),10,50),
"ردم",20,
0)))</f>
        <v>0</v>
      </c>
      <c r="AC679" s="1" cm="1">
        <f t="array" aca="1" ref="AC679" ca="1">IF(Y679&lt;DATE(2023,5,1),0,
IF(J679="زراعة",
K679*
(
INT((Y679-MAX(DATE(2023,5,1),D679))/365)
+
CEILING(MOD((Y679-MAX(DATE(2023,5,1),D679))/365,1),0.25)
)
*3,
IF(J679="ردم",
K679*20,
K679*
(
DATEDIF(MAX(DATE(2023,5,1),D679),Y679,"m")+1
)
*
_xlfn.SWITCH(J679,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79" s="1">
        <f t="shared" ca="1" si="66"/>
        <v>55</v>
      </c>
    </row>
    <row r="680" spans="1:30" ht="18.75" x14ac:dyDescent="0.25">
      <c r="A680" s="51">
        <v>616</v>
      </c>
      <c r="B680" s="6">
        <v>13</v>
      </c>
      <c r="C680" s="6">
        <v>2021</v>
      </c>
      <c r="D680" s="7" t="s">
        <v>835</v>
      </c>
      <c r="E680" s="12"/>
      <c r="F680" s="6"/>
      <c r="G680" s="6" t="s">
        <v>582</v>
      </c>
      <c r="H680" s="6"/>
      <c r="I680" s="63" t="s">
        <v>33</v>
      </c>
      <c r="J680" s="3" t="s">
        <v>28</v>
      </c>
      <c r="K680" s="6"/>
      <c r="L680" s="63" t="s">
        <v>88</v>
      </c>
      <c r="M680" s="7"/>
      <c r="N680" s="6"/>
      <c r="O680" s="9">
        <f>0.47*Table2[[#This Row],[قيمة المحضر]]</f>
        <v>0</v>
      </c>
      <c r="P680" s="9">
        <f>0.17*Table2[[#This Row],[قيمة المحضر]]</f>
        <v>0</v>
      </c>
      <c r="Q680" s="9">
        <f t="shared" ca="1" si="67"/>
        <v>0</v>
      </c>
      <c r="R680" s="3"/>
      <c r="S680" s="3"/>
      <c r="T680" s="9" t="str">
        <f t="shared" si="68"/>
        <v>-</v>
      </c>
      <c r="U680" s="3" t="s">
        <v>25</v>
      </c>
      <c r="V680" s="9" t="str">
        <f t="shared" si="69"/>
        <v>-</v>
      </c>
      <c r="W680" s="4"/>
      <c r="X680" s="38"/>
      <c r="Y680" s="1">
        <f t="shared" ca="1" si="65"/>
        <v>46162</v>
      </c>
      <c r="Z680" s="1" cm="1">
        <f t="array" ref="Z680">IF(D680&gt;DATE(2015,5,16),0,
K680*
(
INT((MIN(Y680,DATE(2015,5,16))-D680)/365)
+
CEILING(MOD((MIN(Y680,DATE(2015,5,16))-D680)/365,1),0.25)
)
*
_xlfn.SWITCH(J680,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80" s="1" cm="1">
        <f t="array" aca="1" ref="AA680" ca="1">IF(Y680&lt;DATE(2015,5,17),0,
K680*
(
INT((MIN(Y680,DATE(2018,9,23))-MAX(D680,DATE(2015,5,17)))/365)
+
CEILING(MOD((MIN(Y680,DATE(2018,9,23))-MAX(D680,DATE(2015,5,17)))/365,1),0.25)
)
*
_xlfn.SWITCH(J680,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80" s="1" cm="1">
        <f t="array" aca="1" ref="AB680" ca="1">IF(Y680&lt;DATE(2018,9,24),0,
IF(J680="زراعة",
K680*
(
INT((MIN(Y680,DATE(2023,4,30))-MAX(D680,DATE(2018,9,24)))/365)
+
CEILING(MOD((MIN(Y680,DATE(2023,4,30))-MAX(D680,DATE(2018,9,24)))/365,1),0.25)
)
*1,
K680*
(
DATEDIF(MAX(D680,DATE(2018,9,24)),MIN(Y680,DATE(2023,4,30)),"m")+1
)
*
_xlfn.SWITCH(J680,
"موقف/تندة",IF(D680&lt;DATE(2019,11,30),6,30),
"تشوينات",IF(D680&lt;DATE(2019,11,30),4,20),
"مشاتل",IF(D680&lt;DATE(2019,11,30),2,10),
"كافيتيريا",IF(D680&lt;DATE(2019,11,30),30,150),
"نوادي",IF(D680&lt;DATE(2019,11,30),6,30),
"رسو مراكب",IF(D680&lt;DATE(2019,11,30),2,10),
"مباني",IF(D680&lt;DATE(2018,9,24),2,10),
"عشش",IF(D680&lt;DATE(2019,11,30),2,10),
"كشك (تجاري/صناعي)",IF(D680&lt;DATE(2019,11,30),10,50),
"ردم",20,
0)))</f>
        <v>0</v>
      </c>
      <c r="AC680" s="1" cm="1">
        <f t="array" aca="1" ref="AC680" ca="1">IF(Y680&lt;DATE(2023,5,1),0,
IF(J680="زراعة",
K680*
(
INT((Y680-MAX(DATE(2023,5,1),D680))/365)
+
CEILING(MOD((Y680-MAX(DATE(2023,5,1),D680))/365,1),0.25)
)
*3,
IF(J680="ردم",
K680*20,
K680*
(
DATEDIF(MAX(DATE(2023,5,1),D680),Y680,"m")+1
)
*
_xlfn.SWITCH(J680,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80" s="1">
        <f t="shared" ca="1" si="66"/>
        <v>55</v>
      </c>
    </row>
    <row r="681" spans="1:30" ht="18.75" x14ac:dyDescent="0.25">
      <c r="A681" s="51">
        <v>617</v>
      </c>
      <c r="B681" s="6">
        <v>14</v>
      </c>
      <c r="C681" s="6">
        <v>2021</v>
      </c>
      <c r="D681" s="7" t="s">
        <v>835</v>
      </c>
      <c r="E681" s="12"/>
      <c r="F681" s="6"/>
      <c r="G681" s="6" t="s">
        <v>849</v>
      </c>
      <c r="H681" s="6"/>
      <c r="I681" s="63" t="s">
        <v>33</v>
      </c>
      <c r="J681" s="3" t="s">
        <v>28</v>
      </c>
      <c r="K681" s="6"/>
      <c r="L681" s="63" t="s">
        <v>88</v>
      </c>
      <c r="M681" s="7"/>
      <c r="N681" s="6"/>
      <c r="O681" s="9">
        <f>0.47*Table2[[#This Row],[قيمة المحضر]]</f>
        <v>0</v>
      </c>
      <c r="P681" s="9">
        <f>0.17*Table2[[#This Row],[قيمة المحضر]]</f>
        <v>0</v>
      </c>
      <c r="Q681" s="9">
        <f t="shared" ca="1" si="67"/>
        <v>0</v>
      </c>
      <c r="R681" s="3"/>
      <c r="S681" s="3"/>
      <c r="T681" s="9" t="str">
        <f t="shared" si="68"/>
        <v>-</v>
      </c>
      <c r="U681" s="3" t="s">
        <v>25</v>
      </c>
      <c r="V681" s="9" t="str">
        <f t="shared" si="69"/>
        <v>-</v>
      </c>
      <c r="W681" s="4"/>
      <c r="X681" s="38"/>
      <c r="Y681" s="1">
        <f t="shared" ca="1" si="65"/>
        <v>46162</v>
      </c>
      <c r="Z681" s="1" cm="1">
        <f t="array" ref="Z681">IF(D681&gt;DATE(2015,5,16),0,
K681*
(
INT((MIN(Y681,DATE(2015,5,16))-D681)/365)
+
CEILING(MOD((MIN(Y681,DATE(2015,5,16))-D681)/365,1),0.25)
)
*
_xlfn.SWITCH(J681,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81" s="1" cm="1">
        <f t="array" aca="1" ref="AA681" ca="1">IF(Y681&lt;DATE(2015,5,17),0,
K681*
(
INT((MIN(Y681,DATE(2018,9,23))-MAX(D681,DATE(2015,5,17)))/365)
+
CEILING(MOD((MIN(Y681,DATE(2018,9,23))-MAX(D681,DATE(2015,5,17)))/365,1),0.25)
)
*
_xlfn.SWITCH(J681,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81" s="1" cm="1">
        <f t="array" aca="1" ref="AB681" ca="1">IF(Y681&lt;DATE(2018,9,24),0,
IF(J681="زراعة",
K681*
(
INT((MIN(Y681,DATE(2023,4,30))-MAX(D681,DATE(2018,9,24)))/365)
+
CEILING(MOD((MIN(Y681,DATE(2023,4,30))-MAX(D681,DATE(2018,9,24)))/365,1),0.25)
)
*1,
K681*
(
DATEDIF(MAX(D681,DATE(2018,9,24)),MIN(Y681,DATE(2023,4,30)),"m")+1
)
*
_xlfn.SWITCH(J681,
"موقف/تندة",IF(D681&lt;DATE(2019,11,30),6,30),
"تشوينات",IF(D681&lt;DATE(2019,11,30),4,20),
"مشاتل",IF(D681&lt;DATE(2019,11,30),2,10),
"كافيتيريا",IF(D681&lt;DATE(2019,11,30),30,150),
"نوادي",IF(D681&lt;DATE(2019,11,30),6,30),
"رسو مراكب",IF(D681&lt;DATE(2019,11,30),2,10),
"مباني",IF(D681&lt;DATE(2018,9,24),2,10),
"عشش",IF(D681&lt;DATE(2019,11,30),2,10),
"كشك (تجاري/صناعي)",IF(D681&lt;DATE(2019,11,30),10,50),
"ردم",20,
0)))</f>
        <v>0</v>
      </c>
      <c r="AC681" s="1" cm="1">
        <f t="array" aca="1" ref="AC681" ca="1">IF(Y681&lt;DATE(2023,5,1),0,
IF(J681="زراعة",
K681*
(
INT((Y681-MAX(DATE(2023,5,1),D681))/365)
+
CEILING(MOD((Y681-MAX(DATE(2023,5,1),D681))/365,1),0.25)
)
*3,
IF(J681="ردم",
K681*20,
K681*
(
DATEDIF(MAX(DATE(2023,5,1),D681),Y681,"m")+1
)
*
_xlfn.SWITCH(J681,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81" s="1">
        <f t="shared" ca="1" si="66"/>
        <v>55</v>
      </c>
    </row>
    <row r="682" spans="1:30" ht="18.75" x14ac:dyDescent="0.25">
      <c r="A682" s="51">
        <v>618</v>
      </c>
      <c r="B682" s="6">
        <v>15</v>
      </c>
      <c r="C682" s="6">
        <v>2021</v>
      </c>
      <c r="D682" s="7" t="s">
        <v>835</v>
      </c>
      <c r="E682" s="12"/>
      <c r="F682" s="6"/>
      <c r="G682" s="6" t="s">
        <v>850</v>
      </c>
      <c r="H682" s="6"/>
      <c r="I682" s="63" t="s">
        <v>33</v>
      </c>
      <c r="J682" s="3" t="s">
        <v>28</v>
      </c>
      <c r="K682" s="6"/>
      <c r="L682" s="63" t="s">
        <v>88</v>
      </c>
      <c r="M682" s="7"/>
      <c r="N682" s="6"/>
      <c r="O682" s="9">
        <f>0.47*Table2[[#This Row],[قيمة المحضر]]</f>
        <v>0</v>
      </c>
      <c r="P682" s="9">
        <f>0.17*Table2[[#This Row],[قيمة المحضر]]</f>
        <v>0</v>
      </c>
      <c r="Q682" s="9">
        <f t="shared" ca="1" si="67"/>
        <v>0</v>
      </c>
      <c r="R682" s="3"/>
      <c r="S682" s="3"/>
      <c r="T682" s="9" t="str">
        <f t="shared" si="68"/>
        <v>-</v>
      </c>
      <c r="U682" s="3" t="s">
        <v>25</v>
      </c>
      <c r="V682" s="9" t="str">
        <f t="shared" si="69"/>
        <v>-</v>
      </c>
      <c r="W682" s="4"/>
      <c r="X682" s="38"/>
      <c r="Y682" s="1">
        <f t="shared" ca="1" si="65"/>
        <v>46162</v>
      </c>
      <c r="Z682" s="1" cm="1">
        <f t="array" ref="Z682">IF(D682&gt;DATE(2015,5,16),0,
K682*
(
INT((MIN(Y682,DATE(2015,5,16))-D682)/365)
+
CEILING(MOD((MIN(Y682,DATE(2015,5,16))-D682)/365,1),0.25)
)
*
_xlfn.SWITCH(J682,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82" s="1" cm="1">
        <f t="array" aca="1" ref="AA682" ca="1">IF(Y682&lt;DATE(2015,5,17),0,
K682*
(
INT((MIN(Y682,DATE(2018,9,23))-MAX(D682,DATE(2015,5,17)))/365)
+
CEILING(MOD((MIN(Y682,DATE(2018,9,23))-MAX(D682,DATE(2015,5,17)))/365,1),0.25)
)
*
_xlfn.SWITCH(J682,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82" s="1" cm="1">
        <f t="array" aca="1" ref="AB682" ca="1">IF(Y682&lt;DATE(2018,9,24),0,
IF(J682="زراعة",
K682*
(
INT((MIN(Y682,DATE(2023,4,30))-MAX(D682,DATE(2018,9,24)))/365)
+
CEILING(MOD((MIN(Y682,DATE(2023,4,30))-MAX(D682,DATE(2018,9,24)))/365,1),0.25)
)
*1,
K682*
(
DATEDIF(MAX(D682,DATE(2018,9,24)),MIN(Y682,DATE(2023,4,30)),"m")+1
)
*
_xlfn.SWITCH(J682,
"موقف/تندة",IF(D682&lt;DATE(2019,11,30),6,30),
"تشوينات",IF(D682&lt;DATE(2019,11,30),4,20),
"مشاتل",IF(D682&lt;DATE(2019,11,30),2,10),
"كافيتيريا",IF(D682&lt;DATE(2019,11,30),30,150),
"نوادي",IF(D682&lt;DATE(2019,11,30),6,30),
"رسو مراكب",IF(D682&lt;DATE(2019,11,30),2,10),
"مباني",IF(D682&lt;DATE(2018,9,24),2,10),
"عشش",IF(D682&lt;DATE(2019,11,30),2,10),
"كشك (تجاري/صناعي)",IF(D682&lt;DATE(2019,11,30),10,50),
"ردم",20,
0)))</f>
        <v>0</v>
      </c>
      <c r="AC682" s="1" cm="1">
        <f t="array" aca="1" ref="AC682" ca="1">IF(Y682&lt;DATE(2023,5,1),0,
IF(J682="زراعة",
K682*
(
INT((Y682-MAX(DATE(2023,5,1),D682))/365)
+
CEILING(MOD((Y682-MAX(DATE(2023,5,1),D682))/365,1),0.25)
)
*3,
IF(J682="ردم",
K682*20,
K682*
(
DATEDIF(MAX(DATE(2023,5,1),D682),Y682,"m")+1
)
*
_xlfn.SWITCH(J682,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82" s="1">
        <f t="shared" ca="1" si="66"/>
        <v>55</v>
      </c>
    </row>
    <row r="683" spans="1:30" ht="18.75" x14ac:dyDescent="0.25">
      <c r="A683" s="51">
        <v>619</v>
      </c>
      <c r="B683" s="6">
        <v>16</v>
      </c>
      <c r="C683" s="6">
        <v>2021</v>
      </c>
      <c r="D683" s="7" t="s">
        <v>835</v>
      </c>
      <c r="E683" s="12"/>
      <c r="F683" s="6"/>
      <c r="G683" s="6" t="s">
        <v>851</v>
      </c>
      <c r="H683" s="6"/>
      <c r="I683" s="63" t="s">
        <v>33</v>
      </c>
      <c r="J683" s="3" t="s">
        <v>28</v>
      </c>
      <c r="K683" s="6"/>
      <c r="L683" s="63" t="s">
        <v>88</v>
      </c>
      <c r="M683" s="7"/>
      <c r="N683" s="6"/>
      <c r="O683" s="9">
        <f>0.47*Table2[[#This Row],[قيمة المحضر]]</f>
        <v>0</v>
      </c>
      <c r="P683" s="9">
        <f>0.17*Table2[[#This Row],[قيمة المحضر]]</f>
        <v>0</v>
      </c>
      <c r="Q683" s="9">
        <f t="shared" ca="1" si="67"/>
        <v>0</v>
      </c>
      <c r="R683" s="3"/>
      <c r="S683" s="3"/>
      <c r="T683" s="9" t="str">
        <f t="shared" si="68"/>
        <v>-</v>
      </c>
      <c r="U683" s="3" t="s">
        <v>25</v>
      </c>
      <c r="V683" s="9" t="str">
        <f t="shared" si="69"/>
        <v>-</v>
      </c>
      <c r="W683" s="4"/>
      <c r="X683" s="38"/>
      <c r="Y683" s="1">
        <f t="shared" ca="1" si="65"/>
        <v>46162</v>
      </c>
      <c r="Z683" s="1" cm="1">
        <f t="array" ref="Z683">IF(D683&gt;DATE(2015,5,16),0,
K683*
(
INT((MIN(Y683,DATE(2015,5,16))-D683)/365)
+
CEILING(MOD((MIN(Y683,DATE(2015,5,16))-D683)/365,1),0.25)
)
*
_xlfn.SWITCH(J683,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83" s="1" cm="1">
        <f t="array" aca="1" ref="AA683" ca="1">IF(Y683&lt;DATE(2015,5,17),0,
K683*
(
INT((MIN(Y683,DATE(2018,9,23))-MAX(D683,DATE(2015,5,17)))/365)
+
CEILING(MOD((MIN(Y683,DATE(2018,9,23))-MAX(D683,DATE(2015,5,17)))/365,1),0.25)
)
*
_xlfn.SWITCH(J683,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83" s="1" cm="1">
        <f t="array" aca="1" ref="AB683" ca="1">IF(Y683&lt;DATE(2018,9,24),0,
IF(J683="زراعة",
K683*
(
INT((MIN(Y683,DATE(2023,4,30))-MAX(D683,DATE(2018,9,24)))/365)
+
CEILING(MOD((MIN(Y683,DATE(2023,4,30))-MAX(D683,DATE(2018,9,24)))/365,1),0.25)
)
*1,
K683*
(
DATEDIF(MAX(D683,DATE(2018,9,24)),MIN(Y683,DATE(2023,4,30)),"m")+1
)
*
_xlfn.SWITCH(J683,
"موقف/تندة",IF(D683&lt;DATE(2019,11,30),6,30),
"تشوينات",IF(D683&lt;DATE(2019,11,30),4,20),
"مشاتل",IF(D683&lt;DATE(2019,11,30),2,10),
"كافيتيريا",IF(D683&lt;DATE(2019,11,30),30,150),
"نوادي",IF(D683&lt;DATE(2019,11,30),6,30),
"رسو مراكب",IF(D683&lt;DATE(2019,11,30),2,10),
"مباني",IF(D683&lt;DATE(2018,9,24),2,10),
"عشش",IF(D683&lt;DATE(2019,11,30),2,10),
"كشك (تجاري/صناعي)",IF(D683&lt;DATE(2019,11,30),10,50),
"ردم",20,
0)))</f>
        <v>0</v>
      </c>
      <c r="AC683" s="1" cm="1">
        <f t="array" aca="1" ref="AC683" ca="1">IF(Y683&lt;DATE(2023,5,1),0,
IF(J683="زراعة",
K683*
(
INT((Y683-MAX(DATE(2023,5,1),D683))/365)
+
CEILING(MOD((Y683-MAX(DATE(2023,5,1),D683))/365,1),0.25)
)
*3,
IF(J683="ردم",
K683*20,
K683*
(
DATEDIF(MAX(DATE(2023,5,1),D683),Y683,"m")+1
)
*
_xlfn.SWITCH(J683,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83" s="1">
        <f t="shared" ca="1" si="66"/>
        <v>55</v>
      </c>
    </row>
    <row r="684" spans="1:30" ht="18.75" x14ac:dyDescent="0.25">
      <c r="A684" s="51">
        <v>620</v>
      </c>
      <c r="B684" s="6">
        <v>17</v>
      </c>
      <c r="C684" s="6">
        <v>2021</v>
      </c>
      <c r="D684" s="7" t="s">
        <v>835</v>
      </c>
      <c r="E684" s="12"/>
      <c r="F684" s="6"/>
      <c r="G684" s="6" t="s">
        <v>852</v>
      </c>
      <c r="H684" s="6"/>
      <c r="I684" s="63" t="s">
        <v>33</v>
      </c>
      <c r="J684" s="3" t="s">
        <v>28</v>
      </c>
      <c r="K684" s="6"/>
      <c r="L684" s="63" t="s">
        <v>88</v>
      </c>
      <c r="M684" s="7"/>
      <c r="N684" s="6"/>
      <c r="O684" s="9">
        <f>0.47*Table2[[#This Row],[قيمة المحضر]]</f>
        <v>0</v>
      </c>
      <c r="P684" s="9">
        <f>0.17*Table2[[#This Row],[قيمة المحضر]]</f>
        <v>0</v>
      </c>
      <c r="Q684" s="9">
        <f t="shared" ca="1" si="67"/>
        <v>0</v>
      </c>
      <c r="R684" s="3"/>
      <c r="S684" s="3"/>
      <c r="T684" s="9" t="str">
        <f t="shared" si="68"/>
        <v>-</v>
      </c>
      <c r="U684" s="3" t="s">
        <v>25</v>
      </c>
      <c r="V684" s="9" t="str">
        <f t="shared" si="69"/>
        <v>-</v>
      </c>
      <c r="W684" s="4"/>
      <c r="X684" s="38"/>
      <c r="Y684" s="1">
        <f t="shared" ca="1" si="65"/>
        <v>46162</v>
      </c>
      <c r="Z684" s="1" cm="1">
        <f t="array" ref="Z684">IF(D684&gt;DATE(2015,5,16),0,
K684*
(
INT((MIN(Y684,DATE(2015,5,16))-D684)/365)
+
CEILING(MOD((MIN(Y684,DATE(2015,5,16))-D684)/365,1),0.25)
)
*
_xlfn.SWITCH(J684,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84" s="1" cm="1">
        <f t="array" aca="1" ref="AA684" ca="1">IF(Y684&lt;DATE(2015,5,17),0,
K684*
(
INT((MIN(Y684,DATE(2018,9,23))-MAX(D684,DATE(2015,5,17)))/365)
+
CEILING(MOD((MIN(Y684,DATE(2018,9,23))-MAX(D684,DATE(2015,5,17)))/365,1),0.25)
)
*
_xlfn.SWITCH(J684,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84" s="1" cm="1">
        <f t="array" aca="1" ref="AB684" ca="1">IF(Y684&lt;DATE(2018,9,24),0,
IF(J684="زراعة",
K684*
(
INT((MIN(Y684,DATE(2023,4,30))-MAX(D684,DATE(2018,9,24)))/365)
+
CEILING(MOD((MIN(Y684,DATE(2023,4,30))-MAX(D684,DATE(2018,9,24)))/365,1),0.25)
)
*1,
K684*
(
DATEDIF(MAX(D684,DATE(2018,9,24)),MIN(Y684,DATE(2023,4,30)),"m")+1
)
*
_xlfn.SWITCH(J684,
"موقف/تندة",IF(D684&lt;DATE(2019,11,30),6,30),
"تشوينات",IF(D684&lt;DATE(2019,11,30),4,20),
"مشاتل",IF(D684&lt;DATE(2019,11,30),2,10),
"كافيتيريا",IF(D684&lt;DATE(2019,11,30),30,150),
"نوادي",IF(D684&lt;DATE(2019,11,30),6,30),
"رسو مراكب",IF(D684&lt;DATE(2019,11,30),2,10),
"مباني",IF(D684&lt;DATE(2018,9,24),2,10),
"عشش",IF(D684&lt;DATE(2019,11,30),2,10),
"كشك (تجاري/صناعي)",IF(D684&lt;DATE(2019,11,30),10,50),
"ردم",20,
0)))</f>
        <v>0</v>
      </c>
      <c r="AC684" s="1" cm="1">
        <f t="array" aca="1" ref="AC684" ca="1">IF(Y684&lt;DATE(2023,5,1),0,
IF(J684="زراعة",
K684*
(
INT((Y684-MAX(DATE(2023,5,1),D684))/365)
+
CEILING(MOD((Y684-MAX(DATE(2023,5,1),D684))/365,1),0.25)
)
*3,
IF(J684="ردم",
K684*20,
K684*
(
DATEDIF(MAX(DATE(2023,5,1),D684),Y684,"m")+1
)
*
_xlfn.SWITCH(J684,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84" s="1">
        <f t="shared" ca="1" si="66"/>
        <v>55</v>
      </c>
    </row>
    <row r="685" spans="1:30" ht="18.75" x14ac:dyDescent="0.25">
      <c r="A685" s="51">
        <v>621</v>
      </c>
      <c r="B685" s="6">
        <v>18</v>
      </c>
      <c r="C685" s="6">
        <v>2021</v>
      </c>
      <c r="D685" s="7" t="s">
        <v>835</v>
      </c>
      <c r="E685" s="12"/>
      <c r="F685" s="6"/>
      <c r="G685" s="6" t="s">
        <v>853</v>
      </c>
      <c r="H685" s="6"/>
      <c r="I685" s="63" t="s">
        <v>373</v>
      </c>
      <c r="J685" s="3" t="s">
        <v>27</v>
      </c>
      <c r="K685" s="6"/>
      <c r="L685" s="63" t="s">
        <v>88</v>
      </c>
      <c r="M685" s="7"/>
      <c r="N685" s="6"/>
      <c r="O685" s="9">
        <f>0.47*Table2[[#This Row],[قيمة المحضر]]</f>
        <v>0</v>
      </c>
      <c r="P685" s="9">
        <f>0.17*Table2[[#This Row],[قيمة المحضر]]</f>
        <v>0</v>
      </c>
      <c r="Q685" s="9">
        <f t="shared" ca="1" si="67"/>
        <v>0</v>
      </c>
      <c r="R685" s="3"/>
      <c r="S685" s="3"/>
      <c r="T685" s="9" t="str">
        <f t="shared" si="68"/>
        <v>-</v>
      </c>
      <c r="U685" s="3" t="s">
        <v>25</v>
      </c>
      <c r="V685" s="9" t="str">
        <f t="shared" si="69"/>
        <v>-</v>
      </c>
      <c r="W685" s="4"/>
      <c r="X685" s="38"/>
      <c r="Y685" s="1">
        <f t="shared" ca="1" si="65"/>
        <v>46162</v>
      </c>
      <c r="Z685" s="1" cm="1">
        <f t="array" ref="Z685">IF(D685&gt;DATE(2015,5,16),0,
K685*
(
INT((MIN(Y685,DATE(2015,5,16))-D685)/365)
+
CEILING(MOD((MIN(Y685,DATE(2015,5,16))-D685)/365,1),0.25)
)
*
_xlfn.SWITCH(J685,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85" s="1" cm="1">
        <f t="array" aca="1" ref="AA685" ca="1">IF(Y685&lt;DATE(2015,5,17),0,
K685*
(
INT((MIN(Y685,DATE(2018,9,23))-MAX(D685,DATE(2015,5,17)))/365)
+
CEILING(MOD((MIN(Y685,DATE(2018,9,23))-MAX(D685,DATE(2015,5,17)))/365,1),0.25)
)
*
_xlfn.SWITCH(J685,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85" s="1" cm="1">
        <f t="array" aca="1" ref="AB685" ca="1">IF(Y685&lt;DATE(2018,9,24),0,
IF(J685="زراعة",
K685*
(
INT((MIN(Y685,DATE(2023,4,30))-MAX(D685,DATE(2018,9,24)))/365)
+
CEILING(MOD((MIN(Y685,DATE(2023,4,30))-MAX(D685,DATE(2018,9,24)))/365,1),0.25)
)
*1,
K685*
(
DATEDIF(MAX(D685,DATE(2018,9,24)),MIN(Y685,DATE(2023,4,30)),"m")+1
)
*
_xlfn.SWITCH(J685,
"موقف/تندة",IF(D685&lt;DATE(2019,11,30),6,30),
"تشوينات",IF(D685&lt;DATE(2019,11,30),4,20),
"مشاتل",IF(D685&lt;DATE(2019,11,30),2,10),
"كافيتيريا",IF(D685&lt;DATE(2019,11,30),30,150),
"نوادي",IF(D685&lt;DATE(2019,11,30),6,30),
"رسو مراكب",IF(D685&lt;DATE(2019,11,30),2,10),
"مباني",IF(D685&lt;DATE(2018,9,24),2,10),
"عشش",IF(D685&lt;DATE(2019,11,30),2,10),
"كشك (تجاري/صناعي)",IF(D685&lt;DATE(2019,11,30),10,50),
"ردم",20,
0)))</f>
        <v>0</v>
      </c>
      <c r="AC685" s="1" cm="1">
        <f t="array" aca="1" ref="AC685" ca="1">IF(Y685&lt;DATE(2023,5,1),0,
IF(J685="زراعة",
K685*
(
INT((Y685-MAX(DATE(2023,5,1),D685))/365)
+
CEILING(MOD((Y685-MAX(DATE(2023,5,1),D685))/365,1),0.25)
)
*3,
IF(J685="ردم",
K685*20,
K685*
(
DATEDIF(MAX(DATE(2023,5,1),D685),Y685,"m")+1
)
*
_xlfn.SWITCH(J685,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85" s="1">
        <f t="shared" ca="1" si="66"/>
        <v>55</v>
      </c>
    </row>
    <row r="686" spans="1:30" ht="18.75" x14ac:dyDescent="0.25">
      <c r="A686" s="51">
        <v>622</v>
      </c>
      <c r="B686" s="6">
        <v>19</v>
      </c>
      <c r="C686" s="6">
        <v>2021</v>
      </c>
      <c r="D686" s="7" t="s">
        <v>835</v>
      </c>
      <c r="E686" s="12"/>
      <c r="F686" s="6"/>
      <c r="G686" s="6" t="s">
        <v>853</v>
      </c>
      <c r="H686" s="6"/>
      <c r="I686" s="63" t="s">
        <v>33</v>
      </c>
      <c r="J686" s="3" t="s">
        <v>28</v>
      </c>
      <c r="K686" s="6"/>
      <c r="L686" s="63" t="s">
        <v>88</v>
      </c>
      <c r="M686" s="7"/>
      <c r="N686" s="6"/>
      <c r="O686" s="9">
        <f>0.47*Table2[[#This Row],[قيمة المحضر]]</f>
        <v>0</v>
      </c>
      <c r="P686" s="9">
        <f>0.17*Table2[[#This Row],[قيمة المحضر]]</f>
        <v>0</v>
      </c>
      <c r="Q686" s="9">
        <f t="shared" ca="1" si="67"/>
        <v>0</v>
      </c>
      <c r="R686" s="3"/>
      <c r="S686" s="3"/>
      <c r="T686" s="9" t="str">
        <f t="shared" si="68"/>
        <v>-</v>
      </c>
      <c r="U686" s="3" t="s">
        <v>25</v>
      </c>
      <c r="V686" s="9" t="str">
        <f t="shared" si="69"/>
        <v>-</v>
      </c>
      <c r="W686" s="4"/>
      <c r="X686" s="38"/>
      <c r="Y686" s="1">
        <f t="shared" ca="1" si="65"/>
        <v>46162</v>
      </c>
      <c r="Z686" s="1" cm="1">
        <f t="array" ref="Z686">IF(D686&gt;DATE(2015,5,16),0,
K686*
(
INT((MIN(Y686,DATE(2015,5,16))-D686)/365)
+
CEILING(MOD((MIN(Y686,DATE(2015,5,16))-D686)/365,1),0.25)
)
*
_xlfn.SWITCH(J686,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86" s="1" cm="1">
        <f t="array" aca="1" ref="AA686" ca="1">IF(Y686&lt;DATE(2015,5,17),0,
K686*
(
INT((MIN(Y686,DATE(2018,9,23))-MAX(D686,DATE(2015,5,17)))/365)
+
CEILING(MOD((MIN(Y686,DATE(2018,9,23))-MAX(D686,DATE(2015,5,17)))/365,1),0.25)
)
*
_xlfn.SWITCH(J686,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86" s="1" cm="1">
        <f t="array" aca="1" ref="AB686" ca="1">IF(Y686&lt;DATE(2018,9,24),0,
IF(J686="زراعة",
K686*
(
INT((MIN(Y686,DATE(2023,4,30))-MAX(D686,DATE(2018,9,24)))/365)
+
CEILING(MOD((MIN(Y686,DATE(2023,4,30))-MAX(D686,DATE(2018,9,24)))/365,1),0.25)
)
*1,
K686*
(
DATEDIF(MAX(D686,DATE(2018,9,24)),MIN(Y686,DATE(2023,4,30)),"m")+1
)
*
_xlfn.SWITCH(J686,
"موقف/تندة",IF(D686&lt;DATE(2019,11,30),6,30),
"تشوينات",IF(D686&lt;DATE(2019,11,30),4,20),
"مشاتل",IF(D686&lt;DATE(2019,11,30),2,10),
"كافيتيريا",IF(D686&lt;DATE(2019,11,30),30,150),
"نوادي",IF(D686&lt;DATE(2019,11,30),6,30),
"رسو مراكب",IF(D686&lt;DATE(2019,11,30),2,10),
"مباني",IF(D686&lt;DATE(2018,9,24),2,10),
"عشش",IF(D686&lt;DATE(2019,11,30),2,10),
"كشك (تجاري/صناعي)",IF(D686&lt;DATE(2019,11,30),10,50),
"ردم",20,
0)))</f>
        <v>0</v>
      </c>
      <c r="AC686" s="1" cm="1">
        <f t="array" aca="1" ref="AC686" ca="1">IF(Y686&lt;DATE(2023,5,1),0,
IF(J686="زراعة",
K686*
(
INT((Y686-MAX(DATE(2023,5,1),D686))/365)
+
CEILING(MOD((Y686-MAX(DATE(2023,5,1),D686))/365,1),0.25)
)
*3,
IF(J686="ردم",
K686*20,
K686*
(
DATEDIF(MAX(DATE(2023,5,1),D686),Y686,"m")+1
)
*
_xlfn.SWITCH(J686,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86" s="1">
        <f t="shared" ca="1" si="66"/>
        <v>55</v>
      </c>
    </row>
    <row r="687" spans="1:30" ht="18.75" x14ac:dyDescent="0.25">
      <c r="A687" s="51">
        <v>623</v>
      </c>
      <c r="B687" s="6">
        <v>20</v>
      </c>
      <c r="C687" s="6">
        <v>2021</v>
      </c>
      <c r="D687" s="7" t="s">
        <v>834</v>
      </c>
      <c r="E687" s="12"/>
      <c r="F687" s="6"/>
      <c r="G687" s="6" t="s">
        <v>234</v>
      </c>
      <c r="H687" s="6"/>
      <c r="I687" s="63" t="s">
        <v>33</v>
      </c>
      <c r="J687" s="3" t="s">
        <v>29</v>
      </c>
      <c r="K687" s="6"/>
      <c r="L687" s="63" t="s">
        <v>88</v>
      </c>
      <c r="M687" s="7"/>
      <c r="N687" s="6"/>
      <c r="O687" s="9">
        <f>0.47*Table2[[#This Row],[قيمة المحضر]]</f>
        <v>0</v>
      </c>
      <c r="P687" s="9">
        <f>0.17*Table2[[#This Row],[قيمة المحضر]]</f>
        <v>0</v>
      </c>
      <c r="Q687" s="9">
        <f t="shared" ca="1" si="67"/>
        <v>0</v>
      </c>
      <c r="R687" s="3"/>
      <c r="S687" s="3"/>
      <c r="T687" s="9" t="str">
        <f t="shared" si="68"/>
        <v>-</v>
      </c>
      <c r="U687" s="3" t="s">
        <v>25</v>
      </c>
      <c r="V687" s="9" t="str">
        <f t="shared" si="69"/>
        <v>-</v>
      </c>
      <c r="W687" s="4"/>
      <c r="X687" s="38"/>
      <c r="Y687" s="1">
        <f t="shared" ca="1" si="65"/>
        <v>46162</v>
      </c>
      <c r="Z687" s="1" cm="1">
        <f t="array" ref="Z687">IF(D687&gt;DATE(2015,5,16),0,
K687*
(
INT((MIN(Y687,DATE(2015,5,16))-D687)/365)
+
CEILING(MOD((MIN(Y687,DATE(2015,5,16))-D687)/365,1),0.25)
)
*
_xlfn.SWITCH(J687,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87" s="1" cm="1">
        <f t="array" aca="1" ref="AA687" ca="1">IF(Y687&lt;DATE(2015,5,17),0,
K687*
(
INT((MIN(Y687,DATE(2018,9,23))-MAX(D687,DATE(2015,5,17)))/365)
+
CEILING(MOD((MIN(Y687,DATE(2018,9,23))-MAX(D687,DATE(2015,5,17)))/365,1),0.25)
)
*
_xlfn.SWITCH(J687,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87" s="1" cm="1">
        <f t="array" aca="1" ref="AB687" ca="1">IF(Y687&lt;DATE(2018,9,24),0,
IF(J687="زراعة",
K687*
(
INT((MIN(Y687,DATE(2023,4,30))-MAX(D687,DATE(2018,9,24)))/365)
+
CEILING(MOD((MIN(Y687,DATE(2023,4,30))-MAX(D687,DATE(2018,9,24)))/365,1),0.25)
)
*1,
K687*
(
DATEDIF(MAX(D687,DATE(2018,9,24)),MIN(Y687,DATE(2023,4,30)),"m")+1
)
*
_xlfn.SWITCH(J687,
"موقف/تندة",IF(D687&lt;DATE(2019,11,30),6,30),
"تشوينات",IF(D687&lt;DATE(2019,11,30),4,20),
"مشاتل",IF(D687&lt;DATE(2019,11,30),2,10),
"كافيتيريا",IF(D687&lt;DATE(2019,11,30),30,150),
"نوادي",IF(D687&lt;DATE(2019,11,30),6,30),
"رسو مراكب",IF(D687&lt;DATE(2019,11,30),2,10),
"مباني",IF(D687&lt;DATE(2018,9,24),2,10),
"عشش",IF(D687&lt;DATE(2019,11,30),2,10),
"كشك (تجاري/صناعي)",IF(D687&lt;DATE(2019,11,30),10,50),
"ردم",20,
0)))</f>
        <v>0</v>
      </c>
      <c r="AC687" s="1" cm="1">
        <f t="array" aca="1" ref="AC687" ca="1">IF(Y687&lt;DATE(2023,5,1),0,
IF(J687="زراعة",
K687*
(
INT((Y687-MAX(DATE(2023,5,1),D687))/365)
+
CEILING(MOD((Y687-MAX(DATE(2023,5,1),D687))/365,1),0.25)
)
*3,
IF(J687="ردم",
K687*20,
K687*
(
DATEDIF(MAX(DATE(2023,5,1),D687),Y687,"m")+1
)
*
_xlfn.SWITCH(J687,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87" s="1">
        <f t="shared" ca="1" si="66"/>
        <v>55</v>
      </c>
    </row>
    <row r="688" spans="1:30" ht="18.75" x14ac:dyDescent="0.25">
      <c r="A688" s="51">
        <v>624</v>
      </c>
      <c r="B688" s="6">
        <v>21</v>
      </c>
      <c r="C688" s="6">
        <v>2021</v>
      </c>
      <c r="D688" s="7" t="s">
        <v>836</v>
      </c>
      <c r="E688" s="12"/>
      <c r="F688" s="6"/>
      <c r="G688" s="6" t="s">
        <v>465</v>
      </c>
      <c r="H688" s="6"/>
      <c r="I688" s="63" t="s">
        <v>33</v>
      </c>
      <c r="J688" s="3" t="s">
        <v>29</v>
      </c>
      <c r="K688" s="6"/>
      <c r="L688" s="63" t="s">
        <v>88</v>
      </c>
      <c r="M688" s="7"/>
      <c r="N688" s="6"/>
      <c r="O688" s="9">
        <f>0.47*Table2[[#This Row],[قيمة المحضر]]</f>
        <v>0</v>
      </c>
      <c r="P688" s="9">
        <f>0.17*Table2[[#This Row],[قيمة المحضر]]</f>
        <v>0</v>
      </c>
      <c r="Q688" s="9">
        <f t="shared" ca="1" si="67"/>
        <v>0</v>
      </c>
      <c r="R688" s="3"/>
      <c r="S688" s="3"/>
      <c r="T688" s="9" t="str">
        <f t="shared" si="68"/>
        <v>-</v>
      </c>
      <c r="U688" s="3" t="s">
        <v>25</v>
      </c>
      <c r="V688" s="9" t="str">
        <f t="shared" si="69"/>
        <v>-</v>
      </c>
      <c r="W688" s="4"/>
      <c r="X688" s="38"/>
      <c r="Y688" s="1">
        <f t="shared" ca="1" si="65"/>
        <v>46162</v>
      </c>
      <c r="Z688" s="1" cm="1">
        <f t="array" ref="Z688">IF(D688&gt;DATE(2015,5,16),0,
K688*
(
INT((MIN(Y688,DATE(2015,5,16))-D688)/365)
+
CEILING(MOD((MIN(Y688,DATE(2015,5,16))-D688)/365,1),0.25)
)
*
_xlfn.SWITCH(J688,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88" s="1" cm="1">
        <f t="array" aca="1" ref="AA688" ca="1">IF(Y688&lt;DATE(2015,5,17),0,
K688*
(
INT((MIN(Y688,DATE(2018,9,23))-MAX(D688,DATE(2015,5,17)))/365)
+
CEILING(MOD((MIN(Y688,DATE(2018,9,23))-MAX(D688,DATE(2015,5,17)))/365,1),0.25)
)
*
_xlfn.SWITCH(J688,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88" s="1" cm="1">
        <f t="array" aca="1" ref="AB688" ca="1">IF(Y688&lt;DATE(2018,9,24),0,
IF(J688="زراعة",
K688*
(
INT((MIN(Y688,DATE(2023,4,30))-MAX(D688,DATE(2018,9,24)))/365)
+
CEILING(MOD((MIN(Y688,DATE(2023,4,30))-MAX(D688,DATE(2018,9,24)))/365,1),0.25)
)
*1,
K688*
(
DATEDIF(MAX(D688,DATE(2018,9,24)),MIN(Y688,DATE(2023,4,30)),"m")+1
)
*
_xlfn.SWITCH(J688,
"موقف/تندة",IF(D688&lt;DATE(2019,11,30),6,30),
"تشوينات",IF(D688&lt;DATE(2019,11,30),4,20),
"مشاتل",IF(D688&lt;DATE(2019,11,30),2,10),
"كافيتيريا",IF(D688&lt;DATE(2019,11,30),30,150),
"نوادي",IF(D688&lt;DATE(2019,11,30),6,30),
"رسو مراكب",IF(D688&lt;DATE(2019,11,30),2,10),
"مباني",IF(D688&lt;DATE(2018,9,24),2,10),
"عشش",IF(D688&lt;DATE(2019,11,30),2,10),
"كشك (تجاري/صناعي)",IF(D688&lt;DATE(2019,11,30),10,50),
"ردم",20,
0)))</f>
        <v>0</v>
      </c>
      <c r="AC688" s="1" cm="1">
        <f t="array" aca="1" ref="AC688" ca="1">IF(Y688&lt;DATE(2023,5,1),0,
IF(J688="زراعة",
K688*
(
INT((Y688-MAX(DATE(2023,5,1),D688))/365)
+
CEILING(MOD((Y688-MAX(DATE(2023,5,1),D688))/365,1),0.25)
)
*3,
IF(J688="ردم",
K688*20,
K688*
(
DATEDIF(MAX(DATE(2023,5,1),D688),Y688,"m")+1
)
*
_xlfn.SWITCH(J688,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88" s="1">
        <f t="shared" ca="1" si="66"/>
        <v>55</v>
      </c>
    </row>
    <row r="689" spans="1:30" ht="18.75" x14ac:dyDescent="0.25">
      <c r="A689" s="51">
        <v>625</v>
      </c>
      <c r="B689" s="6">
        <v>22</v>
      </c>
      <c r="C689" s="6">
        <v>2021</v>
      </c>
      <c r="D689" s="7" t="s">
        <v>835</v>
      </c>
      <c r="E689" s="12"/>
      <c r="F689" s="6"/>
      <c r="G689" s="6" t="s">
        <v>854</v>
      </c>
      <c r="H689" s="6"/>
      <c r="I689" s="63" t="s">
        <v>33</v>
      </c>
      <c r="J689" s="3" t="s">
        <v>28</v>
      </c>
      <c r="K689" s="6"/>
      <c r="L689" s="63" t="s">
        <v>88</v>
      </c>
      <c r="M689" s="7"/>
      <c r="N689" s="6"/>
      <c r="O689" s="9">
        <f>0.47*Table2[[#This Row],[قيمة المحضر]]</f>
        <v>0</v>
      </c>
      <c r="P689" s="9">
        <f>0.17*Table2[[#This Row],[قيمة المحضر]]</f>
        <v>0</v>
      </c>
      <c r="Q689" s="9">
        <f t="shared" ca="1" si="67"/>
        <v>0</v>
      </c>
      <c r="R689" s="3"/>
      <c r="S689" s="3"/>
      <c r="T689" s="9" t="str">
        <f t="shared" si="68"/>
        <v>-</v>
      </c>
      <c r="U689" s="3" t="s">
        <v>25</v>
      </c>
      <c r="V689" s="9" t="str">
        <f t="shared" si="69"/>
        <v>-</v>
      </c>
      <c r="W689" s="4"/>
      <c r="X689" s="38"/>
      <c r="Y689" s="1">
        <f t="shared" ca="1" si="65"/>
        <v>46162</v>
      </c>
      <c r="Z689" s="1" cm="1">
        <f t="array" ref="Z689">IF(D689&gt;DATE(2015,5,16),0,
K689*
(
INT((MIN(Y689,DATE(2015,5,16))-D689)/365)
+
CEILING(MOD((MIN(Y689,DATE(2015,5,16))-D689)/365,1),0.25)
)
*
_xlfn.SWITCH(J689,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89" s="1" cm="1">
        <f t="array" aca="1" ref="AA689" ca="1">IF(Y689&lt;DATE(2015,5,17),0,
K689*
(
INT((MIN(Y689,DATE(2018,9,23))-MAX(D689,DATE(2015,5,17)))/365)
+
CEILING(MOD((MIN(Y689,DATE(2018,9,23))-MAX(D689,DATE(2015,5,17)))/365,1),0.25)
)
*
_xlfn.SWITCH(J689,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89" s="1" cm="1">
        <f t="array" aca="1" ref="AB689" ca="1">IF(Y689&lt;DATE(2018,9,24),0,
IF(J689="زراعة",
K689*
(
INT((MIN(Y689,DATE(2023,4,30))-MAX(D689,DATE(2018,9,24)))/365)
+
CEILING(MOD((MIN(Y689,DATE(2023,4,30))-MAX(D689,DATE(2018,9,24)))/365,1),0.25)
)
*1,
K689*
(
DATEDIF(MAX(D689,DATE(2018,9,24)),MIN(Y689,DATE(2023,4,30)),"m")+1
)
*
_xlfn.SWITCH(J689,
"موقف/تندة",IF(D689&lt;DATE(2019,11,30),6,30),
"تشوينات",IF(D689&lt;DATE(2019,11,30),4,20),
"مشاتل",IF(D689&lt;DATE(2019,11,30),2,10),
"كافيتيريا",IF(D689&lt;DATE(2019,11,30),30,150),
"نوادي",IF(D689&lt;DATE(2019,11,30),6,30),
"رسو مراكب",IF(D689&lt;DATE(2019,11,30),2,10),
"مباني",IF(D689&lt;DATE(2018,9,24),2,10),
"عشش",IF(D689&lt;DATE(2019,11,30),2,10),
"كشك (تجاري/صناعي)",IF(D689&lt;DATE(2019,11,30),10,50),
"ردم",20,
0)))</f>
        <v>0</v>
      </c>
      <c r="AC689" s="1" cm="1">
        <f t="array" aca="1" ref="AC689" ca="1">IF(Y689&lt;DATE(2023,5,1),0,
IF(J689="زراعة",
K689*
(
INT((Y689-MAX(DATE(2023,5,1),D689))/365)
+
CEILING(MOD((Y689-MAX(DATE(2023,5,1),D689))/365,1),0.25)
)
*3,
IF(J689="ردم",
K689*20,
K689*
(
DATEDIF(MAX(DATE(2023,5,1),D689),Y689,"m")+1
)
*
_xlfn.SWITCH(J689,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89" s="1">
        <f t="shared" ca="1" si="66"/>
        <v>55</v>
      </c>
    </row>
    <row r="690" spans="1:30" ht="18.75" x14ac:dyDescent="0.25">
      <c r="A690" s="51">
        <v>626</v>
      </c>
      <c r="B690" s="6">
        <v>23</v>
      </c>
      <c r="C690" s="6">
        <v>2021</v>
      </c>
      <c r="D690" s="7" t="s">
        <v>835</v>
      </c>
      <c r="E690" s="12"/>
      <c r="F690" s="6"/>
      <c r="G690" s="6" t="s">
        <v>855</v>
      </c>
      <c r="H690" s="6"/>
      <c r="I690" s="63" t="s">
        <v>33</v>
      </c>
      <c r="J690" s="3" t="s">
        <v>28</v>
      </c>
      <c r="K690" s="6"/>
      <c r="L690" s="63" t="s">
        <v>88</v>
      </c>
      <c r="M690" s="7"/>
      <c r="N690" s="6"/>
      <c r="O690" s="9">
        <f>0.47*Table2[[#This Row],[قيمة المحضر]]</f>
        <v>0</v>
      </c>
      <c r="P690" s="9">
        <f>0.17*Table2[[#This Row],[قيمة المحضر]]</f>
        <v>0</v>
      </c>
      <c r="Q690" s="9">
        <f t="shared" ca="1" si="67"/>
        <v>0</v>
      </c>
      <c r="R690" s="3"/>
      <c r="S690" s="3"/>
      <c r="T690" s="9" t="str">
        <f t="shared" si="68"/>
        <v>-</v>
      </c>
      <c r="U690" s="3" t="s">
        <v>25</v>
      </c>
      <c r="V690" s="9" t="str">
        <f t="shared" si="69"/>
        <v>-</v>
      </c>
      <c r="W690" s="4"/>
      <c r="X690" s="38"/>
      <c r="Y690" s="1">
        <f t="shared" ca="1" si="65"/>
        <v>46162</v>
      </c>
      <c r="Z690" s="1" cm="1">
        <f t="array" ref="Z690">IF(D690&gt;DATE(2015,5,16),0,
K690*
(
INT((MIN(Y690,DATE(2015,5,16))-D690)/365)
+
CEILING(MOD((MIN(Y690,DATE(2015,5,16))-D690)/365,1),0.25)
)
*
_xlfn.SWITCH(J690,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90" s="1" cm="1">
        <f t="array" aca="1" ref="AA690" ca="1">IF(Y690&lt;DATE(2015,5,17),0,
K690*
(
INT((MIN(Y690,DATE(2018,9,23))-MAX(D690,DATE(2015,5,17)))/365)
+
CEILING(MOD((MIN(Y690,DATE(2018,9,23))-MAX(D690,DATE(2015,5,17)))/365,1),0.25)
)
*
_xlfn.SWITCH(J690,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90" s="1" cm="1">
        <f t="array" aca="1" ref="AB690" ca="1">IF(Y690&lt;DATE(2018,9,24),0,
IF(J690="زراعة",
K690*
(
INT((MIN(Y690,DATE(2023,4,30))-MAX(D690,DATE(2018,9,24)))/365)
+
CEILING(MOD((MIN(Y690,DATE(2023,4,30))-MAX(D690,DATE(2018,9,24)))/365,1),0.25)
)
*1,
K690*
(
DATEDIF(MAX(D690,DATE(2018,9,24)),MIN(Y690,DATE(2023,4,30)),"m")+1
)
*
_xlfn.SWITCH(J690,
"موقف/تندة",IF(D690&lt;DATE(2019,11,30),6,30),
"تشوينات",IF(D690&lt;DATE(2019,11,30),4,20),
"مشاتل",IF(D690&lt;DATE(2019,11,30),2,10),
"كافيتيريا",IF(D690&lt;DATE(2019,11,30),30,150),
"نوادي",IF(D690&lt;DATE(2019,11,30),6,30),
"رسو مراكب",IF(D690&lt;DATE(2019,11,30),2,10),
"مباني",IF(D690&lt;DATE(2018,9,24),2,10),
"عشش",IF(D690&lt;DATE(2019,11,30),2,10),
"كشك (تجاري/صناعي)",IF(D690&lt;DATE(2019,11,30),10,50),
"ردم",20,
0)))</f>
        <v>0</v>
      </c>
      <c r="AC690" s="1" cm="1">
        <f t="array" aca="1" ref="AC690" ca="1">IF(Y690&lt;DATE(2023,5,1),0,
IF(J690="زراعة",
K690*
(
INT((Y690-MAX(DATE(2023,5,1),D690))/365)
+
CEILING(MOD((Y690-MAX(DATE(2023,5,1),D690))/365,1),0.25)
)
*3,
IF(J690="ردم",
K690*20,
K690*
(
DATEDIF(MAX(DATE(2023,5,1),D690),Y690,"m")+1
)
*
_xlfn.SWITCH(J690,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90" s="1">
        <f t="shared" ca="1" si="66"/>
        <v>55</v>
      </c>
    </row>
    <row r="691" spans="1:30" ht="18.75" x14ac:dyDescent="0.25">
      <c r="A691" s="51">
        <v>627</v>
      </c>
      <c r="B691" s="6">
        <v>24</v>
      </c>
      <c r="C691" s="6">
        <v>2021</v>
      </c>
      <c r="D691" s="7" t="s">
        <v>835</v>
      </c>
      <c r="E691" s="12"/>
      <c r="F691" s="6"/>
      <c r="G691" s="6" t="s">
        <v>856</v>
      </c>
      <c r="H691" s="6"/>
      <c r="I691" s="63" t="s">
        <v>33</v>
      </c>
      <c r="J691" s="3" t="s">
        <v>438</v>
      </c>
      <c r="K691" s="6"/>
      <c r="L691" s="63" t="s">
        <v>88</v>
      </c>
      <c r="M691" s="7"/>
      <c r="N691" s="6"/>
      <c r="O691" s="9">
        <f>0.47*Table2[[#This Row],[قيمة المحضر]]</f>
        <v>0</v>
      </c>
      <c r="P691" s="9">
        <f>0.17*Table2[[#This Row],[قيمة المحضر]]</f>
        <v>0</v>
      </c>
      <c r="Q691" s="9">
        <f t="shared" ca="1" si="67"/>
        <v>0</v>
      </c>
      <c r="R691" s="3"/>
      <c r="S691" s="3"/>
      <c r="T691" s="9" t="str">
        <f t="shared" si="68"/>
        <v>-</v>
      </c>
      <c r="U691" s="3" t="s">
        <v>25</v>
      </c>
      <c r="V691" s="9" t="str">
        <f t="shared" si="69"/>
        <v>-</v>
      </c>
      <c r="W691" s="4"/>
      <c r="X691" s="38"/>
      <c r="Y691" s="1">
        <f t="shared" ca="1" si="65"/>
        <v>46162</v>
      </c>
      <c r="Z691" s="1" cm="1">
        <f t="array" ref="Z691">IF(D691&gt;DATE(2015,5,16),0,
K691*
(
INT((MIN(Y691,DATE(2015,5,16))-D691)/365)
+
CEILING(MOD((MIN(Y691,DATE(2015,5,16))-D691)/365,1),0.25)
)
*
_xlfn.SWITCH(J691,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91" s="1" cm="1">
        <f t="array" aca="1" ref="AA691" ca="1">IF(Y691&lt;DATE(2015,5,17),0,
K691*
(
INT((MIN(Y691,DATE(2018,9,23))-MAX(D691,DATE(2015,5,17)))/365)
+
CEILING(MOD((MIN(Y691,DATE(2018,9,23))-MAX(D691,DATE(2015,5,17)))/365,1),0.25)
)
*
_xlfn.SWITCH(J691,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91" s="1" cm="1">
        <f t="array" aca="1" ref="AB691" ca="1">IF(Y691&lt;DATE(2018,9,24),0,
IF(J691="زراعة",
K691*
(
INT((MIN(Y691,DATE(2023,4,30))-MAX(D691,DATE(2018,9,24)))/365)
+
CEILING(MOD((MIN(Y691,DATE(2023,4,30))-MAX(D691,DATE(2018,9,24)))/365,1),0.25)
)
*1,
K691*
(
DATEDIF(MAX(D691,DATE(2018,9,24)),MIN(Y691,DATE(2023,4,30)),"m")+1
)
*
_xlfn.SWITCH(J691,
"موقف/تندة",IF(D691&lt;DATE(2019,11,30),6,30),
"تشوينات",IF(D691&lt;DATE(2019,11,30),4,20),
"مشاتل",IF(D691&lt;DATE(2019,11,30),2,10),
"كافيتيريا",IF(D691&lt;DATE(2019,11,30),30,150),
"نوادي",IF(D691&lt;DATE(2019,11,30),6,30),
"رسو مراكب",IF(D691&lt;DATE(2019,11,30),2,10),
"مباني",IF(D691&lt;DATE(2018,9,24),2,10),
"عشش",IF(D691&lt;DATE(2019,11,30),2,10),
"كشك (تجاري/صناعي)",IF(D691&lt;DATE(2019,11,30),10,50),
"ردم",20,
0)))</f>
        <v>0</v>
      </c>
      <c r="AC691" s="1" cm="1">
        <f t="array" aca="1" ref="AC691" ca="1">IF(Y691&lt;DATE(2023,5,1),0,
IF(J691="زراعة",
K691*
(
INT((Y691-MAX(DATE(2023,5,1),D691))/365)
+
CEILING(MOD((Y691-MAX(DATE(2023,5,1),D691))/365,1),0.25)
)
*3,
IF(J691="ردم",
K691*20,
K691*
(
DATEDIF(MAX(DATE(2023,5,1),D691),Y691,"m")+1
)
*
_xlfn.SWITCH(J691,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91" s="1">
        <f t="shared" ca="1" si="66"/>
        <v>55</v>
      </c>
    </row>
    <row r="692" spans="1:30" ht="18.75" x14ac:dyDescent="0.25">
      <c r="A692" s="51">
        <v>628</v>
      </c>
      <c r="B692" s="6">
        <v>25</v>
      </c>
      <c r="C692" s="6">
        <v>2021</v>
      </c>
      <c r="D692" s="7" t="s">
        <v>834</v>
      </c>
      <c r="E692" s="12"/>
      <c r="F692" s="6"/>
      <c r="G692" s="6" t="s">
        <v>463</v>
      </c>
      <c r="H692" s="6"/>
      <c r="I692" s="63" t="s">
        <v>33</v>
      </c>
      <c r="J692" s="3" t="s">
        <v>29</v>
      </c>
      <c r="K692" s="6"/>
      <c r="L692" s="63" t="s">
        <v>88</v>
      </c>
      <c r="M692" s="7"/>
      <c r="N692" s="6"/>
      <c r="O692" s="9">
        <f>0.47*Table2[[#This Row],[قيمة المحضر]]</f>
        <v>0</v>
      </c>
      <c r="P692" s="9">
        <f>0.17*Table2[[#This Row],[قيمة المحضر]]</f>
        <v>0</v>
      </c>
      <c r="Q692" s="9">
        <f t="shared" ca="1" si="67"/>
        <v>0</v>
      </c>
      <c r="R692" s="3"/>
      <c r="S692" s="3"/>
      <c r="T692" s="9" t="str">
        <f t="shared" si="68"/>
        <v>-</v>
      </c>
      <c r="U692" s="3" t="s">
        <v>25</v>
      </c>
      <c r="V692" s="9" t="str">
        <f t="shared" si="69"/>
        <v>-</v>
      </c>
      <c r="W692" s="4"/>
      <c r="X692" s="38"/>
      <c r="Y692" s="1">
        <f t="shared" ca="1" si="65"/>
        <v>46162</v>
      </c>
      <c r="Z692" s="1" cm="1">
        <f t="array" ref="Z692">IF(D692&gt;DATE(2015,5,16),0,
K692*
(
INT((MIN(Y692,DATE(2015,5,16))-D692)/365)
+
CEILING(MOD((MIN(Y692,DATE(2015,5,16))-D692)/365,1),0.25)
)
*
_xlfn.SWITCH(J692,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92" s="1" cm="1">
        <f t="array" aca="1" ref="AA692" ca="1">IF(Y692&lt;DATE(2015,5,17),0,
K692*
(
INT((MIN(Y692,DATE(2018,9,23))-MAX(D692,DATE(2015,5,17)))/365)
+
CEILING(MOD((MIN(Y692,DATE(2018,9,23))-MAX(D692,DATE(2015,5,17)))/365,1),0.25)
)
*
_xlfn.SWITCH(J692,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92" s="1" cm="1">
        <f t="array" aca="1" ref="AB692" ca="1">IF(Y692&lt;DATE(2018,9,24),0,
IF(J692="زراعة",
K692*
(
INT((MIN(Y692,DATE(2023,4,30))-MAX(D692,DATE(2018,9,24)))/365)
+
CEILING(MOD((MIN(Y692,DATE(2023,4,30))-MAX(D692,DATE(2018,9,24)))/365,1),0.25)
)
*1,
K692*
(
DATEDIF(MAX(D692,DATE(2018,9,24)),MIN(Y692,DATE(2023,4,30)),"m")+1
)
*
_xlfn.SWITCH(J692,
"موقف/تندة",IF(D692&lt;DATE(2019,11,30),6,30),
"تشوينات",IF(D692&lt;DATE(2019,11,30),4,20),
"مشاتل",IF(D692&lt;DATE(2019,11,30),2,10),
"كافيتيريا",IF(D692&lt;DATE(2019,11,30),30,150),
"نوادي",IF(D692&lt;DATE(2019,11,30),6,30),
"رسو مراكب",IF(D692&lt;DATE(2019,11,30),2,10),
"مباني",IF(D692&lt;DATE(2018,9,24),2,10),
"عشش",IF(D692&lt;DATE(2019,11,30),2,10),
"كشك (تجاري/صناعي)",IF(D692&lt;DATE(2019,11,30),10,50),
"ردم",20,
0)))</f>
        <v>0</v>
      </c>
      <c r="AC692" s="1" cm="1">
        <f t="array" aca="1" ref="AC692" ca="1">IF(Y692&lt;DATE(2023,5,1),0,
IF(J692="زراعة",
K692*
(
INT((Y692-MAX(DATE(2023,5,1),D692))/365)
+
CEILING(MOD((Y692-MAX(DATE(2023,5,1),D692))/365,1),0.25)
)
*3,
IF(J692="ردم",
K692*20,
K692*
(
DATEDIF(MAX(DATE(2023,5,1),D692),Y692,"m")+1
)
*
_xlfn.SWITCH(J692,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92" s="1">
        <f t="shared" ca="1" si="66"/>
        <v>55</v>
      </c>
    </row>
    <row r="693" spans="1:30" ht="18.75" x14ac:dyDescent="0.25">
      <c r="A693" s="51">
        <v>629</v>
      </c>
      <c r="B693" s="6">
        <v>26</v>
      </c>
      <c r="C693" s="6">
        <v>2021</v>
      </c>
      <c r="D693" s="7" t="s">
        <v>835</v>
      </c>
      <c r="E693" s="12"/>
      <c r="F693" s="6"/>
      <c r="G693" s="6" t="s">
        <v>857</v>
      </c>
      <c r="H693" s="6"/>
      <c r="I693" s="63" t="s">
        <v>33</v>
      </c>
      <c r="J693" s="3" t="s">
        <v>28</v>
      </c>
      <c r="K693" s="6"/>
      <c r="L693" s="63" t="s">
        <v>88</v>
      </c>
      <c r="M693" s="7"/>
      <c r="N693" s="6"/>
      <c r="O693" s="9">
        <f>0.47*Table2[[#This Row],[قيمة المحضر]]</f>
        <v>0</v>
      </c>
      <c r="P693" s="9">
        <f>0.17*Table2[[#This Row],[قيمة المحضر]]</f>
        <v>0</v>
      </c>
      <c r="Q693" s="9">
        <f t="shared" ca="1" si="67"/>
        <v>0</v>
      </c>
      <c r="R693" s="3"/>
      <c r="S693" s="3"/>
      <c r="T693" s="9" t="str">
        <f t="shared" si="68"/>
        <v>-</v>
      </c>
      <c r="U693" s="3" t="s">
        <v>25</v>
      </c>
      <c r="V693" s="9" t="str">
        <f t="shared" si="69"/>
        <v>-</v>
      </c>
      <c r="W693" s="4"/>
      <c r="X693" s="38"/>
      <c r="Y693" s="1">
        <f t="shared" ca="1" si="65"/>
        <v>46162</v>
      </c>
      <c r="Z693" s="1" cm="1">
        <f t="array" ref="Z693">IF(D693&gt;DATE(2015,5,16),0,
K693*
(
INT((MIN(Y693,DATE(2015,5,16))-D693)/365)
+
CEILING(MOD((MIN(Y693,DATE(2015,5,16))-D693)/365,1),0.25)
)
*
_xlfn.SWITCH(J693,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93" s="1" cm="1">
        <f t="array" aca="1" ref="AA693" ca="1">IF(Y693&lt;DATE(2015,5,17),0,
K693*
(
INT((MIN(Y693,DATE(2018,9,23))-MAX(D693,DATE(2015,5,17)))/365)
+
CEILING(MOD((MIN(Y693,DATE(2018,9,23))-MAX(D693,DATE(2015,5,17)))/365,1),0.25)
)
*
_xlfn.SWITCH(J693,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93" s="1" cm="1">
        <f t="array" aca="1" ref="AB693" ca="1">IF(Y693&lt;DATE(2018,9,24),0,
IF(J693="زراعة",
K693*
(
INT((MIN(Y693,DATE(2023,4,30))-MAX(D693,DATE(2018,9,24)))/365)
+
CEILING(MOD((MIN(Y693,DATE(2023,4,30))-MAX(D693,DATE(2018,9,24)))/365,1),0.25)
)
*1,
K693*
(
DATEDIF(MAX(D693,DATE(2018,9,24)),MIN(Y693,DATE(2023,4,30)),"m")+1
)
*
_xlfn.SWITCH(J693,
"موقف/تندة",IF(D693&lt;DATE(2019,11,30),6,30),
"تشوينات",IF(D693&lt;DATE(2019,11,30),4,20),
"مشاتل",IF(D693&lt;DATE(2019,11,30),2,10),
"كافيتيريا",IF(D693&lt;DATE(2019,11,30),30,150),
"نوادي",IF(D693&lt;DATE(2019,11,30),6,30),
"رسو مراكب",IF(D693&lt;DATE(2019,11,30),2,10),
"مباني",IF(D693&lt;DATE(2018,9,24),2,10),
"عشش",IF(D693&lt;DATE(2019,11,30),2,10),
"كشك (تجاري/صناعي)",IF(D693&lt;DATE(2019,11,30),10,50),
"ردم",20,
0)))</f>
        <v>0</v>
      </c>
      <c r="AC693" s="1" cm="1">
        <f t="array" aca="1" ref="AC693" ca="1">IF(Y693&lt;DATE(2023,5,1),0,
IF(J693="زراعة",
K693*
(
INT((Y693-MAX(DATE(2023,5,1),D693))/365)
+
CEILING(MOD((Y693-MAX(DATE(2023,5,1),D693))/365,1),0.25)
)
*3,
IF(J693="ردم",
K693*20,
K693*
(
DATEDIF(MAX(DATE(2023,5,1),D693),Y693,"m")+1
)
*
_xlfn.SWITCH(J693,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93" s="1">
        <f t="shared" ca="1" si="66"/>
        <v>55</v>
      </c>
    </row>
    <row r="694" spans="1:30" ht="18.75" x14ac:dyDescent="0.25">
      <c r="A694" s="51">
        <v>630</v>
      </c>
      <c r="B694" s="6">
        <v>27</v>
      </c>
      <c r="C694" s="6">
        <v>2021</v>
      </c>
      <c r="D694" s="7" t="s">
        <v>835</v>
      </c>
      <c r="E694" s="12"/>
      <c r="F694" s="6"/>
      <c r="G694" s="6" t="s">
        <v>858</v>
      </c>
      <c r="H694" s="6"/>
      <c r="I694" s="63" t="s">
        <v>33</v>
      </c>
      <c r="J694" s="3" t="s">
        <v>27</v>
      </c>
      <c r="K694" s="6"/>
      <c r="L694" s="63" t="s">
        <v>88</v>
      </c>
      <c r="M694" s="7"/>
      <c r="N694" s="6"/>
      <c r="O694" s="9">
        <f>0.47*Table2[[#This Row],[قيمة المحضر]]</f>
        <v>0</v>
      </c>
      <c r="P694" s="9">
        <f>0.17*Table2[[#This Row],[قيمة المحضر]]</f>
        <v>0</v>
      </c>
      <c r="Q694" s="9">
        <f t="shared" ca="1" si="67"/>
        <v>0</v>
      </c>
      <c r="R694" s="3"/>
      <c r="S694" s="3"/>
      <c r="T694" s="9" t="str">
        <f t="shared" si="68"/>
        <v>-</v>
      </c>
      <c r="U694" s="3" t="s">
        <v>25</v>
      </c>
      <c r="V694" s="9" t="str">
        <f t="shared" si="69"/>
        <v>-</v>
      </c>
      <c r="W694" s="4"/>
      <c r="X694" s="38"/>
      <c r="Y694" s="1">
        <f t="shared" ca="1" si="65"/>
        <v>46162</v>
      </c>
      <c r="Z694" s="1" cm="1">
        <f t="array" ref="Z694">IF(D694&gt;DATE(2015,5,16),0,
K694*
(
INT((MIN(Y694,DATE(2015,5,16))-D694)/365)
+
CEILING(MOD((MIN(Y694,DATE(2015,5,16))-D694)/365,1),0.25)
)
*
_xlfn.SWITCH(J694,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94" s="1" cm="1">
        <f t="array" aca="1" ref="AA694" ca="1">IF(Y694&lt;DATE(2015,5,17),0,
K694*
(
INT((MIN(Y694,DATE(2018,9,23))-MAX(D694,DATE(2015,5,17)))/365)
+
CEILING(MOD((MIN(Y694,DATE(2018,9,23))-MAX(D694,DATE(2015,5,17)))/365,1),0.25)
)
*
_xlfn.SWITCH(J694,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94" s="1" cm="1">
        <f t="array" aca="1" ref="AB694" ca="1">IF(Y694&lt;DATE(2018,9,24),0,
IF(J694="زراعة",
K694*
(
INT((MIN(Y694,DATE(2023,4,30))-MAX(D694,DATE(2018,9,24)))/365)
+
CEILING(MOD((MIN(Y694,DATE(2023,4,30))-MAX(D694,DATE(2018,9,24)))/365,1),0.25)
)
*1,
K694*
(
DATEDIF(MAX(D694,DATE(2018,9,24)),MIN(Y694,DATE(2023,4,30)),"m")+1
)
*
_xlfn.SWITCH(J694,
"موقف/تندة",IF(D694&lt;DATE(2019,11,30),6,30),
"تشوينات",IF(D694&lt;DATE(2019,11,30),4,20),
"مشاتل",IF(D694&lt;DATE(2019,11,30),2,10),
"كافيتيريا",IF(D694&lt;DATE(2019,11,30),30,150),
"نوادي",IF(D694&lt;DATE(2019,11,30),6,30),
"رسو مراكب",IF(D694&lt;DATE(2019,11,30),2,10),
"مباني",IF(D694&lt;DATE(2018,9,24),2,10),
"عشش",IF(D694&lt;DATE(2019,11,30),2,10),
"كشك (تجاري/صناعي)",IF(D694&lt;DATE(2019,11,30),10,50),
"ردم",20,
0)))</f>
        <v>0</v>
      </c>
      <c r="AC694" s="1" cm="1">
        <f t="array" aca="1" ref="AC694" ca="1">IF(Y694&lt;DATE(2023,5,1),0,
IF(J694="زراعة",
K694*
(
INT((Y694-MAX(DATE(2023,5,1),D694))/365)
+
CEILING(MOD((Y694-MAX(DATE(2023,5,1),D694))/365,1),0.25)
)
*3,
IF(J694="ردم",
K694*20,
K694*
(
DATEDIF(MAX(DATE(2023,5,1),D694),Y694,"m")+1
)
*
_xlfn.SWITCH(J694,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94" s="1">
        <f t="shared" ca="1" si="66"/>
        <v>55</v>
      </c>
    </row>
    <row r="695" spans="1:30" ht="18.75" x14ac:dyDescent="0.25">
      <c r="A695" s="51">
        <v>631</v>
      </c>
      <c r="B695" s="6">
        <v>28</v>
      </c>
      <c r="C695" s="6">
        <v>2021</v>
      </c>
      <c r="D695" s="7" t="s">
        <v>835</v>
      </c>
      <c r="E695" s="12"/>
      <c r="F695" s="6"/>
      <c r="G695" s="6" t="s">
        <v>859</v>
      </c>
      <c r="H695" s="6"/>
      <c r="I695" s="63" t="s">
        <v>33</v>
      </c>
      <c r="J695" s="3" t="s">
        <v>27</v>
      </c>
      <c r="K695" s="6"/>
      <c r="L695" s="63" t="s">
        <v>88</v>
      </c>
      <c r="M695" s="7"/>
      <c r="N695" s="6"/>
      <c r="O695" s="9">
        <f>0.47*Table2[[#This Row],[قيمة المحضر]]</f>
        <v>0</v>
      </c>
      <c r="P695" s="9">
        <f>0.17*Table2[[#This Row],[قيمة المحضر]]</f>
        <v>0</v>
      </c>
      <c r="Q695" s="9">
        <f t="shared" ca="1" si="67"/>
        <v>0</v>
      </c>
      <c r="R695" s="3"/>
      <c r="S695" s="3"/>
      <c r="T695" s="9" t="str">
        <f t="shared" si="68"/>
        <v>-</v>
      </c>
      <c r="U695" s="3" t="s">
        <v>25</v>
      </c>
      <c r="V695" s="9" t="str">
        <f t="shared" si="69"/>
        <v>-</v>
      </c>
      <c r="W695" s="4"/>
      <c r="X695" s="38"/>
      <c r="Y695" s="1">
        <f t="shared" ca="1" si="65"/>
        <v>46162</v>
      </c>
      <c r="Z695" s="1" cm="1">
        <f t="array" ref="Z695">IF(D695&gt;DATE(2015,5,16),0,
K695*
(
INT((MIN(Y695,DATE(2015,5,16))-D695)/365)
+
CEILING(MOD((MIN(Y695,DATE(2015,5,16))-D695)/365,1),0.25)
)
*
_xlfn.SWITCH(J695,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95" s="1" cm="1">
        <f t="array" aca="1" ref="AA695" ca="1">IF(Y695&lt;DATE(2015,5,17),0,
K695*
(
INT((MIN(Y695,DATE(2018,9,23))-MAX(D695,DATE(2015,5,17)))/365)
+
CEILING(MOD((MIN(Y695,DATE(2018,9,23))-MAX(D695,DATE(2015,5,17)))/365,1),0.25)
)
*
_xlfn.SWITCH(J695,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95" s="1" cm="1">
        <f t="array" aca="1" ref="AB695" ca="1">IF(Y695&lt;DATE(2018,9,24),0,
IF(J695="زراعة",
K695*
(
INT((MIN(Y695,DATE(2023,4,30))-MAX(D695,DATE(2018,9,24)))/365)
+
CEILING(MOD((MIN(Y695,DATE(2023,4,30))-MAX(D695,DATE(2018,9,24)))/365,1),0.25)
)
*1,
K695*
(
DATEDIF(MAX(D695,DATE(2018,9,24)),MIN(Y695,DATE(2023,4,30)),"m")+1
)
*
_xlfn.SWITCH(J695,
"موقف/تندة",IF(D695&lt;DATE(2019,11,30),6,30),
"تشوينات",IF(D695&lt;DATE(2019,11,30),4,20),
"مشاتل",IF(D695&lt;DATE(2019,11,30),2,10),
"كافيتيريا",IF(D695&lt;DATE(2019,11,30),30,150),
"نوادي",IF(D695&lt;DATE(2019,11,30),6,30),
"رسو مراكب",IF(D695&lt;DATE(2019,11,30),2,10),
"مباني",IF(D695&lt;DATE(2018,9,24),2,10),
"عشش",IF(D695&lt;DATE(2019,11,30),2,10),
"كشك (تجاري/صناعي)",IF(D695&lt;DATE(2019,11,30),10,50),
"ردم",20,
0)))</f>
        <v>0</v>
      </c>
      <c r="AC695" s="1" cm="1">
        <f t="array" aca="1" ref="AC695" ca="1">IF(Y695&lt;DATE(2023,5,1),0,
IF(J695="زراعة",
K695*
(
INT((Y695-MAX(DATE(2023,5,1),D695))/365)
+
CEILING(MOD((Y695-MAX(DATE(2023,5,1),D695))/365,1),0.25)
)
*3,
IF(J695="ردم",
K695*20,
K695*
(
DATEDIF(MAX(DATE(2023,5,1),D695),Y695,"m")+1
)
*
_xlfn.SWITCH(J695,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95" s="1">
        <f t="shared" ca="1" si="66"/>
        <v>55</v>
      </c>
    </row>
    <row r="696" spans="1:30" ht="19.5" thickBot="1" x14ac:dyDescent="0.3">
      <c r="A696" s="87">
        <v>632</v>
      </c>
      <c r="B696" s="40">
        <v>29</v>
      </c>
      <c r="C696" s="40">
        <v>2021</v>
      </c>
      <c r="D696" s="41" t="s">
        <v>834</v>
      </c>
      <c r="E696" s="42"/>
      <c r="F696" s="40"/>
      <c r="G696" s="40" t="s">
        <v>860</v>
      </c>
      <c r="H696" s="40"/>
      <c r="I696" s="65" t="s">
        <v>33</v>
      </c>
      <c r="J696" s="40" t="s">
        <v>27</v>
      </c>
      <c r="K696" s="40"/>
      <c r="L696" s="65" t="s">
        <v>88</v>
      </c>
      <c r="M696" s="41"/>
      <c r="N696" s="40"/>
      <c r="O696" s="43">
        <f>0.47*Table2[[#This Row],[قيمة المحضر]]</f>
        <v>0</v>
      </c>
      <c r="P696" s="43">
        <f>0.17*Table2[[#This Row],[قيمة المحضر]]</f>
        <v>0</v>
      </c>
      <c r="Q696" s="43">
        <f t="shared" ca="1" si="67"/>
        <v>0</v>
      </c>
      <c r="R696" s="40"/>
      <c r="S696" s="40"/>
      <c r="T696" s="43" t="str">
        <f t="shared" si="68"/>
        <v>-</v>
      </c>
      <c r="U696" s="40" t="s">
        <v>25</v>
      </c>
      <c r="V696" s="43" t="str">
        <f t="shared" si="69"/>
        <v>-</v>
      </c>
      <c r="W696" s="44"/>
      <c r="X696" s="45"/>
      <c r="Y696" s="1">
        <f t="shared" ca="1" si="65"/>
        <v>46162</v>
      </c>
      <c r="Z696" s="1" cm="1">
        <f t="array" ref="Z696">IF(D696&gt;DATE(2015,5,16),0,
K696*
(
INT((MIN(Y696,DATE(2015,5,16))-D696)/365)
+
CEILING(MOD((MIN(Y696,DATE(2015,5,16))-D696)/365,1),0.25)
)
*
_xlfn.SWITCH(J696,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96" s="1" cm="1">
        <f t="array" aca="1" ref="AA696" ca="1">IF(Y696&lt;DATE(2015,5,17),0,
K696*
(
INT((MIN(Y696,DATE(2018,9,23))-MAX(D696,DATE(2015,5,17)))/365)
+
CEILING(MOD((MIN(Y696,DATE(2018,9,23))-MAX(D696,DATE(2015,5,17)))/365,1),0.25)
)
*
_xlfn.SWITCH(J696,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96" s="1" cm="1">
        <f t="array" aca="1" ref="AB696" ca="1">IF(Y696&lt;DATE(2018,9,24),0,
IF(J696="زراعة",
K696*
(
INT((MIN(Y696,DATE(2023,4,30))-MAX(D696,DATE(2018,9,24)))/365)
+
CEILING(MOD((MIN(Y696,DATE(2023,4,30))-MAX(D696,DATE(2018,9,24)))/365,1),0.25)
)
*1,
K696*
(
DATEDIF(MAX(D696,DATE(2018,9,24)),MIN(Y696,DATE(2023,4,30)),"m")+1
)
*
_xlfn.SWITCH(J696,
"موقف/تندة",IF(D696&lt;DATE(2019,11,30),6,30),
"تشوينات",IF(D696&lt;DATE(2019,11,30),4,20),
"مشاتل",IF(D696&lt;DATE(2019,11,30),2,10),
"كافيتيريا",IF(D696&lt;DATE(2019,11,30),30,150),
"نوادي",IF(D696&lt;DATE(2019,11,30),6,30),
"رسو مراكب",IF(D696&lt;DATE(2019,11,30),2,10),
"مباني",IF(D696&lt;DATE(2018,9,24),2,10),
"عشش",IF(D696&lt;DATE(2019,11,30),2,10),
"كشك (تجاري/صناعي)",IF(D696&lt;DATE(2019,11,30),10,50),
"ردم",20,
0)))</f>
        <v>0</v>
      </c>
      <c r="AC696" s="1" cm="1">
        <f t="array" aca="1" ref="AC696" ca="1">IF(Y696&lt;DATE(2023,5,1),0,
IF(J696="زراعة",
K696*
(
INT((Y696-MAX(DATE(2023,5,1),D696))/365)
+
CEILING(MOD((Y696-MAX(DATE(2023,5,1),D696))/365,1),0.25)
)
*3,
IF(J696="ردم",
K696*20,
K696*
(
DATEDIF(MAX(DATE(2023,5,1),D696),Y696,"m")+1
)
*
_xlfn.SWITCH(J696,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96" s="1">
        <f t="shared" ca="1" si="66"/>
        <v>55</v>
      </c>
    </row>
    <row r="697" spans="1:30" ht="18.75" x14ac:dyDescent="0.25">
      <c r="A697" s="46">
        <v>633</v>
      </c>
      <c r="B697" s="47">
        <v>1</v>
      </c>
      <c r="C697" s="47">
        <v>2022</v>
      </c>
      <c r="D697" s="48" t="s">
        <v>861</v>
      </c>
      <c r="E697" s="49"/>
      <c r="F697" s="47"/>
      <c r="G697" s="61" t="s">
        <v>862</v>
      </c>
      <c r="H697" s="47"/>
      <c r="I697" s="61" t="s">
        <v>50</v>
      </c>
      <c r="J697" s="31" t="s">
        <v>27</v>
      </c>
      <c r="K697" s="47"/>
      <c r="L697" s="61" t="s">
        <v>672</v>
      </c>
      <c r="M697" s="48"/>
      <c r="N697" s="47"/>
      <c r="O697" s="34">
        <f>0.47*Table2[[#This Row],[قيمة المحضر]]</f>
        <v>0</v>
      </c>
      <c r="P697" s="34">
        <f>0.17*Table2[[#This Row],[قيمة المحضر]]</f>
        <v>0</v>
      </c>
      <c r="Q697" s="34">
        <f t="shared" ca="1" si="67"/>
        <v>0</v>
      </c>
      <c r="R697" s="31"/>
      <c r="S697" s="31"/>
      <c r="T697" s="34" t="str">
        <f t="shared" si="68"/>
        <v>-</v>
      </c>
      <c r="U697" s="31" t="s">
        <v>25</v>
      </c>
      <c r="V697" s="34" t="str">
        <f t="shared" si="69"/>
        <v>-</v>
      </c>
      <c r="W697" s="35"/>
      <c r="X697" s="36"/>
      <c r="Y697" s="1">
        <f t="shared" ca="1" si="65"/>
        <v>46162</v>
      </c>
      <c r="Z697" s="1" cm="1">
        <f t="array" ref="Z697">IF(D697&gt;DATE(2015,5,16),0,
K697*
(
INT((MIN(Y697,DATE(2015,5,16))-D697)/365)
+
CEILING(MOD((MIN(Y697,DATE(2015,5,16))-D697)/365,1),0.25)
)
*
_xlfn.SWITCH(J697,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97" s="1" cm="1">
        <f t="array" aca="1" ref="AA697" ca="1">IF(Y697&lt;DATE(2015,5,17),0,
K697*
(
INT((MIN(Y697,DATE(2018,9,23))-MAX(D697,DATE(2015,5,17)))/365)
+
CEILING(MOD((MIN(Y697,DATE(2018,9,23))-MAX(D697,DATE(2015,5,17)))/365,1),0.25)
)
*
_xlfn.SWITCH(J697,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97" s="1" cm="1">
        <f t="array" aca="1" ref="AB697" ca="1">IF(Y697&lt;DATE(2018,9,24),0,
IF(J697="زراعة",
K697*
(
INT((MIN(Y697,DATE(2023,4,30))-MAX(D697,DATE(2018,9,24)))/365)
+
CEILING(MOD((MIN(Y697,DATE(2023,4,30))-MAX(D697,DATE(2018,9,24)))/365,1),0.25)
)
*1,
K697*
(
DATEDIF(MAX(D697,DATE(2018,9,24)),MIN(Y697,DATE(2023,4,30)),"m")+1
)
*
_xlfn.SWITCH(J697,
"موقف/تندة",IF(D697&lt;DATE(2019,11,30),6,30),
"تشوينات",IF(D697&lt;DATE(2019,11,30),4,20),
"مشاتل",IF(D697&lt;DATE(2019,11,30),2,10),
"كافيتيريا",IF(D697&lt;DATE(2019,11,30),30,150),
"نوادي",IF(D697&lt;DATE(2019,11,30),6,30),
"رسو مراكب",IF(D697&lt;DATE(2019,11,30),2,10),
"مباني",IF(D697&lt;DATE(2018,9,24),2,10),
"عشش",IF(D697&lt;DATE(2019,11,30),2,10),
"كشك (تجاري/صناعي)",IF(D697&lt;DATE(2019,11,30),10,50),
"ردم",20,
0)))</f>
        <v>0</v>
      </c>
      <c r="AC697" s="1" cm="1">
        <f t="array" aca="1" ref="AC697" ca="1">IF(Y697&lt;DATE(2023,5,1),0,
IF(J697="زراعة",
K697*
(
INT((Y697-MAX(DATE(2023,5,1),D697))/365)
+
CEILING(MOD((Y697-MAX(DATE(2023,5,1),D697))/365,1),0.25)
)
*3,
IF(J697="ردم",
K697*20,
K697*
(
DATEDIF(MAX(DATE(2023,5,1),D697),Y697,"m")+1
)
*
_xlfn.SWITCH(J697,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97" s="1">
        <f t="shared" ca="1" si="66"/>
        <v>55</v>
      </c>
    </row>
    <row r="698" spans="1:30" ht="18.75" x14ac:dyDescent="0.25">
      <c r="A698" s="52">
        <v>634</v>
      </c>
      <c r="B698" s="6">
        <v>2</v>
      </c>
      <c r="C698" s="6">
        <v>2022</v>
      </c>
      <c r="D698" s="7" t="s">
        <v>861</v>
      </c>
      <c r="E698" s="12"/>
      <c r="F698" s="6"/>
      <c r="G698" s="63" t="s">
        <v>863</v>
      </c>
      <c r="H698" s="6"/>
      <c r="I698" s="68" t="s">
        <v>50</v>
      </c>
      <c r="J698" s="3" t="s">
        <v>27</v>
      </c>
      <c r="K698" s="6"/>
      <c r="L698" s="68" t="s">
        <v>672</v>
      </c>
      <c r="M698" s="7"/>
      <c r="N698" s="6"/>
      <c r="O698" s="9">
        <f>0.47*Table2[[#This Row],[قيمة المحضر]]</f>
        <v>0</v>
      </c>
      <c r="P698" s="9">
        <f>0.17*Table2[[#This Row],[قيمة المحضر]]</f>
        <v>0</v>
      </c>
      <c r="Q698" s="9">
        <f t="shared" ca="1" si="67"/>
        <v>0</v>
      </c>
      <c r="R698" s="3"/>
      <c r="S698" s="3"/>
      <c r="T698" s="9" t="str">
        <f t="shared" si="68"/>
        <v>-</v>
      </c>
      <c r="U698" s="3" t="s">
        <v>25</v>
      </c>
      <c r="V698" s="9" t="str">
        <f t="shared" si="69"/>
        <v>-</v>
      </c>
      <c r="W698" s="4"/>
      <c r="X698" s="38"/>
      <c r="Y698" s="1">
        <f t="shared" ca="1" si="65"/>
        <v>46162</v>
      </c>
      <c r="Z698" s="1" cm="1">
        <f t="array" ref="Z698">IF(D698&gt;DATE(2015,5,16),0,
K698*
(
INT((MIN(Y698,DATE(2015,5,16))-D698)/365)
+
CEILING(MOD((MIN(Y698,DATE(2015,5,16))-D698)/365,1),0.25)
)
*
_xlfn.SWITCH(J698,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98" s="1" cm="1">
        <f t="array" aca="1" ref="AA698" ca="1">IF(Y698&lt;DATE(2015,5,17),0,
K698*
(
INT((MIN(Y698,DATE(2018,9,23))-MAX(D698,DATE(2015,5,17)))/365)
+
CEILING(MOD((MIN(Y698,DATE(2018,9,23))-MAX(D698,DATE(2015,5,17)))/365,1),0.25)
)
*
_xlfn.SWITCH(J698,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98" s="1" cm="1">
        <f t="array" aca="1" ref="AB698" ca="1">IF(Y698&lt;DATE(2018,9,24),0,
IF(J698="زراعة",
K698*
(
INT((MIN(Y698,DATE(2023,4,30))-MAX(D698,DATE(2018,9,24)))/365)
+
CEILING(MOD((MIN(Y698,DATE(2023,4,30))-MAX(D698,DATE(2018,9,24)))/365,1),0.25)
)
*1,
K698*
(
DATEDIF(MAX(D698,DATE(2018,9,24)),MIN(Y698,DATE(2023,4,30)),"m")+1
)
*
_xlfn.SWITCH(J698,
"موقف/تندة",IF(D698&lt;DATE(2019,11,30),6,30),
"تشوينات",IF(D698&lt;DATE(2019,11,30),4,20),
"مشاتل",IF(D698&lt;DATE(2019,11,30),2,10),
"كافيتيريا",IF(D698&lt;DATE(2019,11,30),30,150),
"نوادي",IF(D698&lt;DATE(2019,11,30),6,30),
"رسو مراكب",IF(D698&lt;DATE(2019,11,30),2,10),
"مباني",IF(D698&lt;DATE(2018,9,24),2,10),
"عشش",IF(D698&lt;DATE(2019,11,30),2,10),
"كشك (تجاري/صناعي)",IF(D698&lt;DATE(2019,11,30),10,50),
"ردم",20,
0)))</f>
        <v>0</v>
      </c>
      <c r="AC698" s="1" cm="1">
        <f t="array" aca="1" ref="AC698" ca="1">IF(Y698&lt;DATE(2023,5,1),0,
IF(J698="زراعة",
K698*
(
INT((Y698-MAX(DATE(2023,5,1),D698))/365)
+
CEILING(MOD((Y698-MAX(DATE(2023,5,1),D698))/365,1),0.25)
)
*3,
IF(J698="ردم",
K698*20,
K698*
(
DATEDIF(MAX(DATE(2023,5,1),D698),Y698,"m")+1
)
*
_xlfn.SWITCH(J698,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98" s="1">
        <f t="shared" ca="1" si="66"/>
        <v>55</v>
      </c>
    </row>
    <row r="699" spans="1:30" ht="18.75" x14ac:dyDescent="0.25">
      <c r="A699" s="52">
        <v>635</v>
      </c>
      <c r="B699" s="6">
        <v>3</v>
      </c>
      <c r="C699" s="6">
        <v>2022</v>
      </c>
      <c r="D699" s="7" t="s">
        <v>861</v>
      </c>
      <c r="E699" s="12"/>
      <c r="F699" s="6"/>
      <c r="G699" s="63" t="s">
        <v>864</v>
      </c>
      <c r="H699" s="6"/>
      <c r="I699" s="68" t="s">
        <v>50</v>
      </c>
      <c r="J699" s="3" t="s">
        <v>27</v>
      </c>
      <c r="K699" s="6"/>
      <c r="L699" s="68" t="s">
        <v>672</v>
      </c>
      <c r="M699" s="7"/>
      <c r="N699" s="6"/>
      <c r="O699" s="9">
        <f>0.47*Table2[[#This Row],[قيمة المحضر]]</f>
        <v>0</v>
      </c>
      <c r="P699" s="9">
        <f>0.17*Table2[[#This Row],[قيمة المحضر]]</f>
        <v>0</v>
      </c>
      <c r="Q699" s="9">
        <f t="shared" ca="1" si="67"/>
        <v>0</v>
      </c>
      <c r="R699" s="3"/>
      <c r="S699" s="3"/>
      <c r="T699" s="9" t="str">
        <f t="shared" si="68"/>
        <v>-</v>
      </c>
      <c r="U699" s="3" t="s">
        <v>25</v>
      </c>
      <c r="V699" s="9" t="str">
        <f t="shared" si="69"/>
        <v>-</v>
      </c>
      <c r="W699" s="4"/>
      <c r="X699" s="38"/>
      <c r="Y699" s="1">
        <f t="shared" ca="1" si="65"/>
        <v>46162</v>
      </c>
      <c r="Z699" s="1" cm="1">
        <f t="array" ref="Z699">IF(D699&gt;DATE(2015,5,16),0,
K699*
(
INT((MIN(Y699,DATE(2015,5,16))-D699)/365)
+
CEILING(MOD((MIN(Y699,DATE(2015,5,16))-D699)/365,1),0.25)
)
*
_xlfn.SWITCH(J699,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699" s="1" cm="1">
        <f t="array" aca="1" ref="AA699" ca="1">IF(Y699&lt;DATE(2015,5,17),0,
K699*
(
INT((MIN(Y699,DATE(2018,9,23))-MAX(D699,DATE(2015,5,17)))/365)
+
CEILING(MOD((MIN(Y699,DATE(2018,9,23))-MAX(D699,DATE(2015,5,17)))/365,1),0.25)
)
*
_xlfn.SWITCH(J699,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699" s="1" cm="1">
        <f t="array" aca="1" ref="AB699" ca="1">IF(Y699&lt;DATE(2018,9,24),0,
IF(J699="زراعة",
K699*
(
INT((MIN(Y699,DATE(2023,4,30))-MAX(D699,DATE(2018,9,24)))/365)
+
CEILING(MOD((MIN(Y699,DATE(2023,4,30))-MAX(D699,DATE(2018,9,24)))/365,1),0.25)
)
*1,
K699*
(
DATEDIF(MAX(D699,DATE(2018,9,24)),MIN(Y699,DATE(2023,4,30)),"m")+1
)
*
_xlfn.SWITCH(J699,
"موقف/تندة",IF(D699&lt;DATE(2019,11,30),6,30),
"تشوينات",IF(D699&lt;DATE(2019,11,30),4,20),
"مشاتل",IF(D699&lt;DATE(2019,11,30),2,10),
"كافيتيريا",IF(D699&lt;DATE(2019,11,30),30,150),
"نوادي",IF(D699&lt;DATE(2019,11,30),6,30),
"رسو مراكب",IF(D699&lt;DATE(2019,11,30),2,10),
"مباني",IF(D699&lt;DATE(2018,9,24),2,10),
"عشش",IF(D699&lt;DATE(2019,11,30),2,10),
"كشك (تجاري/صناعي)",IF(D699&lt;DATE(2019,11,30),10,50),
"ردم",20,
0)))</f>
        <v>0</v>
      </c>
      <c r="AC699" s="1" cm="1">
        <f t="array" aca="1" ref="AC699" ca="1">IF(Y699&lt;DATE(2023,5,1),0,
IF(J699="زراعة",
K699*
(
INT((Y699-MAX(DATE(2023,5,1),D699))/365)
+
CEILING(MOD((Y699-MAX(DATE(2023,5,1),D699))/365,1),0.25)
)
*3,
IF(J699="ردم",
K699*20,
K699*
(
DATEDIF(MAX(DATE(2023,5,1),D699),Y699,"m")+1
)
*
_xlfn.SWITCH(J699,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699" s="1">
        <f t="shared" ca="1" si="66"/>
        <v>55</v>
      </c>
    </row>
    <row r="700" spans="1:30" ht="18.75" x14ac:dyDescent="0.25">
      <c r="A700" s="52">
        <v>636</v>
      </c>
      <c r="B700" s="6">
        <v>4</v>
      </c>
      <c r="C700" s="6">
        <v>2022</v>
      </c>
      <c r="D700" s="7" t="s">
        <v>861</v>
      </c>
      <c r="E700" s="12"/>
      <c r="F700" s="6"/>
      <c r="G700" s="63" t="s">
        <v>865</v>
      </c>
      <c r="H700" s="6"/>
      <c r="I700" s="63" t="s">
        <v>33</v>
      </c>
      <c r="J700" s="3" t="s">
        <v>27</v>
      </c>
      <c r="K700" s="6"/>
      <c r="L700" s="63" t="s">
        <v>88</v>
      </c>
      <c r="M700" s="7"/>
      <c r="N700" s="6"/>
      <c r="O700" s="9">
        <f>0.47*Table2[[#This Row],[قيمة المحضر]]</f>
        <v>0</v>
      </c>
      <c r="P700" s="9">
        <f>0.17*Table2[[#This Row],[قيمة المحضر]]</f>
        <v>0</v>
      </c>
      <c r="Q700" s="9">
        <f t="shared" ca="1" si="67"/>
        <v>0</v>
      </c>
      <c r="R700" s="3"/>
      <c r="S700" s="3"/>
      <c r="T700" s="9" t="str">
        <f t="shared" si="68"/>
        <v>-</v>
      </c>
      <c r="U700" s="3" t="s">
        <v>25</v>
      </c>
      <c r="V700" s="9" t="str">
        <f t="shared" si="69"/>
        <v>-</v>
      </c>
      <c r="W700" s="4"/>
      <c r="X700" s="38"/>
      <c r="Y700" s="1">
        <f t="shared" ca="1" si="65"/>
        <v>46162</v>
      </c>
      <c r="Z700" s="1" cm="1">
        <f t="array" ref="Z700">IF(D700&gt;DATE(2015,5,16),0,
K700*
(
INT((MIN(Y700,DATE(2015,5,16))-D700)/365)
+
CEILING(MOD((MIN(Y700,DATE(2015,5,16))-D700)/365,1),0.25)
)
*
_xlfn.SWITCH(J700,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00" s="1" cm="1">
        <f t="array" aca="1" ref="AA700" ca="1">IF(Y700&lt;DATE(2015,5,17),0,
K700*
(
INT((MIN(Y700,DATE(2018,9,23))-MAX(D700,DATE(2015,5,17)))/365)
+
CEILING(MOD((MIN(Y700,DATE(2018,9,23))-MAX(D700,DATE(2015,5,17)))/365,1),0.25)
)
*
_xlfn.SWITCH(J700,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00" s="1" cm="1">
        <f t="array" aca="1" ref="AB700" ca="1">IF(Y700&lt;DATE(2018,9,24),0,
IF(J700="زراعة",
K700*
(
INT((MIN(Y700,DATE(2023,4,30))-MAX(D700,DATE(2018,9,24)))/365)
+
CEILING(MOD((MIN(Y700,DATE(2023,4,30))-MAX(D700,DATE(2018,9,24)))/365,1),0.25)
)
*1,
K700*
(
DATEDIF(MAX(D700,DATE(2018,9,24)),MIN(Y700,DATE(2023,4,30)),"m")+1
)
*
_xlfn.SWITCH(J700,
"موقف/تندة",IF(D700&lt;DATE(2019,11,30),6,30),
"تشوينات",IF(D700&lt;DATE(2019,11,30),4,20),
"مشاتل",IF(D700&lt;DATE(2019,11,30),2,10),
"كافيتيريا",IF(D700&lt;DATE(2019,11,30),30,150),
"نوادي",IF(D700&lt;DATE(2019,11,30),6,30),
"رسو مراكب",IF(D700&lt;DATE(2019,11,30),2,10),
"مباني",IF(D700&lt;DATE(2018,9,24),2,10),
"عشش",IF(D700&lt;DATE(2019,11,30),2,10),
"كشك (تجاري/صناعي)",IF(D700&lt;DATE(2019,11,30),10,50),
"ردم",20,
0)))</f>
        <v>0</v>
      </c>
      <c r="AC700" s="1" cm="1">
        <f t="array" aca="1" ref="AC700" ca="1">IF(Y700&lt;DATE(2023,5,1),0,
IF(J700="زراعة",
K700*
(
INT((Y700-MAX(DATE(2023,5,1),D700))/365)
+
CEILING(MOD((Y700-MAX(DATE(2023,5,1),D700))/365,1),0.25)
)
*3,
IF(J700="ردم",
K700*20,
K700*
(
DATEDIF(MAX(DATE(2023,5,1),D700),Y700,"m")+1
)
*
_xlfn.SWITCH(J700,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00" s="1">
        <f t="shared" ca="1" si="66"/>
        <v>55</v>
      </c>
    </row>
    <row r="701" spans="1:30" ht="18.75" x14ac:dyDescent="0.25">
      <c r="A701" s="52">
        <v>637</v>
      </c>
      <c r="B701" s="6">
        <v>5</v>
      </c>
      <c r="C701" s="6">
        <v>2022</v>
      </c>
      <c r="D701" s="7" t="s">
        <v>861</v>
      </c>
      <c r="E701" s="12"/>
      <c r="F701" s="6"/>
      <c r="G701" s="63" t="s">
        <v>866</v>
      </c>
      <c r="H701" s="6"/>
      <c r="I701" s="63" t="s">
        <v>33</v>
      </c>
      <c r="J701" s="3" t="s">
        <v>28</v>
      </c>
      <c r="K701" s="6"/>
      <c r="L701" s="63" t="s">
        <v>88</v>
      </c>
      <c r="M701" s="7"/>
      <c r="N701" s="6"/>
      <c r="O701" s="9">
        <f>0.47*Table2[[#This Row],[قيمة المحضر]]</f>
        <v>0</v>
      </c>
      <c r="P701" s="9">
        <f>0.17*Table2[[#This Row],[قيمة المحضر]]</f>
        <v>0</v>
      </c>
      <c r="Q701" s="9">
        <f t="shared" ca="1" si="67"/>
        <v>0</v>
      </c>
      <c r="R701" s="3"/>
      <c r="S701" s="3"/>
      <c r="T701" s="9" t="str">
        <f t="shared" si="68"/>
        <v>-</v>
      </c>
      <c r="U701" s="3" t="s">
        <v>25</v>
      </c>
      <c r="V701" s="9" t="str">
        <f t="shared" si="69"/>
        <v>-</v>
      </c>
      <c r="W701" s="4"/>
      <c r="X701" s="38"/>
      <c r="Y701" s="1">
        <f t="shared" ca="1" si="65"/>
        <v>46162</v>
      </c>
      <c r="Z701" s="1" cm="1">
        <f t="array" ref="Z701">IF(D701&gt;DATE(2015,5,16),0,
K701*
(
INT((MIN(Y701,DATE(2015,5,16))-D701)/365)
+
CEILING(MOD((MIN(Y701,DATE(2015,5,16))-D701)/365,1),0.25)
)
*
_xlfn.SWITCH(J701,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01" s="1" cm="1">
        <f t="array" aca="1" ref="AA701" ca="1">IF(Y701&lt;DATE(2015,5,17),0,
K701*
(
INT((MIN(Y701,DATE(2018,9,23))-MAX(D701,DATE(2015,5,17)))/365)
+
CEILING(MOD((MIN(Y701,DATE(2018,9,23))-MAX(D701,DATE(2015,5,17)))/365,1),0.25)
)
*
_xlfn.SWITCH(J701,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01" s="1" cm="1">
        <f t="array" aca="1" ref="AB701" ca="1">IF(Y701&lt;DATE(2018,9,24),0,
IF(J701="زراعة",
K701*
(
INT((MIN(Y701,DATE(2023,4,30))-MAX(D701,DATE(2018,9,24)))/365)
+
CEILING(MOD((MIN(Y701,DATE(2023,4,30))-MAX(D701,DATE(2018,9,24)))/365,1),0.25)
)
*1,
K701*
(
DATEDIF(MAX(D701,DATE(2018,9,24)),MIN(Y701,DATE(2023,4,30)),"m")+1
)
*
_xlfn.SWITCH(J701,
"موقف/تندة",IF(D701&lt;DATE(2019,11,30),6,30),
"تشوينات",IF(D701&lt;DATE(2019,11,30),4,20),
"مشاتل",IF(D701&lt;DATE(2019,11,30),2,10),
"كافيتيريا",IF(D701&lt;DATE(2019,11,30),30,150),
"نوادي",IF(D701&lt;DATE(2019,11,30),6,30),
"رسو مراكب",IF(D701&lt;DATE(2019,11,30),2,10),
"مباني",IF(D701&lt;DATE(2018,9,24),2,10),
"عشش",IF(D701&lt;DATE(2019,11,30),2,10),
"كشك (تجاري/صناعي)",IF(D701&lt;DATE(2019,11,30),10,50),
"ردم",20,
0)))</f>
        <v>0</v>
      </c>
      <c r="AC701" s="1" cm="1">
        <f t="array" aca="1" ref="AC701" ca="1">IF(Y701&lt;DATE(2023,5,1),0,
IF(J701="زراعة",
K701*
(
INT((Y701-MAX(DATE(2023,5,1),D701))/365)
+
CEILING(MOD((Y701-MAX(DATE(2023,5,1),D701))/365,1),0.25)
)
*3,
IF(J701="ردم",
K701*20,
K701*
(
DATEDIF(MAX(DATE(2023,5,1),D701),Y701,"m")+1
)
*
_xlfn.SWITCH(J701,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01" s="1">
        <f t="shared" ca="1" si="66"/>
        <v>55</v>
      </c>
    </row>
    <row r="702" spans="1:30" ht="18.75" x14ac:dyDescent="0.25">
      <c r="A702" s="52">
        <v>638</v>
      </c>
      <c r="B702" s="6">
        <v>6</v>
      </c>
      <c r="C702" s="6">
        <v>2022</v>
      </c>
      <c r="D702" s="7" t="s">
        <v>861</v>
      </c>
      <c r="E702" s="12"/>
      <c r="F702" s="6"/>
      <c r="G702" s="63" t="s">
        <v>852</v>
      </c>
      <c r="H702" s="6"/>
      <c r="I702" s="63" t="s">
        <v>33</v>
      </c>
      <c r="J702" s="3" t="s">
        <v>27</v>
      </c>
      <c r="K702" s="6"/>
      <c r="L702" s="63" t="s">
        <v>88</v>
      </c>
      <c r="M702" s="7"/>
      <c r="N702" s="6"/>
      <c r="O702" s="9">
        <f>0.47*Table2[[#This Row],[قيمة المحضر]]</f>
        <v>0</v>
      </c>
      <c r="P702" s="9">
        <f>0.17*Table2[[#This Row],[قيمة المحضر]]</f>
        <v>0</v>
      </c>
      <c r="Q702" s="9">
        <f t="shared" ca="1" si="67"/>
        <v>0</v>
      </c>
      <c r="R702" s="3"/>
      <c r="S702" s="3"/>
      <c r="T702" s="9" t="str">
        <f t="shared" si="68"/>
        <v>-</v>
      </c>
      <c r="U702" s="3" t="s">
        <v>25</v>
      </c>
      <c r="V702" s="9" t="str">
        <f t="shared" si="69"/>
        <v>-</v>
      </c>
      <c r="W702" s="4"/>
      <c r="X702" s="38"/>
      <c r="Y702" s="1">
        <f t="shared" ca="1" si="65"/>
        <v>46162</v>
      </c>
      <c r="Z702" s="1" cm="1">
        <f t="array" ref="Z702">IF(D702&gt;DATE(2015,5,16),0,
K702*
(
INT((MIN(Y702,DATE(2015,5,16))-D702)/365)
+
CEILING(MOD((MIN(Y702,DATE(2015,5,16))-D702)/365,1),0.25)
)
*
_xlfn.SWITCH(J702,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02" s="1" cm="1">
        <f t="array" aca="1" ref="AA702" ca="1">IF(Y702&lt;DATE(2015,5,17),0,
K702*
(
INT((MIN(Y702,DATE(2018,9,23))-MAX(D702,DATE(2015,5,17)))/365)
+
CEILING(MOD((MIN(Y702,DATE(2018,9,23))-MAX(D702,DATE(2015,5,17)))/365,1),0.25)
)
*
_xlfn.SWITCH(J702,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02" s="1" cm="1">
        <f t="array" aca="1" ref="AB702" ca="1">IF(Y702&lt;DATE(2018,9,24),0,
IF(J702="زراعة",
K702*
(
INT((MIN(Y702,DATE(2023,4,30))-MAX(D702,DATE(2018,9,24)))/365)
+
CEILING(MOD((MIN(Y702,DATE(2023,4,30))-MAX(D702,DATE(2018,9,24)))/365,1),0.25)
)
*1,
K702*
(
DATEDIF(MAX(D702,DATE(2018,9,24)),MIN(Y702,DATE(2023,4,30)),"m")+1
)
*
_xlfn.SWITCH(J702,
"موقف/تندة",IF(D702&lt;DATE(2019,11,30),6,30),
"تشوينات",IF(D702&lt;DATE(2019,11,30),4,20),
"مشاتل",IF(D702&lt;DATE(2019,11,30),2,10),
"كافيتيريا",IF(D702&lt;DATE(2019,11,30),30,150),
"نوادي",IF(D702&lt;DATE(2019,11,30),6,30),
"رسو مراكب",IF(D702&lt;DATE(2019,11,30),2,10),
"مباني",IF(D702&lt;DATE(2018,9,24),2,10),
"عشش",IF(D702&lt;DATE(2019,11,30),2,10),
"كشك (تجاري/صناعي)",IF(D702&lt;DATE(2019,11,30),10,50),
"ردم",20,
0)))</f>
        <v>0</v>
      </c>
      <c r="AC702" s="1" cm="1">
        <f t="array" aca="1" ref="AC702" ca="1">IF(Y702&lt;DATE(2023,5,1),0,
IF(J702="زراعة",
K702*
(
INT((Y702-MAX(DATE(2023,5,1),D702))/365)
+
CEILING(MOD((Y702-MAX(DATE(2023,5,1),D702))/365,1),0.25)
)
*3,
IF(J702="ردم",
K702*20,
K702*
(
DATEDIF(MAX(DATE(2023,5,1),D702),Y702,"m")+1
)
*
_xlfn.SWITCH(J702,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02" s="1">
        <f t="shared" ca="1" si="66"/>
        <v>55</v>
      </c>
    </row>
    <row r="703" spans="1:30" ht="18.75" x14ac:dyDescent="0.25">
      <c r="A703" s="52">
        <v>639</v>
      </c>
      <c r="B703" s="6">
        <v>7</v>
      </c>
      <c r="C703" s="6">
        <v>2022</v>
      </c>
      <c r="D703" s="7" t="s">
        <v>861</v>
      </c>
      <c r="E703" s="12"/>
      <c r="F703" s="6"/>
      <c r="G703" s="63" t="s">
        <v>867</v>
      </c>
      <c r="H703" s="6"/>
      <c r="I703" s="63" t="s">
        <v>33</v>
      </c>
      <c r="J703" s="3" t="s">
        <v>28</v>
      </c>
      <c r="K703" s="6"/>
      <c r="L703" s="63" t="s">
        <v>88</v>
      </c>
      <c r="M703" s="7"/>
      <c r="N703" s="6"/>
      <c r="O703" s="9">
        <f>0.47*Table2[[#This Row],[قيمة المحضر]]</f>
        <v>0</v>
      </c>
      <c r="P703" s="9">
        <f>0.17*Table2[[#This Row],[قيمة المحضر]]</f>
        <v>0</v>
      </c>
      <c r="Q703" s="9">
        <f t="shared" ca="1" si="67"/>
        <v>0</v>
      </c>
      <c r="R703" s="3"/>
      <c r="S703" s="3"/>
      <c r="T703" s="9" t="str">
        <f t="shared" si="68"/>
        <v>-</v>
      </c>
      <c r="U703" s="3" t="s">
        <v>25</v>
      </c>
      <c r="V703" s="9" t="str">
        <f t="shared" si="69"/>
        <v>-</v>
      </c>
      <c r="W703" s="4"/>
      <c r="X703" s="38"/>
      <c r="Y703" s="1">
        <f t="shared" ca="1" si="65"/>
        <v>46162</v>
      </c>
      <c r="Z703" s="1" cm="1">
        <f t="array" ref="Z703">IF(D703&gt;DATE(2015,5,16),0,
K703*
(
INT((MIN(Y703,DATE(2015,5,16))-D703)/365)
+
CEILING(MOD((MIN(Y703,DATE(2015,5,16))-D703)/365,1),0.25)
)
*
_xlfn.SWITCH(J703,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03" s="1" cm="1">
        <f t="array" aca="1" ref="AA703" ca="1">IF(Y703&lt;DATE(2015,5,17),0,
K703*
(
INT((MIN(Y703,DATE(2018,9,23))-MAX(D703,DATE(2015,5,17)))/365)
+
CEILING(MOD((MIN(Y703,DATE(2018,9,23))-MAX(D703,DATE(2015,5,17)))/365,1),0.25)
)
*
_xlfn.SWITCH(J703,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03" s="1" cm="1">
        <f t="array" aca="1" ref="AB703" ca="1">IF(Y703&lt;DATE(2018,9,24),0,
IF(J703="زراعة",
K703*
(
INT((MIN(Y703,DATE(2023,4,30))-MAX(D703,DATE(2018,9,24)))/365)
+
CEILING(MOD((MIN(Y703,DATE(2023,4,30))-MAX(D703,DATE(2018,9,24)))/365,1),0.25)
)
*1,
K703*
(
DATEDIF(MAX(D703,DATE(2018,9,24)),MIN(Y703,DATE(2023,4,30)),"m")+1
)
*
_xlfn.SWITCH(J703,
"موقف/تندة",IF(D703&lt;DATE(2019,11,30),6,30),
"تشوينات",IF(D703&lt;DATE(2019,11,30),4,20),
"مشاتل",IF(D703&lt;DATE(2019,11,30),2,10),
"كافيتيريا",IF(D703&lt;DATE(2019,11,30),30,150),
"نوادي",IF(D703&lt;DATE(2019,11,30),6,30),
"رسو مراكب",IF(D703&lt;DATE(2019,11,30),2,10),
"مباني",IF(D703&lt;DATE(2018,9,24),2,10),
"عشش",IF(D703&lt;DATE(2019,11,30),2,10),
"كشك (تجاري/صناعي)",IF(D703&lt;DATE(2019,11,30),10,50),
"ردم",20,
0)))</f>
        <v>0</v>
      </c>
      <c r="AC703" s="1" cm="1">
        <f t="array" aca="1" ref="AC703" ca="1">IF(Y703&lt;DATE(2023,5,1),0,
IF(J703="زراعة",
K703*
(
INT((Y703-MAX(DATE(2023,5,1),D703))/365)
+
CEILING(MOD((Y703-MAX(DATE(2023,5,1),D703))/365,1),0.25)
)
*3,
IF(J703="ردم",
K703*20,
K703*
(
DATEDIF(MAX(DATE(2023,5,1),D703),Y703,"m")+1
)
*
_xlfn.SWITCH(J703,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03" s="1">
        <f t="shared" ca="1" si="66"/>
        <v>55</v>
      </c>
    </row>
    <row r="704" spans="1:30" ht="18.75" x14ac:dyDescent="0.25">
      <c r="A704" s="52">
        <v>640</v>
      </c>
      <c r="B704" s="6">
        <v>8</v>
      </c>
      <c r="C704" s="6">
        <v>2022</v>
      </c>
      <c r="D704" s="7" t="s">
        <v>861</v>
      </c>
      <c r="E704" s="12"/>
      <c r="F704" s="6"/>
      <c r="G704" s="63" t="s">
        <v>868</v>
      </c>
      <c r="H704" s="6"/>
      <c r="I704" s="63" t="s">
        <v>33</v>
      </c>
      <c r="J704" s="3" t="s">
        <v>27</v>
      </c>
      <c r="K704" s="6"/>
      <c r="L704" s="63" t="s">
        <v>88</v>
      </c>
      <c r="M704" s="7"/>
      <c r="N704" s="6"/>
      <c r="O704" s="9">
        <f>0.47*Table2[[#This Row],[قيمة المحضر]]</f>
        <v>0</v>
      </c>
      <c r="P704" s="9">
        <f>0.17*Table2[[#This Row],[قيمة المحضر]]</f>
        <v>0</v>
      </c>
      <c r="Q704" s="9">
        <f t="shared" ca="1" si="67"/>
        <v>0</v>
      </c>
      <c r="R704" s="3"/>
      <c r="S704" s="3"/>
      <c r="T704" s="9" t="str">
        <f t="shared" si="68"/>
        <v>-</v>
      </c>
      <c r="U704" s="3" t="s">
        <v>25</v>
      </c>
      <c r="V704" s="9" t="str">
        <f t="shared" si="69"/>
        <v>-</v>
      </c>
      <c r="W704" s="4"/>
      <c r="X704" s="38"/>
      <c r="Y704" s="1">
        <f t="shared" ca="1" si="65"/>
        <v>46162</v>
      </c>
      <c r="Z704" s="1" cm="1">
        <f t="array" ref="Z704">IF(D704&gt;DATE(2015,5,16),0,
K704*
(
INT((MIN(Y704,DATE(2015,5,16))-D704)/365)
+
CEILING(MOD((MIN(Y704,DATE(2015,5,16))-D704)/365,1),0.25)
)
*
_xlfn.SWITCH(J704,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04" s="1" cm="1">
        <f t="array" aca="1" ref="AA704" ca="1">IF(Y704&lt;DATE(2015,5,17),0,
K704*
(
INT((MIN(Y704,DATE(2018,9,23))-MAX(D704,DATE(2015,5,17)))/365)
+
CEILING(MOD((MIN(Y704,DATE(2018,9,23))-MAX(D704,DATE(2015,5,17)))/365,1),0.25)
)
*
_xlfn.SWITCH(J704,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04" s="1" cm="1">
        <f t="array" aca="1" ref="AB704" ca="1">IF(Y704&lt;DATE(2018,9,24),0,
IF(J704="زراعة",
K704*
(
INT((MIN(Y704,DATE(2023,4,30))-MAX(D704,DATE(2018,9,24)))/365)
+
CEILING(MOD((MIN(Y704,DATE(2023,4,30))-MAX(D704,DATE(2018,9,24)))/365,1),0.25)
)
*1,
K704*
(
DATEDIF(MAX(D704,DATE(2018,9,24)),MIN(Y704,DATE(2023,4,30)),"m")+1
)
*
_xlfn.SWITCH(J704,
"موقف/تندة",IF(D704&lt;DATE(2019,11,30),6,30),
"تشوينات",IF(D704&lt;DATE(2019,11,30),4,20),
"مشاتل",IF(D704&lt;DATE(2019,11,30),2,10),
"كافيتيريا",IF(D704&lt;DATE(2019,11,30),30,150),
"نوادي",IF(D704&lt;DATE(2019,11,30),6,30),
"رسو مراكب",IF(D704&lt;DATE(2019,11,30),2,10),
"مباني",IF(D704&lt;DATE(2018,9,24),2,10),
"عشش",IF(D704&lt;DATE(2019,11,30),2,10),
"كشك (تجاري/صناعي)",IF(D704&lt;DATE(2019,11,30),10,50),
"ردم",20,
0)))</f>
        <v>0</v>
      </c>
      <c r="AC704" s="1" cm="1">
        <f t="array" aca="1" ref="AC704" ca="1">IF(Y704&lt;DATE(2023,5,1),0,
IF(J704="زراعة",
K704*
(
INT((Y704-MAX(DATE(2023,5,1),D704))/365)
+
CEILING(MOD((Y704-MAX(DATE(2023,5,1),D704))/365,1),0.25)
)
*3,
IF(J704="ردم",
K704*20,
K704*
(
DATEDIF(MAX(DATE(2023,5,1),D704),Y704,"m")+1
)
*
_xlfn.SWITCH(J704,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04" s="1">
        <f t="shared" ca="1" si="66"/>
        <v>55</v>
      </c>
    </row>
    <row r="705" spans="1:30" ht="18.75" x14ac:dyDescent="0.25">
      <c r="A705" s="52">
        <v>641</v>
      </c>
      <c r="B705" s="6">
        <v>9</v>
      </c>
      <c r="C705" s="6">
        <v>2022</v>
      </c>
      <c r="D705" s="7" t="s">
        <v>861</v>
      </c>
      <c r="E705" s="12"/>
      <c r="F705" s="6"/>
      <c r="G705" s="63" t="s">
        <v>869</v>
      </c>
      <c r="H705" s="6"/>
      <c r="I705" s="63" t="s">
        <v>33</v>
      </c>
      <c r="J705" s="3" t="s">
        <v>27</v>
      </c>
      <c r="K705" s="6"/>
      <c r="L705" s="63" t="s">
        <v>88</v>
      </c>
      <c r="M705" s="7"/>
      <c r="N705" s="6"/>
      <c r="O705" s="9">
        <f>0.47*Table2[[#This Row],[قيمة المحضر]]</f>
        <v>0</v>
      </c>
      <c r="P705" s="9">
        <f>0.17*Table2[[#This Row],[قيمة المحضر]]</f>
        <v>0</v>
      </c>
      <c r="Q705" s="9">
        <f t="shared" ca="1" si="67"/>
        <v>0</v>
      </c>
      <c r="R705" s="3"/>
      <c r="S705" s="3"/>
      <c r="T705" s="9" t="str">
        <f t="shared" si="68"/>
        <v>-</v>
      </c>
      <c r="U705" s="3" t="s">
        <v>25</v>
      </c>
      <c r="V705" s="9" t="str">
        <f t="shared" si="69"/>
        <v>-</v>
      </c>
      <c r="W705" s="4"/>
      <c r="X705" s="38"/>
      <c r="Y705" s="1">
        <f t="shared" ca="1" si="65"/>
        <v>46162</v>
      </c>
      <c r="Z705" s="1" cm="1">
        <f t="array" ref="Z705">IF(D705&gt;DATE(2015,5,16),0,
K705*
(
INT((MIN(Y705,DATE(2015,5,16))-D705)/365)
+
CEILING(MOD((MIN(Y705,DATE(2015,5,16))-D705)/365,1),0.25)
)
*
_xlfn.SWITCH(J705,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05" s="1" cm="1">
        <f t="array" aca="1" ref="AA705" ca="1">IF(Y705&lt;DATE(2015,5,17),0,
K705*
(
INT((MIN(Y705,DATE(2018,9,23))-MAX(D705,DATE(2015,5,17)))/365)
+
CEILING(MOD((MIN(Y705,DATE(2018,9,23))-MAX(D705,DATE(2015,5,17)))/365,1),0.25)
)
*
_xlfn.SWITCH(J705,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05" s="1" cm="1">
        <f t="array" aca="1" ref="AB705" ca="1">IF(Y705&lt;DATE(2018,9,24),0,
IF(J705="زراعة",
K705*
(
INT((MIN(Y705,DATE(2023,4,30))-MAX(D705,DATE(2018,9,24)))/365)
+
CEILING(MOD((MIN(Y705,DATE(2023,4,30))-MAX(D705,DATE(2018,9,24)))/365,1),0.25)
)
*1,
K705*
(
DATEDIF(MAX(D705,DATE(2018,9,24)),MIN(Y705,DATE(2023,4,30)),"m")+1
)
*
_xlfn.SWITCH(J705,
"موقف/تندة",IF(D705&lt;DATE(2019,11,30),6,30),
"تشوينات",IF(D705&lt;DATE(2019,11,30),4,20),
"مشاتل",IF(D705&lt;DATE(2019,11,30),2,10),
"كافيتيريا",IF(D705&lt;DATE(2019,11,30),30,150),
"نوادي",IF(D705&lt;DATE(2019,11,30),6,30),
"رسو مراكب",IF(D705&lt;DATE(2019,11,30),2,10),
"مباني",IF(D705&lt;DATE(2018,9,24),2,10),
"عشش",IF(D705&lt;DATE(2019,11,30),2,10),
"كشك (تجاري/صناعي)",IF(D705&lt;DATE(2019,11,30),10,50),
"ردم",20,
0)))</f>
        <v>0</v>
      </c>
      <c r="AC705" s="1" cm="1">
        <f t="array" aca="1" ref="AC705" ca="1">IF(Y705&lt;DATE(2023,5,1),0,
IF(J705="زراعة",
K705*
(
INT((Y705-MAX(DATE(2023,5,1),D705))/365)
+
CEILING(MOD((Y705-MAX(DATE(2023,5,1),D705))/365,1),0.25)
)
*3,
IF(J705="ردم",
K705*20,
K705*
(
DATEDIF(MAX(DATE(2023,5,1),D705),Y705,"m")+1
)
*
_xlfn.SWITCH(J705,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05" s="1">
        <f t="shared" ca="1" si="66"/>
        <v>55</v>
      </c>
    </row>
    <row r="706" spans="1:30" ht="18.75" x14ac:dyDescent="0.25">
      <c r="A706" s="52">
        <v>642</v>
      </c>
      <c r="B706" s="6">
        <v>10</v>
      </c>
      <c r="C706" s="6">
        <v>2022</v>
      </c>
      <c r="D706" s="7" t="s">
        <v>861</v>
      </c>
      <c r="E706" s="12"/>
      <c r="F706" s="6"/>
      <c r="G706" s="63" t="s">
        <v>870</v>
      </c>
      <c r="H706" s="6"/>
      <c r="I706" s="63" t="s">
        <v>33</v>
      </c>
      <c r="J706" s="3" t="s">
        <v>28</v>
      </c>
      <c r="K706" s="6"/>
      <c r="L706" s="63" t="s">
        <v>88</v>
      </c>
      <c r="M706" s="7"/>
      <c r="N706" s="6"/>
      <c r="O706" s="9">
        <f>0.47*Table2[[#This Row],[قيمة المحضر]]</f>
        <v>0</v>
      </c>
      <c r="P706" s="9">
        <f>0.17*Table2[[#This Row],[قيمة المحضر]]</f>
        <v>0</v>
      </c>
      <c r="Q706" s="9">
        <f t="shared" ca="1" si="67"/>
        <v>0</v>
      </c>
      <c r="R706" s="3"/>
      <c r="S706" s="3"/>
      <c r="T706" s="9" t="str">
        <f t="shared" si="68"/>
        <v>-</v>
      </c>
      <c r="U706" s="3" t="s">
        <v>25</v>
      </c>
      <c r="V706" s="9" t="str">
        <f t="shared" si="69"/>
        <v>-</v>
      </c>
      <c r="W706" s="4"/>
      <c r="X706" s="38"/>
      <c r="Y706" s="1">
        <f t="shared" ca="1" si="65"/>
        <v>46162</v>
      </c>
      <c r="Z706" s="1" cm="1">
        <f t="array" ref="Z706">IF(D706&gt;DATE(2015,5,16),0,
K706*
(
INT((MIN(Y706,DATE(2015,5,16))-D706)/365)
+
CEILING(MOD((MIN(Y706,DATE(2015,5,16))-D706)/365,1),0.25)
)
*
_xlfn.SWITCH(J706,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06" s="1" cm="1">
        <f t="array" aca="1" ref="AA706" ca="1">IF(Y706&lt;DATE(2015,5,17),0,
K706*
(
INT((MIN(Y706,DATE(2018,9,23))-MAX(D706,DATE(2015,5,17)))/365)
+
CEILING(MOD((MIN(Y706,DATE(2018,9,23))-MAX(D706,DATE(2015,5,17)))/365,1),0.25)
)
*
_xlfn.SWITCH(J706,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06" s="1" cm="1">
        <f t="array" aca="1" ref="AB706" ca="1">IF(Y706&lt;DATE(2018,9,24),0,
IF(J706="زراعة",
K706*
(
INT((MIN(Y706,DATE(2023,4,30))-MAX(D706,DATE(2018,9,24)))/365)
+
CEILING(MOD((MIN(Y706,DATE(2023,4,30))-MAX(D706,DATE(2018,9,24)))/365,1),0.25)
)
*1,
K706*
(
DATEDIF(MAX(D706,DATE(2018,9,24)),MIN(Y706,DATE(2023,4,30)),"m")+1
)
*
_xlfn.SWITCH(J706,
"موقف/تندة",IF(D706&lt;DATE(2019,11,30),6,30),
"تشوينات",IF(D706&lt;DATE(2019,11,30),4,20),
"مشاتل",IF(D706&lt;DATE(2019,11,30),2,10),
"كافيتيريا",IF(D706&lt;DATE(2019,11,30),30,150),
"نوادي",IF(D706&lt;DATE(2019,11,30),6,30),
"رسو مراكب",IF(D706&lt;DATE(2019,11,30),2,10),
"مباني",IF(D706&lt;DATE(2018,9,24),2,10),
"عشش",IF(D706&lt;DATE(2019,11,30),2,10),
"كشك (تجاري/صناعي)",IF(D706&lt;DATE(2019,11,30),10,50),
"ردم",20,
0)))</f>
        <v>0</v>
      </c>
      <c r="AC706" s="1" cm="1">
        <f t="array" aca="1" ref="AC706" ca="1">IF(Y706&lt;DATE(2023,5,1),0,
IF(J706="زراعة",
K706*
(
INT((Y706-MAX(DATE(2023,5,1),D706))/365)
+
CEILING(MOD((Y706-MAX(DATE(2023,5,1),D706))/365,1),0.25)
)
*3,
IF(J706="ردم",
K706*20,
K706*
(
DATEDIF(MAX(DATE(2023,5,1),D706),Y706,"m")+1
)
*
_xlfn.SWITCH(J706,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06" s="1">
        <f t="shared" ca="1" si="66"/>
        <v>55</v>
      </c>
    </row>
    <row r="707" spans="1:30" ht="18.75" x14ac:dyDescent="0.25">
      <c r="A707" s="52">
        <v>643</v>
      </c>
      <c r="B707" s="6">
        <v>11</v>
      </c>
      <c r="C707" s="6">
        <v>2022</v>
      </c>
      <c r="D707" s="7" t="s">
        <v>861</v>
      </c>
      <c r="E707" s="12"/>
      <c r="F707" s="6"/>
      <c r="G707" s="63" t="s">
        <v>871</v>
      </c>
      <c r="H707" s="6"/>
      <c r="I707" s="63" t="s">
        <v>33</v>
      </c>
      <c r="J707" s="3" t="s">
        <v>27</v>
      </c>
      <c r="K707" s="6"/>
      <c r="L707" s="63" t="s">
        <v>88</v>
      </c>
      <c r="M707" s="7"/>
      <c r="N707" s="6"/>
      <c r="O707" s="9">
        <f>0.47*Table2[[#This Row],[قيمة المحضر]]</f>
        <v>0</v>
      </c>
      <c r="P707" s="9">
        <f>0.17*Table2[[#This Row],[قيمة المحضر]]</f>
        <v>0</v>
      </c>
      <c r="Q707" s="9">
        <f t="shared" ca="1" si="67"/>
        <v>0</v>
      </c>
      <c r="R707" s="3"/>
      <c r="S707" s="3"/>
      <c r="T707" s="9" t="str">
        <f t="shared" si="68"/>
        <v>-</v>
      </c>
      <c r="U707" s="3" t="s">
        <v>25</v>
      </c>
      <c r="V707" s="9" t="str">
        <f t="shared" si="69"/>
        <v>-</v>
      </c>
      <c r="W707" s="4"/>
      <c r="X707" s="38"/>
      <c r="Y707" s="1">
        <f t="shared" ref="Y707:Y770" ca="1" si="70">IF(M707="",TODAY(),M707)</f>
        <v>46162</v>
      </c>
      <c r="Z707" s="1" cm="1">
        <f t="array" ref="Z707">IF(D707&gt;DATE(2015,5,16),0,
K707*
(
INT((MIN(Y707,DATE(2015,5,16))-D707)/365)
+
CEILING(MOD((MIN(Y707,DATE(2015,5,16))-D707)/365,1),0.25)
)
*
_xlfn.SWITCH(J707,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07" s="1" cm="1">
        <f t="array" aca="1" ref="AA707" ca="1">IF(Y707&lt;DATE(2015,5,17),0,
K707*
(
INT((MIN(Y707,DATE(2018,9,23))-MAX(D707,DATE(2015,5,17)))/365)
+
CEILING(MOD((MIN(Y707,DATE(2018,9,23))-MAX(D707,DATE(2015,5,17)))/365,1),0.25)
)
*
_xlfn.SWITCH(J707,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07" s="1" cm="1">
        <f t="array" aca="1" ref="AB707" ca="1">IF(Y707&lt;DATE(2018,9,24),0,
IF(J707="زراعة",
K707*
(
INT((MIN(Y707,DATE(2023,4,30))-MAX(D707,DATE(2018,9,24)))/365)
+
CEILING(MOD((MIN(Y707,DATE(2023,4,30))-MAX(D707,DATE(2018,9,24)))/365,1),0.25)
)
*1,
K707*
(
DATEDIF(MAX(D707,DATE(2018,9,24)),MIN(Y707,DATE(2023,4,30)),"m")+1
)
*
_xlfn.SWITCH(J707,
"موقف/تندة",IF(D707&lt;DATE(2019,11,30),6,30),
"تشوينات",IF(D707&lt;DATE(2019,11,30),4,20),
"مشاتل",IF(D707&lt;DATE(2019,11,30),2,10),
"كافيتيريا",IF(D707&lt;DATE(2019,11,30),30,150),
"نوادي",IF(D707&lt;DATE(2019,11,30),6,30),
"رسو مراكب",IF(D707&lt;DATE(2019,11,30),2,10),
"مباني",IF(D707&lt;DATE(2018,9,24),2,10),
"عشش",IF(D707&lt;DATE(2019,11,30),2,10),
"كشك (تجاري/صناعي)",IF(D707&lt;DATE(2019,11,30),10,50),
"ردم",20,
0)))</f>
        <v>0</v>
      </c>
      <c r="AC707" s="1" cm="1">
        <f t="array" aca="1" ref="AC707" ca="1">IF(Y707&lt;DATE(2023,5,1),0,
IF(J707="زراعة",
K707*
(
INT((Y707-MAX(DATE(2023,5,1),D707))/365)
+
CEILING(MOD((Y707-MAX(DATE(2023,5,1),D707))/365,1),0.25)
)
*3,
IF(J707="ردم",
K707*20,
K707*
(
DATEDIF(MAX(DATE(2023,5,1),D707),Y707,"m")+1
)
*
_xlfn.SWITCH(J707,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07" s="1">
        <f t="shared" ref="AD707:AD770" ca="1" si="71">DATEDIF(MAX(D707,DATE(2018,9,24)),MIN(Y707,DATE(2023,4,30)),"m")</f>
        <v>55</v>
      </c>
    </row>
    <row r="708" spans="1:30" ht="18.75" x14ac:dyDescent="0.25">
      <c r="A708" s="52">
        <v>644</v>
      </c>
      <c r="B708" s="6">
        <v>12</v>
      </c>
      <c r="C708" s="6">
        <v>2022</v>
      </c>
      <c r="D708" s="7" t="s">
        <v>861</v>
      </c>
      <c r="E708" s="12"/>
      <c r="F708" s="6"/>
      <c r="G708" s="63" t="s">
        <v>481</v>
      </c>
      <c r="H708" s="6"/>
      <c r="I708" s="68" t="s">
        <v>50</v>
      </c>
      <c r="J708" s="3" t="s">
        <v>29</v>
      </c>
      <c r="K708" s="6"/>
      <c r="L708" s="68" t="s">
        <v>672</v>
      </c>
      <c r="M708" s="7"/>
      <c r="N708" s="6"/>
      <c r="O708" s="9">
        <f>0.47*Table2[[#This Row],[قيمة المحضر]]</f>
        <v>0</v>
      </c>
      <c r="P708" s="9">
        <f>0.17*Table2[[#This Row],[قيمة المحضر]]</f>
        <v>0</v>
      </c>
      <c r="Q708" s="9">
        <f t="shared" ca="1" si="67"/>
        <v>0</v>
      </c>
      <c r="R708" s="3"/>
      <c r="S708" s="3"/>
      <c r="T708" s="9" t="str">
        <f t="shared" si="68"/>
        <v>-</v>
      </c>
      <c r="U708" s="3" t="s">
        <v>25</v>
      </c>
      <c r="V708" s="9" t="str">
        <f t="shared" si="69"/>
        <v>-</v>
      </c>
      <c r="W708" s="4"/>
      <c r="X708" s="38"/>
      <c r="Y708" s="1">
        <f t="shared" ca="1" si="70"/>
        <v>46162</v>
      </c>
      <c r="Z708" s="1" cm="1">
        <f t="array" ref="Z708">IF(D708&gt;DATE(2015,5,16),0,
K708*
(
INT((MIN(Y708,DATE(2015,5,16))-D708)/365)
+
CEILING(MOD((MIN(Y708,DATE(2015,5,16))-D708)/365,1),0.25)
)
*
_xlfn.SWITCH(J708,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08" s="1" cm="1">
        <f t="array" aca="1" ref="AA708" ca="1">IF(Y708&lt;DATE(2015,5,17),0,
K708*
(
INT((MIN(Y708,DATE(2018,9,23))-MAX(D708,DATE(2015,5,17)))/365)
+
CEILING(MOD((MIN(Y708,DATE(2018,9,23))-MAX(D708,DATE(2015,5,17)))/365,1),0.25)
)
*
_xlfn.SWITCH(J708,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08" s="1" cm="1">
        <f t="array" aca="1" ref="AB708" ca="1">IF(Y708&lt;DATE(2018,9,24),0,
IF(J708="زراعة",
K708*
(
INT((MIN(Y708,DATE(2023,4,30))-MAX(D708,DATE(2018,9,24)))/365)
+
CEILING(MOD((MIN(Y708,DATE(2023,4,30))-MAX(D708,DATE(2018,9,24)))/365,1),0.25)
)
*1,
K708*
(
DATEDIF(MAX(D708,DATE(2018,9,24)),MIN(Y708,DATE(2023,4,30)),"m")+1
)
*
_xlfn.SWITCH(J708,
"موقف/تندة",IF(D708&lt;DATE(2019,11,30),6,30),
"تشوينات",IF(D708&lt;DATE(2019,11,30),4,20),
"مشاتل",IF(D708&lt;DATE(2019,11,30),2,10),
"كافيتيريا",IF(D708&lt;DATE(2019,11,30),30,150),
"نوادي",IF(D708&lt;DATE(2019,11,30),6,30),
"رسو مراكب",IF(D708&lt;DATE(2019,11,30),2,10),
"مباني",IF(D708&lt;DATE(2018,9,24),2,10),
"عشش",IF(D708&lt;DATE(2019,11,30),2,10),
"كشك (تجاري/صناعي)",IF(D708&lt;DATE(2019,11,30),10,50),
"ردم",20,
0)))</f>
        <v>0</v>
      </c>
      <c r="AC708" s="1" cm="1">
        <f t="array" aca="1" ref="AC708" ca="1">IF(Y708&lt;DATE(2023,5,1),0,
IF(J708="زراعة",
K708*
(
INT((Y708-MAX(DATE(2023,5,1),D708))/365)
+
CEILING(MOD((Y708-MAX(DATE(2023,5,1),D708))/365,1),0.25)
)
*3,
IF(J708="ردم",
K708*20,
K708*
(
DATEDIF(MAX(DATE(2023,5,1),D708),Y708,"m")+1
)
*
_xlfn.SWITCH(J708,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08" s="1">
        <f t="shared" ca="1" si="71"/>
        <v>55</v>
      </c>
    </row>
    <row r="709" spans="1:30" ht="18.75" x14ac:dyDescent="0.25">
      <c r="A709" s="52">
        <v>645</v>
      </c>
      <c r="B709" s="6">
        <v>13</v>
      </c>
      <c r="C709" s="6">
        <v>2022</v>
      </c>
      <c r="D709" s="7" t="s">
        <v>861</v>
      </c>
      <c r="E709" s="12"/>
      <c r="F709" s="6"/>
      <c r="G709" s="63" t="s">
        <v>872</v>
      </c>
      <c r="H709" s="6"/>
      <c r="I709" s="68" t="s">
        <v>50</v>
      </c>
      <c r="J709" s="3" t="s">
        <v>29</v>
      </c>
      <c r="K709" s="6"/>
      <c r="L709" s="68" t="s">
        <v>672</v>
      </c>
      <c r="M709" s="7"/>
      <c r="N709" s="6"/>
      <c r="O709" s="9">
        <f>0.47*Table2[[#This Row],[قيمة المحضر]]</f>
        <v>0</v>
      </c>
      <c r="P709" s="9">
        <f>0.17*Table2[[#This Row],[قيمة المحضر]]</f>
        <v>0</v>
      </c>
      <c r="Q709" s="9">
        <f t="shared" ca="1" si="67"/>
        <v>0</v>
      </c>
      <c r="R709" s="3"/>
      <c r="S709" s="3"/>
      <c r="T709" s="9" t="str">
        <f t="shared" si="68"/>
        <v>-</v>
      </c>
      <c r="U709" s="3" t="s">
        <v>25</v>
      </c>
      <c r="V709" s="9" t="str">
        <f t="shared" si="69"/>
        <v>-</v>
      </c>
      <c r="W709" s="4"/>
      <c r="X709" s="38"/>
      <c r="Y709" s="1">
        <f t="shared" ca="1" si="70"/>
        <v>46162</v>
      </c>
      <c r="Z709" s="1" cm="1">
        <f t="array" ref="Z709">IF(D709&gt;DATE(2015,5,16),0,
K709*
(
INT((MIN(Y709,DATE(2015,5,16))-D709)/365)
+
CEILING(MOD((MIN(Y709,DATE(2015,5,16))-D709)/365,1),0.25)
)
*
_xlfn.SWITCH(J709,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09" s="1" cm="1">
        <f t="array" aca="1" ref="AA709" ca="1">IF(Y709&lt;DATE(2015,5,17),0,
K709*
(
INT((MIN(Y709,DATE(2018,9,23))-MAX(D709,DATE(2015,5,17)))/365)
+
CEILING(MOD((MIN(Y709,DATE(2018,9,23))-MAX(D709,DATE(2015,5,17)))/365,1),0.25)
)
*
_xlfn.SWITCH(J709,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09" s="1" cm="1">
        <f t="array" aca="1" ref="AB709" ca="1">IF(Y709&lt;DATE(2018,9,24),0,
IF(J709="زراعة",
K709*
(
INT((MIN(Y709,DATE(2023,4,30))-MAX(D709,DATE(2018,9,24)))/365)
+
CEILING(MOD((MIN(Y709,DATE(2023,4,30))-MAX(D709,DATE(2018,9,24)))/365,1),0.25)
)
*1,
K709*
(
DATEDIF(MAX(D709,DATE(2018,9,24)),MIN(Y709,DATE(2023,4,30)),"m")+1
)
*
_xlfn.SWITCH(J709,
"موقف/تندة",IF(D709&lt;DATE(2019,11,30),6,30),
"تشوينات",IF(D709&lt;DATE(2019,11,30),4,20),
"مشاتل",IF(D709&lt;DATE(2019,11,30),2,10),
"كافيتيريا",IF(D709&lt;DATE(2019,11,30),30,150),
"نوادي",IF(D709&lt;DATE(2019,11,30),6,30),
"رسو مراكب",IF(D709&lt;DATE(2019,11,30),2,10),
"مباني",IF(D709&lt;DATE(2018,9,24),2,10),
"عشش",IF(D709&lt;DATE(2019,11,30),2,10),
"كشك (تجاري/صناعي)",IF(D709&lt;DATE(2019,11,30),10,50),
"ردم",20,
0)))</f>
        <v>0</v>
      </c>
      <c r="AC709" s="1" cm="1">
        <f t="array" aca="1" ref="AC709" ca="1">IF(Y709&lt;DATE(2023,5,1),0,
IF(J709="زراعة",
K709*
(
INT((Y709-MAX(DATE(2023,5,1),D709))/365)
+
CEILING(MOD((Y709-MAX(DATE(2023,5,1),D709))/365,1),0.25)
)
*3,
IF(J709="ردم",
K709*20,
K709*
(
DATEDIF(MAX(DATE(2023,5,1),D709),Y709,"m")+1
)
*
_xlfn.SWITCH(J709,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09" s="1">
        <f t="shared" ca="1" si="71"/>
        <v>55</v>
      </c>
    </row>
    <row r="710" spans="1:30" ht="18.75" x14ac:dyDescent="0.25">
      <c r="A710" s="52">
        <v>646</v>
      </c>
      <c r="B710" s="6">
        <v>14</v>
      </c>
      <c r="C710" s="6">
        <v>2022</v>
      </c>
      <c r="D710" s="7" t="s">
        <v>861</v>
      </c>
      <c r="E710" s="12"/>
      <c r="F710" s="6"/>
      <c r="G710" s="63" t="s">
        <v>873</v>
      </c>
      <c r="H710" s="6"/>
      <c r="I710" s="68" t="s">
        <v>50</v>
      </c>
      <c r="J710" s="3" t="s">
        <v>29</v>
      </c>
      <c r="K710" s="6"/>
      <c r="L710" s="68" t="s">
        <v>672</v>
      </c>
      <c r="M710" s="7"/>
      <c r="N710" s="6"/>
      <c r="O710" s="9">
        <f>0.47*Table2[[#This Row],[قيمة المحضر]]</f>
        <v>0</v>
      </c>
      <c r="P710" s="9">
        <f>0.17*Table2[[#This Row],[قيمة المحضر]]</f>
        <v>0</v>
      </c>
      <c r="Q710" s="9">
        <f t="shared" ca="1" si="67"/>
        <v>0</v>
      </c>
      <c r="R710" s="3"/>
      <c r="S710" s="3"/>
      <c r="T710" s="9" t="str">
        <f t="shared" si="68"/>
        <v>-</v>
      </c>
      <c r="U710" s="3" t="s">
        <v>25</v>
      </c>
      <c r="V710" s="9" t="str">
        <f t="shared" si="69"/>
        <v>-</v>
      </c>
      <c r="W710" s="4"/>
      <c r="X710" s="38"/>
      <c r="Y710" s="1">
        <f t="shared" ca="1" si="70"/>
        <v>46162</v>
      </c>
      <c r="Z710" s="1" cm="1">
        <f t="array" ref="Z710">IF(D710&gt;DATE(2015,5,16),0,
K710*
(
INT((MIN(Y710,DATE(2015,5,16))-D710)/365)
+
CEILING(MOD((MIN(Y710,DATE(2015,5,16))-D710)/365,1),0.25)
)
*
_xlfn.SWITCH(J710,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10" s="1" cm="1">
        <f t="array" aca="1" ref="AA710" ca="1">IF(Y710&lt;DATE(2015,5,17),0,
K710*
(
INT((MIN(Y710,DATE(2018,9,23))-MAX(D710,DATE(2015,5,17)))/365)
+
CEILING(MOD((MIN(Y710,DATE(2018,9,23))-MAX(D710,DATE(2015,5,17)))/365,1),0.25)
)
*
_xlfn.SWITCH(J710,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10" s="1" cm="1">
        <f t="array" aca="1" ref="AB710" ca="1">IF(Y710&lt;DATE(2018,9,24),0,
IF(J710="زراعة",
K710*
(
INT((MIN(Y710,DATE(2023,4,30))-MAX(D710,DATE(2018,9,24)))/365)
+
CEILING(MOD((MIN(Y710,DATE(2023,4,30))-MAX(D710,DATE(2018,9,24)))/365,1),0.25)
)
*1,
K710*
(
DATEDIF(MAX(D710,DATE(2018,9,24)),MIN(Y710,DATE(2023,4,30)),"m")+1
)
*
_xlfn.SWITCH(J710,
"موقف/تندة",IF(D710&lt;DATE(2019,11,30),6,30),
"تشوينات",IF(D710&lt;DATE(2019,11,30),4,20),
"مشاتل",IF(D710&lt;DATE(2019,11,30),2,10),
"كافيتيريا",IF(D710&lt;DATE(2019,11,30),30,150),
"نوادي",IF(D710&lt;DATE(2019,11,30),6,30),
"رسو مراكب",IF(D710&lt;DATE(2019,11,30),2,10),
"مباني",IF(D710&lt;DATE(2018,9,24),2,10),
"عشش",IF(D710&lt;DATE(2019,11,30),2,10),
"كشك (تجاري/صناعي)",IF(D710&lt;DATE(2019,11,30),10,50),
"ردم",20,
0)))</f>
        <v>0</v>
      </c>
      <c r="AC710" s="1" cm="1">
        <f t="array" aca="1" ref="AC710" ca="1">IF(Y710&lt;DATE(2023,5,1),0,
IF(J710="زراعة",
K710*
(
INT((Y710-MAX(DATE(2023,5,1),D710))/365)
+
CEILING(MOD((Y710-MAX(DATE(2023,5,1),D710))/365,1),0.25)
)
*3,
IF(J710="ردم",
K710*20,
K710*
(
DATEDIF(MAX(DATE(2023,5,1),D710),Y710,"m")+1
)
*
_xlfn.SWITCH(J710,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10" s="1">
        <f t="shared" ca="1" si="71"/>
        <v>55</v>
      </c>
    </row>
    <row r="711" spans="1:30" ht="18.75" x14ac:dyDescent="0.25">
      <c r="A711" s="52">
        <v>647</v>
      </c>
      <c r="B711" s="6">
        <v>15</v>
      </c>
      <c r="C711" s="6">
        <v>2022</v>
      </c>
      <c r="D711" s="7" t="s">
        <v>861</v>
      </c>
      <c r="E711" s="12"/>
      <c r="F711" s="6"/>
      <c r="G711" s="63" t="s">
        <v>874</v>
      </c>
      <c r="H711" s="6"/>
      <c r="I711" s="68" t="s">
        <v>50</v>
      </c>
      <c r="J711" s="3" t="s">
        <v>27</v>
      </c>
      <c r="K711" s="6"/>
      <c r="L711" s="68" t="s">
        <v>672</v>
      </c>
      <c r="M711" s="7"/>
      <c r="N711" s="6"/>
      <c r="O711" s="9">
        <f>0.47*Table2[[#This Row],[قيمة المحضر]]</f>
        <v>0</v>
      </c>
      <c r="P711" s="9">
        <f>0.17*Table2[[#This Row],[قيمة المحضر]]</f>
        <v>0</v>
      </c>
      <c r="Q711" s="9">
        <f t="shared" ca="1" si="67"/>
        <v>0</v>
      </c>
      <c r="R711" s="3"/>
      <c r="S711" s="3"/>
      <c r="T711" s="9" t="str">
        <f t="shared" si="68"/>
        <v>-</v>
      </c>
      <c r="U711" s="3" t="s">
        <v>25</v>
      </c>
      <c r="V711" s="9" t="str">
        <f t="shared" si="69"/>
        <v>-</v>
      </c>
      <c r="W711" s="4"/>
      <c r="X711" s="38"/>
      <c r="Y711" s="1">
        <f t="shared" ca="1" si="70"/>
        <v>46162</v>
      </c>
      <c r="Z711" s="1" cm="1">
        <f t="array" ref="Z711">IF(D711&gt;DATE(2015,5,16),0,
K711*
(
INT((MIN(Y711,DATE(2015,5,16))-D711)/365)
+
CEILING(MOD((MIN(Y711,DATE(2015,5,16))-D711)/365,1),0.25)
)
*
_xlfn.SWITCH(J711,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11" s="1" cm="1">
        <f t="array" aca="1" ref="AA711" ca="1">IF(Y711&lt;DATE(2015,5,17),0,
K711*
(
INT((MIN(Y711,DATE(2018,9,23))-MAX(D711,DATE(2015,5,17)))/365)
+
CEILING(MOD((MIN(Y711,DATE(2018,9,23))-MAX(D711,DATE(2015,5,17)))/365,1),0.25)
)
*
_xlfn.SWITCH(J711,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11" s="1" cm="1">
        <f t="array" aca="1" ref="AB711" ca="1">IF(Y711&lt;DATE(2018,9,24),0,
IF(J711="زراعة",
K711*
(
INT((MIN(Y711,DATE(2023,4,30))-MAX(D711,DATE(2018,9,24)))/365)
+
CEILING(MOD((MIN(Y711,DATE(2023,4,30))-MAX(D711,DATE(2018,9,24)))/365,1),0.25)
)
*1,
K711*
(
DATEDIF(MAX(D711,DATE(2018,9,24)),MIN(Y711,DATE(2023,4,30)),"m")+1
)
*
_xlfn.SWITCH(J711,
"موقف/تندة",IF(D711&lt;DATE(2019,11,30),6,30),
"تشوينات",IF(D711&lt;DATE(2019,11,30),4,20),
"مشاتل",IF(D711&lt;DATE(2019,11,30),2,10),
"كافيتيريا",IF(D711&lt;DATE(2019,11,30),30,150),
"نوادي",IF(D711&lt;DATE(2019,11,30),6,30),
"رسو مراكب",IF(D711&lt;DATE(2019,11,30),2,10),
"مباني",IF(D711&lt;DATE(2018,9,24),2,10),
"عشش",IF(D711&lt;DATE(2019,11,30),2,10),
"كشك (تجاري/صناعي)",IF(D711&lt;DATE(2019,11,30),10,50),
"ردم",20,
0)))</f>
        <v>0</v>
      </c>
      <c r="AC711" s="1" cm="1">
        <f t="array" aca="1" ref="AC711" ca="1">IF(Y711&lt;DATE(2023,5,1),0,
IF(J711="زراعة",
K711*
(
INT((Y711-MAX(DATE(2023,5,1),D711))/365)
+
CEILING(MOD((Y711-MAX(DATE(2023,5,1),D711))/365,1),0.25)
)
*3,
IF(J711="ردم",
K711*20,
K711*
(
DATEDIF(MAX(DATE(2023,5,1),D711),Y711,"m")+1
)
*
_xlfn.SWITCH(J711,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11" s="1">
        <f t="shared" ca="1" si="71"/>
        <v>55</v>
      </c>
    </row>
    <row r="712" spans="1:30" ht="18.75" x14ac:dyDescent="0.25">
      <c r="A712" s="52">
        <v>648</v>
      </c>
      <c r="B712" s="6">
        <v>16</v>
      </c>
      <c r="C712" s="6">
        <v>2022</v>
      </c>
      <c r="D712" s="7" t="s">
        <v>861</v>
      </c>
      <c r="E712" s="12"/>
      <c r="F712" s="6"/>
      <c r="G712" s="63" t="s">
        <v>875</v>
      </c>
      <c r="H712" s="6"/>
      <c r="I712" s="68" t="s">
        <v>50</v>
      </c>
      <c r="J712" s="3" t="s">
        <v>27</v>
      </c>
      <c r="K712" s="6"/>
      <c r="L712" s="68" t="s">
        <v>672</v>
      </c>
      <c r="M712" s="7"/>
      <c r="N712" s="6"/>
      <c r="O712" s="9">
        <f>0.47*Table2[[#This Row],[قيمة المحضر]]</f>
        <v>0</v>
      </c>
      <c r="P712" s="9">
        <f>0.17*Table2[[#This Row],[قيمة المحضر]]</f>
        <v>0</v>
      </c>
      <c r="Q712" s="9">
        <f t="shared" ca="1" si="67"/>
        <v>0</v>
      </c>
      <c r="R712" s="3"/>
      <c r="S712" s="3"/>
      <c r="T712" s="9" t="str">
        <f t="shared" si="68"/>
        <v>-</v>
      </c>
      <c r="U712" s="3" t="s">
        <v>25</v>
      </c>
      <c r="V712" s="9" t="str">
        <f t="shared" si="69"/>
        <v>-</v>
      </c>
      <c r="W712" s="4"/>
      <c r="X712" s="38"/>
      <c r="Y712" s="1">
        <f t="shared" ca="1" si="70"/>
        <v>46162</v>
      </c>
      <c r="Z712" s="1" cm="1">
        <f t="array" ref="Z712">IF(D712&gt;DATE(2015,5,16),0,
K712*
(
INT((MIN(Y712,DATE(2015,5,16))-D712)/365)
+
CEILING(MOD((MIN(Y712,DATE(2015,5,16))-D712)/365,1),0.25)
)
*
_xlfn.SWITCH(J712,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12" s="1" cm="1">
        <f t="array" aca="1" ref="AA712" ca="1">IF(Y712&lt;DATE(2015,5,17),0,
K712*
(
INT((MIN(Y712,DATE(2018,9,23))-MAX(D712,DATE(2015,5,17)))/365)
+
CEILING(MOD((MIN(Y712,DATE(2018,9,23))-MAX(D712,DATE(2015,5,17)))/365,1),0.25)
)
*
_xlfn.SWITCH(J712,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12" s="1" cm="1">
        <f t="array" aca="1" ref="AB712" ca="1">IF(Y712&lt;DATE(2018,9,24),0,
IF(J712="زراعة",
K712*
(
INT((MIN(Y712,DATE(2023,4,30))-MAX(D712,DATE(2018,9,24)))/365)
+
CEILING(MOD((MIN(Y712,DATE(2023,4,30))-MAX(D712,DATE(2018,9,24)))/365,1),0.25)
)
*1,
K712*
(
DATEDIF(MAX(D712,DATE(2018,9,24)),MIN(Y712,DATE(2023,4,30)),"m")+1
)
*
_xlfn.SWITCH(J712,
"موقف/تندة",IF(D712&lt;DATE(2019,11,30),6,30),
"تشوينات",IF(D712&lt;DATE(2019,11,30),4,20),
"مشاتل",IF(D712&lt;DATE(2019,11,30),2,10),
"كافيتيريا",IF(D712&lt;DATE(2019,11,30),30,150),
"نوادي",IF(D712&lt;DATE(2019,11,30),6,30),
"رسو مراكب",IF(D712&lt;DATE(2019,11,30),2,10),
"مباني",IF(D712&lt;DATE(2018,9,24),2,10),
"عشش",IF(D712&lt;DATE(2019,11,30),2,10),
"كشك (تجاري/صناعي)",IF(D712&lt;DATE(2019,11,30),10,50),
"ردم",20,
0)))</f>
        <v>0</v>
      </c>
      <c r="AC712" s="1" cm="1">
        <f t="array" aca="1" ref="AC712" ca="1">IF(Y712&lt;DATE(2023,5,1),0,
IF(J712="زراعة",
K712*
(
INT((Y712-MAX(DATE(2023,5,1),D712))/365)
+
CEILING(MOD((Y712-MAX(DATE(2023,5,1),D712))/365,1),0.25)
)
*3,
IF(J712="ردم",
K712*20,
K712*
(
DATEDIF(MAX(DATE(2023,5,1),D712),Y712,"m")+1
)
*
_xlfn.SWITCH(J712,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12" s="1">
        <f t="shared" ca="1" si="71"/>
        <v>55</v>
      </c>
    </row>
    <row r="713" spans="1:30" ht="18.75" x14ac:dyDescent="0.25">
      <c r="A713" s="52">
        <v>649</v>
      </c>
      <c r="B713" s="6">
        <v>17</v>
      </c>
      <c r="C713" s="6">
        <v>2022</v>
      </c>
      <c r="D713" s="7" t="s">
        <v>861</v>
      </c>
      <c r="E713" s="12"/>
      <c r="F713" s="6"/>
      <c r="G713" s="63" t="s">
        <v>876</v>
      </c>
      <c r="H713" s="6"/>
      <c r="I713" s="68" t="s">
        <v>50</v>
      </c>
      <c r="J713" s="3" t="s">
        <v>27</v>
      </c>
      <c r="K713" s="6"/>
      <c r="L713" s="68" t="s">
        <v>672</v>
      </c>
      <c r="M713" s="7"/>
      <c r="N713" s="6"/>
      <c r="O713" s="9">
        <f>0.47*Table2[[#This Row],[قيمة المحضر]]</f>
        <v>0</v>
      </c>
      <c r="P713" s="9">
        <f>0.17*Table2[[#This Row],[قيمة المحضر]]</f>
        <v>0</v>
      </c>
      <c r="Q713" s="9">
        <f t="shared" ca="1" si="67"/>
        <v>0</v>
      </c>
      <c r="R713" s="3"/>
      <c r="S713" s="3"/>
      <c r="T713" s="9" t="str">
        <f t="shared" si="68"/>
        <v>-</v>
      </c>
      <c r="U713" s="3" t="s">
        <v>25</v>
      </c>
      <c r="V713" s="9" t="str">
        <f t="shared" si="69"/>
        <v>-</v>
      </c>
      <c r="W713" s="4"/>
      <c r="X713" s="38"/>
      <c r="Y713" s="1">
        <f t="shared" ca="1" si="70"/>
        <v>46162</v>
      </c>
      <c r="Z713" s="1" cm="1">
        <f t="array" ref="Z713">IF(D713&gt;DATE(2015,5,16),0,
K713*
(
INT((MIN(Y713,DATE(2015,5,16))-D713)/365)
+
CEILING(MOD((MIN(Y713,DATE(2015,5,16))-D713)/365,1),0.25)
)
*
_xlfn.SWITCH(J713,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13" s="1" cm="1">
        <f t="array" aca="1" ref="AA713" ca="1">IF(Y713&lt;DATE(2015,5,17),0,
K713*
(
INT((MIN(Y713,DATE(2018,9,23))-MAX(D713,DATE(2015,5,17)))/365)
+
CEILING(MOD((MIN(Y713,DATE(2018,9,23))-MAX(D713,DATE(2015,5,17)))/365,1),0.25)
)
*
_xlfn.SWITCH(J713,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13" s="1" cm="1">
        <f t="array" aca="1" ref="AB713" ca="1">IF(Y713&lt;DATE(2018,9,24),0,
IF(J713="زراعة",
K713*
(
INT((MIN(Y713,DATE(2023,4,30))-MAX(D713,DATE(2018,9,24)))/365)
+
CEILING(MOD((MIN(Y713,DATE(2023,4,30))-MAX(D713,DATE(2018,9,24)))/365,1),0.25)
)
*1,
K713*
(
DATEDIF(MAX(D713,DATE(2018,9,24)),MIN(Y713,DATE(2023,4,30)),"m")+1
)
*
_xlfn.SWITCH(J713,
"موقف/تندة",IF(D713&lt;DATE(2019,11,30),6,30),
"تشوينات",IF(D713&lt;DATE(2019,11,30),4,20),
"مشاتل",IF(D713&lt;DATE(2019,11,30),2,10),
"كافيتيريا",IF(D713&lt;DATE(2019,11,30),30,150),
"نوادي",IF(D713&lt;DATE(2019,11,30),6,30),
"رسو مراكب",IF(D713&lt;DATE(2019,11,30),2,10),
"مباني",IF(D713&lt;DATE(2018,9,24),2,10),
"عشش",IF(D713&lt;DATE(2019,11,30),2,10),
"كشك (تجاري/صناعي)",IF(D713&lt;DATE(2019,11,30),10,50),
"ردم",20,
0)))</f>
        <v>0</v>
      </c>
      <c r="AC713" s="1" cm="1">
        <f t="array" aca="1" ref="AC713" ca="1">IF(Y713&lt;DATE(2023,5,1),0,
IF(J713="زراعة",
K713*
(
INT((Y713-MAX(DATE(2023,5,1),D713))/365)
+
CEILING(MOD((Y713-MAX(DATE(2023,5,1),D713))/365,1),0.25)
)
*3,
IF(J713="ردم",
K713*20,
K713*
(
DATEDIF(MAX(DATE(2023,5,1),D713),Y713,"m")+1
)
*
_xlfn.SWITCH(J713,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13" s="1">
        <f t="shared" ca="1" si="71"/>
        <v>55</v>
      </c>
    </row>
    <row r="714" spans="1:30" ht="18.75" x14ac:dyDescent="0.25">
      <c r="A714" s="52">
        <v>650</v>
      </c>
      <c r="B714" s="6">
        <v>18</v>
      </c>
      <c r="C714" s="6">
        <v>2022</v>
      </c>
      <c r="D714" s="7" t="s">
        <v>861</v>
      </c>
      <c r="E714" s="12"/>
      <c r="F714" s="6"/>
      <c r="G714" s="63" t="s">
        <v>877</v>
      </c>
      <c r="H714" s="6"/>
      <c r="I714" s="68" t="s">
        <v>50</v>
      </c>
      <c r="J714" s="3" t="s">
        <v>27</v>
      </c>
      <c r="K714" s="6"/>
      <c r="L714" s="68" t="s">
        <v>672</v>
      </c>
      <c r="M714" s="7"/>
      <c r="N714" s="6"/>
      <c r="O714" s="9">
        <f>0.47*Table2[[#This Row],[قيمة المحضر]]</f>
        <v>0</v>
      </c>
      <c r="P714" s="9">
        <f>0.17*Table2[[#This Row],[قيمة المحضر]]</f>
        <v>0</v>
      </c>
      <c r="Q714" s="9">
        <f t="shared" ca="1" si="67"/>
        <v>0</v>
      </c>
      <c r="R714" s="3"/>
      <c r="S714" s="3"/>
      <c r="T714" s="9" t="str">
        <f t="shared" si="68"/>
        <v>-</v>
      </c>
      <c r="U714" s="3" t="s">
        <v>25</v>
      </c>
      <c r="V714" s="9" t="str">
        <f t="shared" si="69"/>
        <v>-</v>
      </c>
      <c r="W714" s="4"/>
      <c r="X714" s="38"/>
      <c r="Y714" s="1">
        <f t="shared" ca="1" si="70"/>
        <v>46162</v>
      </c>
      <c r="Z714" s="1" cm="1">
        <f t="array" ref="Z714">IF(D714&gt;DATE(2015,5,16),0,
K714*
(
INT((MIN(Y714,DATE(2015,5,16))-D714)/365)
+
CEILING(MOD((MIN(Y714,DATE(2015,5,16))-D714)/365,1),0.25)
)
*
_xlfn.SWITCH(J714,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14" s="1" cm="1">
        <f t="array" aca="1" ref="AA714" ca="1">IF(Y714&lt;DATE(2015,5,17),0,
K714*
(
INT((MIN(Y714,DATE(2018,9,23))-MAX(D714,DATE(2015,5,17)))/365)
+
CEILING(MOD((MIN(Y714,DATE(2018,9,23))-MAX(D714,DATE(2015,5,17)))/365,1),0.25)
)
*
_xlfn.SWITCH(J714,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14" s="1" cm="1">
        <f t="array" aca="1" ref="AB714" ca="1">IF(Y714&lt;DATE(2018,9,24),0,
IF(J714="زراعة",
K714*
(
INT((MIN(Y714,DATE(2023,4,30))-MAX(D714,DATE(2018,9,24)))/365)
+
CEILING(MOD((MIN(Y714,DATE(2023,4,30))-MAX(D714,DATE(2018,9,24)))/365,1),0.25)
)
*1,
K714*
(
DATEDIF(MAX(D714,DATE(2018,9,24)),MIN(Y714,DATE(2023,4,30)),"m")+1
)
*
_xlfn.SWITCH(J714,
"موقف/تندة",IF(D714&lt;DATE(2019,11,30),6,30),
"تشوينات",IF(D714&lt;DATE(2019,11,30),4,20),
"مشاتل",IF(D714&lt;DATE(2019,11,30),2,10),
"كافيتيريا",IF(D714&lt;DATE(2019,11,30),30,150),
"نوادي",IF(D714&lt;DATE(2019,11,30),6,30),
"رسو مراكب",IF(D714&lt;DATE(2019,11,30),2,10),
"مباني",IF(D714&lt;DATE(2018,9,24),2,10),
"عشش",IF(D714&lt;DATE(2019,11,30),2,10),
"كشك (تجاري/صناعي)",IF(D714&lt;DATE(2019,11,30),10,50),
"ردم",20,
0)))</f>
        <v>0</v>
      </c>
      <c r="AC714" s="1" cm="1">
        <f t="array" aca="1" ref="AC714" ca="1">IF(Y714&lt;DATE(2023,5,1),0,
IF(J714="زراعة",
K714*
(
INT((Y714-MAX(DATE(2023,5,1),D714))/365)
+
CEILING(MOD((Y714-MAX(DATE(2023,5,1),D714))/365,1),0.25)
)
*3,
IF(J714="ردم",
K714*20,
K714*
(
DATEDIF(MAX(DATE(2023,5,1),D714),Y714,"m")+1
)
*
_xlfn.SWITCH(J714,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14" s="1">
        <f t="shared" ca="1" si="71"/>
        <v>55</v>
      </c>
    </row>
    <row r="715" spans="1:30" ht="18.75" x14ac:dyDescent="0.25">
      <c r="A715" s="52">
        <v>651</v>
      </c>
      <c r="B715" s="6">
        <v>19</v>
      </c>
      <c r="C715" s="6">
        <v>2022</v>
      </c>
      <c r="D715" s="7" t="s">
        <v>861</v>
      </c>
      <c r="E715" s="12"/>
      <c r="F715" s="6"/>
      <c r="G715" s="63" t="s">
        <v>699</v>
      </c>
      <c r="H715" s="6"/>
      <c r="I715" s="68" t="s">
        <v>50</v>
      </c>
      <c r="J715" s="3" t="s">
        <v>27</v>
      </c>
      <c r="K715" s="6"/>
      <c r="L715" s="68" t="s">
        <v>672</v>
      </c>
      <c r="M715" s="7"/>
      <c r="N715" s="6"/>
      <c r="O715" s="9">
        <f>0.47*Table2[[#This Row],[قيمة المحضر]]</f>
        <v>0</v>
      </c>
      <c r="P715" s="9">
        <f>0.17*Table2[[#This Row],[قيمة المحضر]]</f>
        <v>0</v>
      </c>
      <c r="Q715" s="9">
        <f t="shared" ca="1" si="67"/>
        <v>0</v>
      </c>
      <c r="R715" s="3"/>
      <c r="S715" s="3"/>
      <c r="T715" s="9" t="str">
        <f t="shared" si="68"/>
        <v>-</v>
      </c>
      <c r="U715" s="3" t="s">
        <v>25</v>
      </c>
      <c r="V715" s="9" t="str">
        <f t="shared" si="69"/>
        <v>-</v>
      </c>
      <c r="W715" s="4"/>
      <c r="X715" s="38"/>
      <c r="Y715" s="1">
        <f t="shared" ca="1" si="70"/>
        <v>46162</v>
      </c>
      <c r="Z715" s="1" cm="1">
        <f t="array" ref="Z715">IF(D715&gt;DATE(2015,5,16),0,
K715*
(
INT((MIN(Y715,DATE(2015,5,16))-D715)/365)
+
CEILING(MOD((MIN(Y715,DATE(2015,5,16))-D715)/365,1),0.25)
)
*
_xlfn.SWITCH(J715,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15" s="1" cm="1">
        <f t="array" aca="1" ref="AA715" ca="1">IF(Y715&lt;DATE(2015,5,17),0,
K715*
(
INT((MIN(Y715,DATE(2018,9,23))-MAX(D715,DATE(2015,5,17)))/365)
+
CEILING(MOD((MIN(Y715,DATE(2018,9,23))-MAX(D715,DATE(2015,5,17)))/365,1),0.25)
)
*
_xlfn.SWITCH(J715,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15" s="1" cm="1">
        <f t="array" aca="1" ref="AB715" ca="1">IF(Y715&lt;DATE(2018,9,24),0,
IF(J715="زراعة",
K715*
(
INT((MIN(Y715,DATE(2023,4,30))-MAX(D715,DATE(2018,9,24)))/365)
+
CEILING(MOD((MIN(Y715,DATE(2023,4,30))-MAX(D715,DATE(2018,9,24)))/365,1),0.25)
)
*1,
K715*
(
DATEDIF(MAX(D715,DATE(2018,9,24)),MIN(Y715,DATE(2023,4,30)),"m")+1
)
*
_xlfn.SWITCH(J715,
"موقف/تندة",IF(D715&lt;DATE(2019,11,30),6,30),
"تشوينات",IF(D715&lt;DATE(2019,11,30),4,20),
"مشاتل",IF(D715&lt;DATE(2019,11,30),2,10),
"كافيتيريا",IF(D715&lt;DATE(2019,11,30),30,150),
"نوادي",IF(D715&lt;DATE(2019,11,30),6,30),
"رسو مراكب",IF(D715&lt;DATE(2019,11,30),2,10),
"مباني",IF(D715&lt;DATE(2018,9,24),2,10),
"عشش",IF(D715&lt;DATE(2019,11,30),2,10),
"كشك (تجاري/صناعي)",IF(D715&lt;DATE(2019,11,30),10,50),
"ردم",20,
0)))</f>
        <v>0</v>
      </c>
      <c r="AC715" s="1" cm="1">
        <f t="array" aca="1" ref="AC715" ca="1">IF(Y715&lt;DATE(2023,5,1),0,
IF(J715="زراعة",
K715*
(
INT((Y715-MAX(DATE(2023,5,1),D715))/365)
+
CEILING(MOD((Y715-MAX(DATE(2023,5,1),D715))/365,1),0.25)
)
*3,
IF(J715="ردم",
K715*20,
K715*
(
DATEDIF(MAX(DATE(2023,5,1),D715),Y715,"m")+1
)
*
_xlfn.SWITCH(J715,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15" s="1">
        <f t="shared" ca="1" si="71"/>
        <v>55</v>
      </c>
    </row>
    <row r="716" spans="1:30" ht="18.75" x14ac:dyDescent="0.25">
      <c r="A716" s="52">
        <v>652</v>
      </c>
      <c r="B716" s="6">
        <v>20</v>
      </c>
      <c r="C716" s="6">
        <v>2022</v>
      </c>
      <c r="D716" s="7" t="s">
        <v>861</v>
      </c>
      <c r="E716" s="12"/>
      <c r="F716" s="6"/>
      <c r="G716" s="63" t="s">
        <v>878</v>
      </c>
      <c r="H716" s="6"/>
      <c r="I716" s="68" t="s">
        <v>50</v>
      </c>
      <c r="J716" s="3" t="s">
        <v>27</v>
      </c>
      <c r="K716" s="6"/>
      <c r="L716" s="68" t="s">
        <v>672</v>
      </c>
      <c r="M716" s="7"/>
      <c r="N716" s="6"/>
      <c r="O716" s="9">
        <f>0.47*Table2[[#This Row],[قيمة المحضر]]</f>
        <v>0</v>
      </c>
      <c r="P716" s="9">
        <f>0.17*Table2[[#This Row],[قيمة المحضر]]</f>
        <v>0</v>
      </c>
      <c r="Q716" s="9">
        <f t="shared" ca="1" si="67"/>
        <v>0</v>
      </c>
      <c r="R716" s="3"/>
      <c r="S716" s="3"/>
      <c r="T716" s="9" t="str">
        <f t="shared" si="68"/>
        <v>-</v>
      </c>
      <c r="U716" s="3" t="s">
        <v>25</v>
      </c>
      <c r="V716" s="9" t="str">
        <f t="shared" si="69"/>
        <v>-</v>
      </c>
      <c r="W716" s="4"/>
      <c r="X716" s="38"/>
      <c r="Y716" s="1">
        <f t="shared" ca="1" si="70"/>
        <v>46162</v>
      </c>
      <c r="Z716" s="1" cm="1">
        <f t="array" ref="Z716">IF(D716&gt;DATE(2015,5,16),0,
K716*
(
INT((MIN(Y716,DATE(2015,5,16))-D716)/365)
+
CEILING(MOD((MIN(Y716,DATE(2015,5,16))-D716)/365,1),0.25)
)
*
_xlfn.SWITCH(J716,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16" s="1" cm="1">
        <f t="array" aca="1" ref="AA716" ca="1">IF(Y716&lt;DATE(2015,5,17),0,
K716*
(
INT((MIN(Y716,DATE(2018,9,23))-MAX(D716,DATE(2015,5,17)))/365)
+
CEILING(MOD((MIN(Y716,DATE(2018,9,23))-MAX(D716,DATE(2015,5,17)))/365,1),0.25)
)
*
_xlfn.SWITCH(J716,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16" s="1" cm="1">
        <f t="array" aca="1" ref="AB716" ca="1">IF(Y716&lt;DATE(2018,9,24),0,
IF(J716="زراعة",
K716*
(
INT((MIN(Y716,DATE(2023,4,30))-MAX(D716,DATE(2018,9,24)))/365)
+
CEILING(MOD((MIN(Y716,DATE(2023,4,30))-MAX(D716,DATE(2018,9,24)))/365,1),0.25)
)
*1,
K716*
(
DATEDIF(MAX(D716,DATE(2018,9,24)),MIN(Y716,DATE(2023,4,30)),"m")+1
)
*
_xlfn.SWITCH(J716,
"موقف/تندة",IF(D716&lt;DATE(2019,11,30),6,30),
"تشوينات",IF(D716&lt;DATE(2019,11,30),4,20),
"مشاتل",IF(D716&lt;DATE(2019,11,30),2,10),
"كافيتيريا",IF(D716&lt;DATE(2019,11,30),30,150),
"نوادي",IF(D716&lt;DATE(2019,11,30),6,30),
"رسو مراكب",IF(D716&lt;DATE(2019,11,30),2,10),
"مباني",IF(D716&lt;DATE(2018,9,24),2,10),
"عشش",IF(D716&lt;DATE(2019,11,30),2,10),
"كشك (تجاري/صناعي)",IF(D716&lt;DATE(2019,11,30),10,50),
"ردم",20,
0)))</f>
        <v>0</v>
      </c>
      <c r="AC716" s="1" cm="1">
        <f t="array" aca="1" ref="AC716" ca="1">IF(Y716&lt;DATE(2023,5,1),0,
IF(J716="زراعة",
K716*
(
INT((Y716-MAX(DATE(2023,5,1),D716))/365)
+
CEILING(MOD((Y716-MAX(DATE(2023,5,1),D716))/365,1),0.25)
)
*3,
IF(J716="ردم",
K716*20,
K716*
(
DATEDIF(MAX(DATE(2023,5,1),D716),Y716,"m")+1
)
*
_xlfn.SWITCH(J716,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16" s="1">
        <f t="shared" ca="1" si="71"/>
        <v>55</v>
      </c>
    </row>
    <row r="717" spans="1:30" ht="18.75" x14ac:dyDescent="0.25">
      <c r="A717" s="52">
        <v>653</v>
      </c>
      <c r="B717" s="6">
        <v>21</v>
      </c>
      <c r="C717" s="6">
        <v>2022</v>
      </c>
      <c r="D717" s="7" t="s">
        <v>861</v>
      </c>
      <c r="E717" s="12"/>
      <c r="F717" s="6"/>
      <c r="G717" s="63" t="s">
        <v>879</v>
      </c>
      <c r="H717" s="6"/>
      <c r="I717" s="68" t="s">
        <v>50</v>
      </c>
      <c r="J717" s="3" t="s">
        <v>27</v>
      </c>
      <c r="K717" s="6"/>
      <c r="L717" s="68" t="s">
        <v>672</v>
      </c>
      <c r="M717" s="7"/>
      <c r="N717" s="6"/>
      <c r="O717" s="9">
        <f>0.47*Table2[[#This Row],[قيمة المحضر]]</f>
        <v>0</v>
      </c>
      <c r="P717" s="9">
        <f>0.17*Table2[[#This Row],[قيمة المحضر]]</f>
        <v>0</v>
      </c>
      <c r="Q717" s="9">
        <f t="shared" ca="1" si="67"/>
        <v>0</v>
      </c>
      <c r="R717" s="3"/>
      <c r="S717" s="3"/>
      <c r="T717" s="9" t="str">
        <f t="shared" si="68"/>
        <v>-</v>
      </c>
      <c r="U717" s="3" t="s">
        <v>25</v>
      </c>
      <c r="V717" s="9" t="str">
        <f t="shared" si="69"/>
        <v>-</v>
      </c>
      <c r="W717" s="4"/>
      <c r="X717" s="38"/>
      <c r="Y717" s="1">
        <f t="shared" ca="1" si="70"/>
        <v>46162</v>
      </c>
      <c r="Z717" s="1" cm="1">
        <f t="array" ref="Z717">IF(D717&gt;DATE(2015,5,16),0,
K717*
(
INT((MIN(Y717,DATE(2015,5,16))-D717)/365)
+
CEILING(MOD((MIN(Y717,DATE(2015,5,16))-D717)/365,1),0.25)
)
*
_xlfn.SWITCH(J717,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17" s="1" cm="1">
        <f t="array" aca="1" ref="AA717" ca="1">IF(Y717&lt;DATE(2015,5,17),0,
K717*
(
INT((MIN(Y717,DATE(2018,9,23))-MAX(D717,DATE(2015,5,17)))/365)
+
CEILING(MOD((MIN(Y717,DATE(2018,9,23))-MAX(D717,DATE(2015,5,17)))/365,1),0.25)
)
*
_xlfn.SWITCH(J717,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17" s="1" cm="1">
        <f t="array" aca="1" ref="AB717" ca="1">IF(Y717&lt;DATE(2018,9,24),0,
IF(J717="زراعة",
K717*
(
INT((MIN(Y717,DATE(2023,4,30))-MAX(D717,DATE(2018,9,24)))/365)
+
CEILING(MOD((MIN(Y717,DATE(2023,4,30))-MAX(D717,DATE(2018,9,24)))/365,1),0.25)
)
*1,
K717*
(
DATEDIF(MAX(D717,DATE(2018,9,24)),MIN(Y717,DATE(2023,4,30)),"m")+1
)
*
_xlfn.SWITCH(J717,
"موقف/تندة",IF(D717&lt;DATE(2019,11,30),6,30),
"تشوينات",IF(D717&lt;DATE(2019,11,30),4,20),
"مشاتل",IF(D717&lt;DATE(2019,11,30),2,10),
"كافيتيريا",IF(D717&lt;DATE(2019,11,30),30,150),
"نوادي",IF(D717&lt;DATE(2019,11,30),6,30),
"رسو مراكب",IF(D717&lt;DATE(2019,11,30),2,10),
"مباني",IF(D717&lt;DATE(2018,9,24),2,10),
"عشش",IF(D717&lt;DATE(2019,11,30),2,10),
"كشك (تجاري/صناعي)",IF(D717&lt;DATE(2019,11,30),10,50),
"ردم",20,
0)))</f>
        <v>0</v>
      </c>
      <c r="AC717" s="1" cm="1">
        <f t="array" aca="1" ref="AC717" ca="1">IF(Y717&lt;DATE(2023,5,1),0,
IF(J717="زراعة",
K717*
(
INT((Y717-MAX(DATE(2023,5,1),D717))/365)
+
CEILING(MOD((Y717-MAX(DATE(2023,5,1),D717))/365,1),0.25)
)
*3,
IF(J717="ردم",
K717*20,
K717*
(
DATEDIF(MAX(DATE(2023,5,1),D717),Y717,"m")+1
)
*
_xlfn.SWITCH(J717,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17" s="1">
        <f t="shared" ca="1" si="71"/>
        <v>55</v>
      </c>
    </row>
    <row r="718" spans="1:30" ht="18.75" x14ac:dyDescent="0.25">
      <c r="A718" s="52">
        <v>654</v>
      </c>
      <c r="B718" s="6">
        <v>22</v>
      </c>
      <c r="C718" s="6">
        <v>2022</v>
      </c>
      <c r="D718" s="7" t="s">
        <v>861</v>
      </c>
      <c r="E718" s="12"/>
      <c r="F718" s="6"/>
      <c r="G718" s="63" t="s">
        <v>880</v>
      </c>
      <c r="H718" s="6"/>
      <c r="I718" s="68" t="s">
        <v>50</v>
      </c>
      <c r="J718" s="3" t="s">
        <v>27</v>
      </c>
      <c r="K718" s="6"/>
      <c r="L718" s="68" t="s">
        <v>672</v>
      </c>
      <c r="M718" s="7"/>
      <c r="N718" s="6"/>
      <c r="O718" s="9">
        <f>0.47*Table2[[#This Row],[قيمة المحضر]]</f>
        <v>0</v>
      </c>
      <c r="P718" s="9">
        <f>0.17*Table2[[#This Row],[قيمة المحضر]]</f>
        <v>0</v>
      </c>
      <c r="Q718" s="9">
        <f t="shared" ca="1" si="67"/>
        <v>0</v>
      </c>
      <c r="R718" s="3"/>
      <c r="S718" s="3"/>
      <c r="T718" s="9" t="str">
        <f t="shared" si="68"/>
        <v>-</v>
      </c>
      <c r="U718" s="3" t="s">
        <v>25</v>
      </c>
      <c r="V718" s="9" t="str">
        <f t="shared" si="69"/>
        <v>-</v>
      </c>
      <c r="W718" s="4"/>
      <c r="X718" s="38"/>
      <c r="Y718" s="1">
        <f t="shared" ca="1" si="70"/>
        <v>46162</v>
      </c>
      <c r="Z718" s="1" cm="1">
        <f t="array" ref="Z718">IF(D718&gt;DATE(2015,5,16),0,
K718*
(
INT((MIN(Y718,DATE(2015,5,16))-D718)/365)
+
CEILING(MOD((MIN(Y718,DATE(2015,5,16))-D718)/365,1),0.25)
)
*
_xlfn.SWITCH(J718,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18" s="1" cm="1">
        <f t="array" aca="1" ref="AA718" ca="1">IF(Y718&lt;DATE(2015,5,17),0,
K718*
(
INT((MIN(Y718,DATE(2018,9,23))-MAX(D718,DATE(2015,5,17)))/365)
+
CEILING(MOD((MIN(Y718,DATE(2018,9,23))-MAX(D718,DATE(2015,5,17)))/365,1),0.25)
)
*
_xlfn.SWITCH(J718,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18" s="1" cm="1">
        <f t="array" aca="1" ref="AB718" ca="1">IF(Y718&lt;DATE(2018,9,24),0,
IF(J718="زراعة",
K718*
(
INT((MIN(Y718,DATE(2023,4,30))-MAX(D718,DATE(2018,9,24)))/365)
+
CEILING(MOD((MIN(Y718,DATE(2023,4,30))-MAX(D718,DATE(2018,9,24)))/365,1),0.25)
)
*1,
K718*
(
DATEDIF(MAX(D718,DATE(2018,9,24)),MIN(Y718,DATE(2023,4,30)),"m")+1
)
*
_xlfn.SWITCH(J718,
"موقف/تندة",IF(D718&lt;DATE(2019,11,30),6,30),
"تشوينات",IF(D718&lt;DATE(2019,11,30),4,20),
"مشاتل",IF(D718&lt;DATE(2019,11,30),2,10),
"كافيتيريا",IF(D718&lt;DATE(2019,11,30),30,150),
"نوادي",IF(D718&lt;DATE(2019,11,30),6,30),
"رسو مراكب",IF(D718&lt;DATE(2019,11,30),2,10),
"مباني",IF(D718&lt;DATE(2018,9,24),2,10),
"عشش",IF(D718&lt;DATE(2019,11,30),2,10),
"كشك (تجاري/صناعي)",IF(D718&lt;DATE(2019,11,30),10,50),
"ردم",20,
0)))</f>
        <v>0</v>
      </c>
      <c r="AC718" s="1" cm="1">
        <f t="array" aca="1" ref="AC718" ca="1">IF(Y718&lt;DATE(2023,5,1),0,
IF(J718="زراعة",
K718*
(
INT((Y718-MAX(DATE(2023,5,1),D718))/365)
+
CEILING(MOD((Y718-MAX(DATE(2023,5,1),D718))/365,1),0.25)
)
*3,
IF(J718="ردم",
K718*20,
K718*
(
DATEDIF(MAX(DATE(2023,5,1),D718),Y718,"m")+1
)
*
_xlfn.SWITCH(J718,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18" s="1">
        <f t="shared" ca="1" si="71"/>
        <v>55</v>
      </c>
    </row>
    <row r="719" spans="1:30" ht="18.75" x14ac:dyDescent="0.25">
      <c r="A719" s="52">
        <v>655</v>
      </c>
      <c r="B719" s="6">
        <v>23</v>
      </c>
      <c r="C719" s="6">
        <v>2022</v>
      </c>
      <c r="D719" s="7" t="s">
        <v>861</v>
      </c>
      <c r="E719" s="12"/>
      <c r="F719" s="6"/>
      <c r="G719" s="63" t="s">
        <v>881</v>
      </c>
      <c r="H719" s="6"/>
      <c r="I719" s="68" t="s">
        <v>50</v>
      </c>
      <c r="J719" s="3" t="s">
        <v>27</v>
      </c>
      <c r="K719" s="6"/>
      <c r="L719" s="68" t="s">
        <v>672</v>
      </c>
      <c r="M719" s="7"/>
      <c r="N719" s="6"/>
      <c r="O719" s="9">
        <f>0.47*Table2[[#This Row],[قيمة المحضر]]</f>
        <v>0</v>
      </c>
      <c r="P719" s="9">
        <f>0.17*Table2[[#This Row],[قيمة المحضر]]</f>
        <v>0</v>
      </c>
      <c r="Q719" s="9">
        <f t="shared" ca="1" si="67"/>
        <v>0</v>
      </c>
      <c r="R719" s="3"/>
      <c r="S719" s="3"/>
      <c r="T719" s="9" t="str">
        <f t="shared" si="68"/>
        <v>-</v>
      </c>
      <c r="U719" s="3" t="s">
        <v>25</v>
      </c>
      <c r="V719" s="9" t="str">
        <f t="shared" si="69"/>
        <v>-</v>
      </c>
      <c r="W719" s="4"/>
      <c r="X719" s="38"/>
      <c r="Y719" s="1">
        <f t="shared" ca="1" si="70"/>
        <v>46162</v>
      </c>
      <c r="Z719" s="1" cm="1">
        <f t="array" ref="Z719">IF(D719&gt;DATE(2015,5,16),0,
K719*
(
INT((MIN(Y719,DATE(2015,5,16))-D719)/365)
+
CEILING(MOD((MIN(Y719,DATE(2015,5,16))-D719)/365,1),0.25)
)
*
_xlfn.SWITCH(J719,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19" s="1" cm="1">
        <f t="array" aca="1" ref="AA719" ca="1">IF(Y719&lt;DATE(2015,5,17),0,
K719*
(
INT((MIN(Y719,DATE(2018,9,23))-MAX(D719,DATE(2015,5,17)))/365)
+
CEILING(MOD((MIN(Y719,DATE(2018,9,23))-MAX(D719,DATE(2015,5,17)))/365,1),0.25)
)
*
_xlfn.SWITCH(J719,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19" s="1" cm="1">
        <f t="array" aca="1" ref="AB719" ca="1">IF(Y719&lt;DATE(2018,9,24),0,
IF(J719="زراعة",
K719*
(
INT((MIN(Y719,DATE(2023,4,30))-MAX(D719,DATE(2018,9,24)))/365)
+
CEILING(MOD((MIN(Y719,DATE(2023,4,30))-MAX(D719,DATE(2018,9,24)))/365,1),0.25)
)
*1,
K719*
(
DATEDIF(MAX(D719,DATE(2018,9,24)),MIN(Y719,DATE(2023,4,30)),"m")+1
)
*
_xlfn.SWITCH(J719,
"موقف/تندة",IF(D719&lt;DATE(2019,11,30),6,30),
"تشوينات",IF(D719&lt;DATE(2019,11,30),4,20),
"مشاتل",IF(D719&lt;DATE(2019,11,30),2,10),
"كافيتيريا",IF(D719&lt;DATE(2019,11,30),30,150),
"نوادي",IF(D719&lt;DATE(2019,11,30),6,30),
"رسو مراكب",IF(D719&lt;DATE(2019,11,30),2,10),
"مباني",IF(D719&lt;DATE(2018,9,24),2,10),
"عشش",IF(D719&lt;DATE(2019,11,30),2,10),
"كشك (تجاري/صناعي)",IF(D719&lt;DATE(2019,11,30),10,50),
"ردم",20,
0)))</f>
        <v>0</v>
      </c>
      <c r="AC719" s="1" cm="1">
        <f t="array" aca="1" ref="AC719" ca="1">IF(Y719&lt;DATE(2023,5,1),0,
IF(J719="زراعة",
K719*
(
INT((Y719-MAX(DATE(2023,5,1),D719))/365)
+
CEILING(MOD((Y719-MAX(DATE(2023,5,1),D719))/365,1),0.25)
)
*3,
IF(J719="ردم",
K719*20,
K719*
(
DATEDIF(MAX(DATE(2023,5,1),D719),Y719,"m")+1
)
*
_xlfn.SWITCH(J719,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19" s="1">
        <f t="shared" ca="1" si="71"/>
        <v>55</v>
      </c>
    </row>
    <row r="720" spans="1:30" ht="18.75" x14ac:dyDescent="0.25">
      <c r="A720" s="52">
        <v>656</v>
      </c>
      <c r="B720" s="6">
        <v>24</v>
      </c>
      <c r="C720" s="6">
        <v>2022</v>
      </c>
      <c r="D720" s="7" t="s">
        <v>861</v>
      </c>
      <c r="E720" s="12"/>
      <c r="F720" s="6"/>
      <c r="G720" s="63" t="s">
        <v>882</v>
      </c>
      <c r="H720" s="6"/>
      <c r="I720" s="68" t="s">
        <v>50</v>
      </c>
      <c r="J720" s="3" t="s">
        <v>27</v>
      </c>
      <c r="K720" s="6"/>
      <c r="L720" s="68" t="s">
        <v>672</v>
      </c>
      <c r="M720" s="7"/>
      <c r="N720" s="6"/>
      <c r="O720" s="9">
        <f>0.47*Table2[[#This Row],[قيمة المحضر]]</f>
        <v>0</v>
      </c>
      <c r="P720" s="9">
        <f>0.17*Table2[[#This Row],[قيمة المحضر]]</f>
        <v>0</v>
      </c>
      <c r="Q720" s="9">
        <f t="shared" ca="1" si="67"/>
        <v>0</v>
      </c>
      <c r="R720" s="3"/>
      <c r="S720" s="3"/>
      <c r="T720" s="9" t="str">
        <f t="shared" si="68"/>
        <v>-</v>
      </c>
      <c r="U720" s="3" t="s">
        <v>25</v>
      </c>
      <c r="V720" s="9" t="str">
        <f t="shared" si="69"/>
        <v>-</v>
      </c>
      <c r="W720" s="4"/>
      <c r="X720" s="38"/>
      <c r="Y720" s="1">
        <f t="shared" ca="1" si="70"/>
        <v>46162</v>
      </c>
      <c r="Z720" s="1" cm="1">
        <f t="array" ref="Z720">IF(D720&gt;DATE(2015,5,16),0,
K720*
(
INT((MIN(Y720,DATE(2015,5,16))-D720)/365)
+
CEILING(MOD((MIN(Y720,DATE(2015,5,16))-D720)/365,1),0.25)
)
*
_xlfn.SWITCH(J720,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20" s="1" cm="1">
        <f t="array" aca="1" ref="AA720" ca="1">IF(Y720&lt;DATE(2015,5,17),0,
K720*
(
INT((MIN(Y720,DATE(2018,9,23))-MAX(D720,DATE(2015,5,17)))/365)
+
CEILING(MOD((MIN(Y720,DATE(2018,9,23))-MAX(D720,DATE(2015,5,17)))/365,1),0.25)
)
*
_xlfn.SWITCH(J720,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20" s="1" cm="1">
        <f t="array" aca="1" ref="AB720" ca="1">IF(Y720&lt;DATE(2018,9,24),0,
IF(J720="زراعة",
K720*
(
INT((MIN(Y720,DATE(2023,4,30))-MAX(D720,DATE(2018,9,24)))/365)
+
CEILING(MOD((MIN(Y720,DATE(2023,4,30))-MAX(D720,DATE(2018,9,24)))/365,1),0.25)
)
*1,
K720*
(
DATEDIF(MAX(D720,DATE(2018,9,24)),MIN(Y720,DATE(2023,4,30)),"m")+1
)
*
_xlfn.SWITCH(J720,
"موقف/تندة",IF(D720&lt;DATE(2019,11,30),6,30),
"تشوينات",IF(D720&lt;DATE(2019,11,30),4,20),
"مشاتل",IF(D720&lt;DATE(2019,11,30),2,10),
"كافيتيريا",IF(D720&lt;DATE(2019,11,30),30,150),
"نوادي",IF(D720&lt;DATE(2019,11,30),6,30),
"رسو مراكب",IF(D720&lt;DATE(2019,11,30),2,10),
"مباني",IF(D720&lt;DATE(2018,9,24),2,10),
"عشش",IF(D720&lt;DATE(2019,11,30),2,10),
"كشك (تجاري/صناعي)",IF(D720&lt;DATE(2019,11,30),10,50),
"ردم",20,
0)))</f>
        <v>0</v>
      </c>
      <c r="AC720" s="1" cm="1">
        <f t="array" aca="1" ref="AC720" ca="1">IF(Y720&lt;DATE(2023,5,1),0,
IF(J720="زراعة",
K720*
(
INT((Y720-MAX(DATE(2023,5,1),D720))/365)
+
CEILING(MOD((Y720-MAX(DATE(2023,5,1),D720))/365,1),0.25)
)
*3,
IF(J720="ردم",
K720*20,
K720*
(
DATEDIF(MAX(DATE(2023,5,1),D720),Y720,"m")+1
)
*
_xlfn.SWITCH(J720,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20" s="1">
        <f t="shared" ca="1" si="71"/>
        <v>55</v>
      </c>
    </row>
    <row r="721" spans="1:30" ht="18.75" x14ac:dyDescent="0.25">
      <c r="A721" s="52">
        <v>657</v>
      </c>
      <c r="B721" s="6">
        <v>25</v>
      </c>
      <c r="C721" s="6">
        <v>2022</v>
      </c>
      <c r="D721" s="7" t="s">
        <v>861</v>
      </c>
      <c r="E721" s="12"/>
      <c r="F721" s="6"/>
      <c r="G721" s="63" t="s">
        <v>883</v>
      </c>
      <c r="H721" s="6"/>
      <c r="I721" s="68" t="s">
        <v>50</v>
      </c>
      <c r="J721" s="3" t="s">
        <v>27</v>
      </c>
      <c r="K721" s="6"/>
      <c r="L721" s="68" t="s">
        <v>672</v>
      </c>
      <c r="M721" s="7"/>
      <c r="N721" s="6"/>
      <c r="O721" s="9">
        <f>0.47*Table2[[#This Row],[قيمة المحضر]]</f>
        <v>0</v>
      </c>
      <c r="P721" s="9">
        <f>0.17*Table2[[#This Row],[قيمة المحضر]]</f>
        <v>0</v>
      </c>
      <c r="Q721" s="9">
        <f t="shared" ca="1" si="67"/>
        <v>0</v>
      </c>
      <c r="R721" s="3"/>
      <c r="S721" s="3"/>
      <c r="T721" s="9" t="str">
        <f t="shared" si="68"/>
        <v>-</v>
      </c>
      <c r="U721" s="3" t="s">
        <v>25</v>
      </c>
      <c r="V721" s="9" t="str">
        <f t="shared" si="69"/>
        <v>-</v>
      </c>
      <c r="W721" s="4"/>
      <c r="X721" s="38"/>
      <c r="Y721" s="1">
        <f t="shared" ca="1" si="70"/>
        <v>46162</v>
      </c>
      <c r="Z721" s="1" cm="1">
        <f t="array" ref="Z721">IF(D721&gt;DATE(2015,5,16),0,
K721*
(
INT((MIN(Y721,DATE(2015,5,16))-D721)/365)
+
CEILING(MOD((MIN(Y721,DATE(2015,5,16))-D721)/365,1),0.25)
)
*
_xlfn.SWITCH(J721,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21" s="1" cm="1">
        <f t="array" aca="1" ref="AA721" ca="1">IF(Y721&lt;DATE(2015,5,17),0,
K721*
(
INT((MIN(Y721,DATE(2018,9,23))-MAX(D721,DATE(2015,5,17)))/365)
+
CEILING(MOD((MIN(Y721,DATE(2018,9,23))-MAX(D721,DATE(2015,5,17)))/365,1),0.25)
)
*
_xlfn.SWITCH(J721,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21" s="1" cm="1">
        <f t="array" aca="1" ref="AB721" ca="1">IF(Y721&lt;DATE(2018,9,24),0,
IF(J721="زراعة",
K721*
(
INT((MIN(Y721,DATE(2023,4,30))-MAX(D721,DATE(2018,9,24)))/365)
+
CEILING(MOD((MIN(Y721,DATE(2023,4,30))-MAX(D721,DATE(2018,9,24)))/365,1),0.25)
)
*1,
K721*
(
DATEDIF(MAX(D721,DATE(2018,9,24)),MIN(Y721,DATE(2023,4,30)),"m")+1
)
*
_xlfn.SWITCH(J721,
"موقف/تندة",IF(D721&lt;DATE(2019,11,30),6,30),
"تشوينات",IF(D721&lt;DATE(2019,11,30),4,20),
"مشاتل",IF(D721&lt;DATE(2019,11,30),2,10),
"كافيتيريا",IF(D721&lt;DATE(2019,11,30),30,150),
"نوادي",IF(D721&lt;DATE(2019,11,30),6,30),
"رسو مراكب",IF(D721&lt;DATE(2019,11,30),2,10),
"مباني",IF(D721&lt;DATE(2018,9,24),2,10),
"عشش",IF(D721&lt;DATE(2019,11,30),2,10),
"كشك (تجاري/صناعي)",IF(D721&lt;DATE(2019,11,30),10,50),
"ردم",20,
0)))</f>
        <v>0</v>
      </c>
      <c r="AC721" s="1" cm="1">
        <f t="array" aca="1" ref="AC721" ca="1">IF(Y721&lt;DATE(2023,5,1),0,
IF(J721="زراعة",
K721*
(
INT((Y721-MAX(DATE(2023,5,1),D721))/365)
+
CEILING(MOD((Y721-MAX(DATE(2023,5,1),D721))/365,1),0.25)
)
*3,
IF(J721="ردم",
K721*20,
K721*
(
DATEDIF(MAX(DATE(2023,5,1),D721),Y721,"m")+1
)
*
_xlfn.SWITCH(J721,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21" s="1">
        <f t="shared" ca="1" si="71"/>
        <v>55</v>
      </c>
    </row>
    <row r="722" spans="1:30" ht="18.75" x14ac:dyDescent="0.25">
      <c r="A722" s="52">
        <v>658</v>
      </c>
      <c r="B722" s="6">
        <v>26</v>
      </c>
      <c r="C722" s="6">
        <v>2022</v>
      </c>
      <c r="D722" s="7" t="s">
        <v>861</v>
      </c>
      <c r="E722" s="12"/>
      <c r="F722" s="6"/>
      <c r="G722" s="63" t="s">
        <v>884</v>
      </c>
      <c r="H722" s="6"/>
      <c r="I722" s="68" t="s">
        <v>50</v>
      </c>
      <c r="J722" s="3" t="s">
        <v>27</v>
      </c>
      <c r="K722" s="6"/>
      <c r="L722" s="68" t="s">
        <v>672</v>
      </c>
      <c r="M722" s="7"/>
      <c r="N722" s="6"/>
      <c r="O722" s="9">
        <f>0.47*Table2[[#This Row],[قيمة المحضر]]</f>
        <v>0</v>
      </c>
      <c r="P722" s="9">
        <f>0.17*Table2[[#This Row],[قيمة المحضر]]</f>
        <v>0</v>
      </c>
      <c r="Q722" s="9">
        <f t="shared" ca="1" si="67"/>
        <v>0</v>
      </c>
      <c r="R722" s="3"/>
      <c r="S722" s="3"/>
      <c r="T722" s="9" t="str">
        <f t="shared" si="68"/>
        <v>-</v>
      </c>
      <c r="U722" s="3" t="s">
        <v>25</v>
      </c>
      <c r="V722" s="9" t="str">
        <f t="shared" si="69"/>
        <v>-</v>
      </c>
      <c r="W722" s="4"/>
      <c r="X722" s="38"/>
      <c r="Y722" s="1">
        <f t="shared" ca="1" si="70"/>
        <v>46162</v>
      </c>
      <c r="Z722" s="1" cm="1">
        <f t="array" ref="Z722">IF(D722&gt;DATE(2015,5,16),0,
K722*
(
INT((MIN(Y722,DATE(2015,5,16))-D722)/365)
+
CEILING(MOD((MIN(Y722,DATE(2015,5,16))-D722)/365,1),0.25)
)
*
_xlfn.SWITCH(J722,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22" s="1" cm="1">
        <f t="array" aca="1" ref="AA722" ca="1">IF(Y722&lt;DATE(2015,5,17),0,
K722*
(
INT((MIN(Y722,DATE(2018,9,23))-MAX(D722,DATE(2015,5,17)))/365)
+
CEILING(MOD((MIN(Y722,DATE(2018,9,23))-MAX(D722,DATE(2015,5,17)))/365,1),0.25)
)
*
_xlfn.SWITCH(J722,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22" s="1" cm="1">
        <f t="array" aca="1" ref="AB722" ca="1">IF(Y722&lt;DATE(2018,9,24),0,
IF(J722="زراعة",
K722*
(
INT((MIN(Y722,DATE(2023,4,30))-MAX(D722,DATE(2018,9,24)))/365)
+
CEILING(MOD((MIN(Y722,DATE(2023,4,30))-MAX(D722,DATE(2018,9,24)))/365,1),0.25)
)
*1,
K722*
(
DATEDIF(MAX(D722,DATE(2018,9,24)),MIN(Y722,DATE(2023,4,30)),"m")+1
)
*
_xlfn.SWITCH(J722,
"موقف/تندة",IF(D722&lt;DATE(2019,11,30),6,30),
"تشوينات",IF(D722&lt;DATE(2019,11,30),4,20),
"مشاتل",IF(D722&lt;DATE(2019,11,30),2,10),
"كافيتيريا",IF(D722&lt;DATE(2019,11,30),30,150),
"نوادي",IF(D722&lt;DATE(2019,11,30),6,30),
"رسو مراكب",IF(D722&lt;DATE(2019,11,30),2,10),
"مباني",IF(D722&lt;DATE(2018,9,24),2,10),
"عشش",IF(D722&lt;DATE(2019,11,30),2,10),
"كشك (تجاري/صناعي)",IF(D722&lt;DATE(2019,11,30),10,50),
"ردم",20,
0)))</f>
        <v>0</v>
      </c>
      <c r="AC722" s="1" cm="1">
        <f t="array" aca="1" ref="AC722" ca="1">IF(Y722&lt;DATE(2023,5,1),0,
IF(J722="زراعة",
K722*
(
INT((Y722-MAX(DATE(2023,5,1),D722))/365)
+
CEILING(MOD((Y722-MAX(DATE(2023,5,1),D722))/365,1),0.25)
)
*3,
IF(J722="ردم",
K722*20,
K722*
(
DATEDIF(MAX(DATE(2023,5,1),D722),Y722,"m")+1
)
*
_xlfn.SWITCH(J722,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22" s="1">
        <f t="shared" ca="1" si="71"/>
        <v>55</v>
      </c>
    </row>
    <row r="723" spans="1:30" ht="18.75" x14ac:dyDescent="0.25">
      <c r="A723" s="52">
        <v>659</v>
      </c>
      <c r="B723" s="6">
        <v>27</v>
      </c>
      <c r="C723" s="6">
        <v>2022</v>
      </c>
      <c r="D723" s="7" t="s">
        <v>861</v>
      </c>
      <c r="E723" s="12"/>
      <c r="F723" s="6"/>
      <c r="G723" s="63" t="s">
        <v>885</v>
      </c>
      <c r="H723" s="6"/>
      <c r="I723" s="68" t="s">
        <v>50</v>
      </c>
      <c r="J723" s="3" t="s">
        <v>27</v>
      </c>
      <c r="K723" s="6"/>
      <c r="L723" s="68" t="s">
        <v>672</v>
      </c>
      <c r="M723" s="7"/>
      <c r="N723" s="6"/>
      <c r="O723" s="9">
        <f>0.47*Table2[[#This Row],[قيمة المحضر]]</f>
        <v>0</v>
      </c>
      <c r="P723" s="9">
        <f>0.17*Table2[[#This Row],[قيمة المحضر]]</f>
        <v>0</v>
      </c>
      <c r="Q723" s="9">
        <f t="shared" ca="1" si="67"/>
        <v>0</v>
      </c>
      <c r="R723" s="3"/>
      <c r="S723" s="3"/>
      <c r="T723" s="9" t="str">
        <f t="shared" si="68"/>
        <v>-</v>
      </c>
      <c r="U723" s="3" t="s">
        <v>25</v>
      </c>
      <c r="V723" s="9" t="str">
        <f t="shared" si="69"/>
        <v>-</v>
      </c>
      <c r="W723" s="4"/>
      <c r="X723" s="38"/>
      <c r="Y723" s="1">
        <f t="shared" ca="1" si="70"/>
        <v>46162</v>
      </c>
      <c r="Z723" s="1" cm="1">
        <f t="array" ref="Z723">IF(D723&gt;DATE(2015,5,16),0,
K723*
(
INT((MIN(Y723,DATE(2015,5,16))-D723)/365)
+
CEILING(MOD((MIN(Y723,DATE(2015,5,16))-D723)/365,1),0.25)
)
*
_xlfn.SWITCH(J723,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23" s="1" cm="1">
        <f t="array" aca="1" ref="AA723" ca="1">IF(Y723&lt;DATE(2015,5,17),0,
K723*
(
INT((MIN(Y723,DATE(2018,9,23))-MAX(D723,DATE(2015,5,17)))/365)
+
CEILING(MOD((MIN(Y723,DATE(2018,9,23))-MAX(D723,DATE(2015,5,17)))/365,1),0.25)
)
*
_xlfn.SWITCH(J723,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23" s="1" cm="1">
        <f t="array" aca="1" ref="AB723" ca="1">IF(Y723&lt;DATE(2018,9,24),0,
IF(J723="زراعة",
K723*
(
INT((MIN(Y723,DATE(2023,4,30))-MAX(D723,DATE(2018,9,24)))/365)
+
CEILING(MOD((MIN(Y723,DATE(2023,4,30))-MAX(D723,DATE(2018,9,24)))/365,1),0.25)
)
*1,
K723*
(
DATEDIF(MAX(D723,DATE(2018,9,24)),MIN(Y723,DATE(2023,4,30)),"m")+1
)
*
_xlfn.SWITCH(J723,
"موقف/تندة",IF(D723&lt;DATE(2019,11,30),6,30),
"تشوينات",IF(D723&lt;DATE(2019,11,30),4,20),
"مشاتل",IF(D723&lt;DATE(2019,11,30),2,10),
"كافيتيريا",IF(D723&lt;DATE(2019,11,30),30,150),
"نوادي",IF(D723&lt;DATE(2019,11,30),6,30),
"رسو مراكب",IF(D723&lt;DATE(2019,11,30),2,10),
"مباني",IF(D723&lt;DATE(2018,9,24),2,10),
"عشش",IF(D723&lt;DATE(2019,11,30),2,10),
"كشك (تجاري/صناعي)",IF(D723&lt;DATE(2019,11,30),10,50),
"ردم",20,
0)))</f>
        <v>0</v>
      </c>
      <c r="AC723" s="1" cm="1">
        <f t="array" aca="1" ref="AC723" ca="1">IF(Y723&lt;DATE(2023,5,1),0,
IF(J723="زراعة",
K723*
(
INT((Y723-MAX(DATE(2023,5,1),D723))/365)
+
CEILING(MOD((Y723-MAX(DATE(2023,5,1),D723))/365,1),0.25)
)
*3,
IF(J723="ردم",
K723*20,
K723*
(
DATEDIF(MAX(DATE(2023,5,1),D723),Y723,"m")+1
)
*
_xlfn.SWITCH(J723,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23" s="1">
        <f t="shared" ca="1" si="71"/>
        <v>55</v>
      </c>
    </row>
    <row r="724" spans="1:30" ht="18.75" x14ac:dyDescent="0.25">
      <c r="A724" s="52">
        <v>660</v>
      </c>
      <c r="B724" s="6">
        <v>28</v>
      </c>
      <c r="C724" s="6">
        <v>2022</v>
      </c>
      <c r="D724" s="7" t="s">
        <v>861</v>
      </c>
      <c r="E724" s="12"/>
      <c r="F724" s="6"/>
      <c r="G724" s="63" t="s">
        <v>886</v>
      </c>
      <c r="H724" s="6"/>
      <c r="I724" s="68" t="s">
        <v>50</v>
      </c>
      <c r="J724" s="3" t="s">
        <v>27</v>
      </c>
      <c r="K724" s="6"/>
      <c r="L724" s="68" t="s">
        <v>672</v>
      </c>
      <c r="M724" s="7"/>
      <c r="N724" s="6"/>
      <c r="O724" s="9">
        <f>0.47*Table2[[#This Row],[قيمة المحضر]]</f>
        <v>0</v>
      </c>
      <c r="P724" s="9">
        <f>0.17*Table2[[#This Row],[قيمة المحضر]]</f>
        <v>0</v>
      </c>
      <c r="Q724" s="9">
        <f t="shared" ca="1" si="67"/>
        <v>0</v>
      </c>
      <c r="R724" s="3"/>
      <c r="S724" s="3"/>
      <c r="T724" s="9" t="str">
        <f t="shared" si="68"/>
        <v>-</v>
      </c>
      <c r="U724" s="3" t="s">
        <v>25</v>
      </c>
      <c r="V724" s="9" t="str">
        <f t="shared" si="69"/>
        <v>-</v>
      </c>
      <c r="W724" s="4"/>
      <c r="X724" s="38"/>
      <c r="Y724" s="1">
        <f t="shared" ca="1" si="70"/>
        <v>46162</v>
      </c>
      <c r="Z724" s="1" cm="1">
        <f t="array" ref="Z724">IF(D724&gt;DATE(2015,5,16),0,
K724*
(
INT((MIN(Y724,DATE(2015,5,16))-D724)/365)
+
CEILING(MOD((MIN(Y724,DATE(2015,5,16))-D724)/365,1),0.25)
)
*
_xlfn.SWITCH(J724,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24" s="1" cm="1">
        <f t="array" aca="1" ref="AA724" ca="1">IF(Y724&lt;DATE(2015,5,17),0,
K724*
(
INT((MIN(Y724,DATE(2018,9,23))-MAX(D724,DATE(2015,5,17)))/365)
+
CEILING(MOD((MIN(Y724,DATE(2018,9,23))-MAX(D724,DATE(2015,5,17)))/365,1),0.25)
)
*
_xlfn.SWITCH(J724,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24" s="1" cm="1">
        <f t="array" aca="1" ref="AB724" ca="1">IF(Y724&lt;DATE(2018,9,24),0,
IF(J724="زراعة",
K724*
(
INT((MIN(Y724,DATE(2023,4,30))-MAX(D724,DATE(2018,9,24)))/365)
+
CEILING(MOD((MIN(Y724,DATE(2023,4,30))-MAX(D724,DATE(2018,9,24)))/365,1),0.25)
)
*1,
K724*
(
DATEDIF(MAX(D724,DATE(2018,9,24)),MIN(Y724,DATE(2023,4,30)),"m")+1
)
*
_xlfn.SWITCH(J724,
"موقف/تندة",IF(D724&lt;DATE(2019,11,30),6,30),
"تشوينات",IF(D724&lt;DATE(2019,11,30),4,20),
"مشاتل",IF(D724&lt;DATE(2019,11,30),2,10),
"كافيتيريا",IF(D724&lt;DATE(2019,11,30),30,150),
"نوادي",IF(D724&lt;DATE(2019,11,30),6,30),
"رسو مراكب",IF(D724&lt;DATE(2019,11,30),2,10),
"مباني",IF(D724&lt;DATE(2018,9,24),2,10),
"عشش",IF(D724&lt;DATE(2019,11,30),2,10),
"كشك (تجاري/صناعي)",IF(D724&lt;DATE(2019,11,30),10,50),
"ردم",20,
0)))</f>
        <v>0</v>
      </c>
      <c r="AC724" s="1" cm="1">
        <f t="array" aca="1" ref="AC724" ca="1">IF(Y724&lt;DATE(2023,5,1),0,
IF(J724="زراعة",
K724*
(
INT((Y724-MAX(DATE(2023,5,1),D724))/365)
+
CEILING(MOD((Y724-MAX(DATE(2023,5,1),D724))/365,1),0.25)
)
*3,
IF(J724="ردم",
K724*20,
K724*
(
DATEDIF(MAX(DATE(2023,5,1),D724),Y724,"m")+1
)
*
_xlfn.SWITCH(J724,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24" s="1">
        <f t="shared" ca="1" si="71"/>
        <v>55</v>
      </c>
    </row>
    <row r="725" spans="1:30" ht="18.75" x14ac:dyDescent="0.25">
      <c r="A725" s="52">
        <v>661</v>
      </c>
      <c r="B725" s="6">
        <v>29</v>
      </c>
      <c r="C725" s="6">
        <v>2022</v>
      </c>
      <c r="D725" s="7" t="s">
        <v>861</v>
      </c>
      <c r="E725" s="12"/>
      <c r="F725" s="6"/>
      <c r="G725" s="63" t="s">
        <v>887</v>
      </c>
      <c r="H725" s="6"/>
      <c r="I725" s="68" t="s">
        <v>50</v>
      </c>
      <c r="J725" s="3" t="s">
        <v>27</v>
      </c>
      <c r="K725" s="6"/>
      <c r="L725" s="68" t="s">
        <v>672</v>
      </c>
      <c r="M725" s="7"/>
      <c r="N725" s="6"/>
      <c r="O725" s="9">
        <f>0.47*Table2[[#This Row],[قيمة المحضر]]</f>
        <v>0</v>
      </c>
      <c r="P725" s="9">
        <f>0.17*Table2[[#This Row],[قيمة المحضر]]</f>
        <v>0</v>
      </c>
      <c r="Q725" s="9">
        <f t="shared" ca="1" si="67"/>
        <v>0</v>
      </c>
      <c r="R725" s="3"/>
      <c r="S725" s="3"/>
      <c r="T725" s="9" t="str">
        <f t="shared" si="68"/>
        <v>-</v>
      </c>
      <c r="U725" s="3" t="s">
        <v>25</v>
      </c>
      <c r="V725" s="9" t="str">
        <f t="shared" si="69"/>
        <v>-</v>
      </c>
      <c r="W725" s="4"/>
      <c r="X725" s="38"/>
      <c r="Y725" s="1">
        <f t="shared" ca="1" si="70"/>
        <v>46162</v>
      </c>
      <c r="Z725" s="1" cm="1">
        <f t="array" ref="Z725">IF(D725&gt;DATE(2015,5,16),0,
K725*
(
INT((MIN(Y725,DATE(2015,5,16))-D725)/365)
+
CEILING(MOD((MIN(Y725,DATE(2015,5,16))-D725)/365,1),0.25)
)
*
_xlfn.SWITCH(J725,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25" s="1" cm="1">
        <f t="array" aca="1" ref="AA725" ca="1">IF(Y725&lt;DATE(2015,5,17),0,
K725*
(
INT((MIN(Y725,DATE(2018,9,23))-MAX(D725,DATE(2015,5,17)))/365)
+
CEILING(MOD((MIN(Y725,DATE(2018,9,23))-MAX(D725,DATE(2015,5,17)))/365,1),0.25)
)
*
_xlfn.SWITCH(J725,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25" s="1" cm="1">
        <f t="array" aca="1" ref="AB725" ca="1">IF(Y725&lt;DATE(2018,9,24),0,
IF(J725="زراعة",
K725*
(
INT((MIN(Y725,DATE(2023,4,30))-MAX(D725,DATE(2018,9,24)))/365)
+
CEILING(MOD((MIN(Y725,DATE(2023,4,30))-MAX(D725,DATE(2018,9,24)))/365,1),0.25)
)
*1,
K725*
(
DATEDIF(MAX(D725,DATE(2018,9,24)),MIN(Y725,DATE(2023,4,30)),"m")+1
)
*
_xlfn.SWITCH(J725,
"موقف/تندة",IF(D725&lt;DATE(2019,11,30),6,30),
"تشوينات",IF(D725&lt;DATE(2019,11,30),4,20),
"مشاتل",IF(D725&lt;DATE(2019,11,30),2,10),
"كافيتيريا",IF(D725&lt;DATE(2019,11,30),30,150),
"نوادي",IF(D725&lt;DATE(2019,11,30),6,30),
"رسو مراكب",IF(D725&lt;DATE(2019,11,30),2,10),
"مباني",IF(D725&lt;DATE(2018,9,24),2,10),
"عشش",IF(D725&lt;DATE(2019,11,30),2,10),
"كشك (تجاري/صناعي)",IF(D725&lt;DATE(2019,11,30),10,50),
"ردم",20,
0)))</f>
        <v>0</v>
      </c>
      <c r="AC725" s="1" cm="1">
        <f t="array" aca="1" ref="AC725" ca="1">IF(Y725&lt;DATE(2023,5,1),0,
IF(J725="زراعة",
K725*
(
INT((Y725-MAX(DATE(2023,5,1),D725))/365)
+
CEILING(MOD((Y725-MAX(DATE(2023,5,1),D725))/365,1),0.25)
)
*3,
IF(J725="ردم",
K725*20,
K725*
(
DATEDIF(MAX(DATE(2023,5,1),D725),Y725,"m")+1
)
*
_xlfn.SWITCH(J725,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25" s="1">
        <f t="shared" ca="1" si="71"/>
        <v>55</v>
      </c>
    </row>
    <row r="726" spans="1:30" ht="18.75" x14ac:dyDescent="0.25">
      <c r="A726" s="52">
        <v>662</v>
      </c>
      <c r="B726" s="6">
        <v>30</v>
      </c>
      <c r="C726" s="6">
        <v>2022</v>
      </c>
      <c r="D726" s="7" t="s">
        <v>861</v>
      </c>
      <c r="E726" s="12"/>
      <c r="F726" s="6"/>
      <c r="G726" s="63" t="s">
        <v>887</v>
      </c>
      <c r="H726" s="6"/>
      <c r="I726" s="68" t="s">
        <v>50</v>
      </c>
      <c r="J726" s="3" t="s">
        <v>27</v>
      </c>
      <c r="K726" s="6"/>
      <c r="L726" s="68" t="s">
        <v>672</v>
      </c>
      <c r="M726" s="7"/>
      <c r="N726" s="6"/>
      <c r="O726" s="9">
        <f>0.47*Table2[[#This Row],[قيمة المحضر]]</f>
        <v>0</v>
      </c>
      <c r="P726" s="9">
        <f>0.17*Table2[[#This Row],[قيمة المحضر]]</f>
        <v>0</v>
      </c>
      <c r="Q726" s="9">
        <f t="shared" ca="1" si="67"/>
        <v>0</v>
      </c>
      <c r="R726" s="3"/>
      <c r="S726" s="3"/>
      <c r="T726" s="9" t="str">
        <f t="shared" si="68"/>
        <v>-</v>
      </c>
      <c r="U726" s="3" t="s">
        <v>25</v>
      </c>
      <c r="V726" s="9" t="str">
        <f t="shared" si="69"/>
        <v>-</v>
      </c>
      <c r="W726" s="4"/>
      <c r="X726" s="38"/>
      <c r="Y726" s="1">
        <f t="shared" ca="1" si="70"/>
        <v>46162</v>
      </c>
      <c r="Z726" s="1" cm="1">
        <f t="array" ref="Z726">IF(D726&gt;DATE(2015,5,16),0,
K726*
(
INT((MIN(Y726,DATE(2015,5,16))-D726)/365)
+
CEILING(MOD((MIN(Y726,DATE(2015,5,16))-D726)/365,1),0.25)
)
*
_xlfn.SWITCH(J726,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26" s="1" cm="1">
        <f t="array" aca="1" ref="AA726" ca="1">IF(Y726&lt;DATE(2015,5,17),0,
K726*
(
INT((MIN(Y726,DATE(2018,9,23))-MAX(D726,DATE(2015,5,17)))/365)
+
CEILING(MOD((MIN(Y726,DATE(2018,9,23))-MAX(D726,DATE(2015,5,17)))/365,1),0.25)
)
*
_xlfn.SWITCH(J726,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26" s="1" cm="1">
        <f t="array" aca="1" ref="AB726" ca="1">IF(Y726&lt;DATE(2018,9,24),0,
IF(J726="زراعة",
K726*
(
INT((MIN(Y726,DATE(2023,4,30))-MAX(D726,DATE(2018,9,24)))/365)
+
CEILING(MOD((MIN(Y726,DATE(2023,4,30))-MAX(D726,DATE(2018,9,24)))/365,1),0.25)
)
*1,
K726*
(
DATEDIF(MAX(D726,DATE(2018,9,24)),MIN(Y726,DATE(2023,4,30)),"m")+1
)
*
_xlfn.SWITCH(J726,
"موقف/تندة",IF(D726&lt;DATE(2019,11,30),6,30),
"تشوينات",IF(D726&lt;DATE(2019,11,30),4,20),
"مشاتل",IF(D726&lt;DATE(2019,11,30),2,10),
"كافيتيريا",IF(D726&lt;DATE(2019,11,30),30,150),
"نوادي",IF(D726&lt;DATE(2019,11,30),6,30),
"رسو مراكب",IF(D726&lt;DATE(2019,11,30),2,10),
"مباني",IF(D726&lt;DATE(2018,9,24),2,10),
"عشش",IF(D726&lt;DATE(2019,11,30),2,10),
"كشك (تجاري/صناعي)",IF(D726&lt;DATE(2019,11,30),10,50),
"ردم",20,
0)))</f>
        <v>0</v>
      </c>
      <c r="AC726" s="1" cm="1">
        <f t="array" aca="1" ref="AC726" ca="1">IF(Y726&lt;DATE(2023,5,1),0,
IF(J726="زراعة",
K726*
(
INT((Y726-MAX(DATE(2023,5,1),D726))/365)
+
CEILING(MOD((Y726-MAX(DATE(2023,5,1),D726))/365,1),0.25)
)
*3,
IF(J726="ردم",
K726*20,
K726*
(
DATEDIF(MAX(DATE(2023,5,1),D726),Y726,"m")+1
)
*
_xlfn.SWITCH(J726,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26" s="1">
        <f t="shared" ca="1" si="71"/>
        <v>55</v>
      </c>
    </row>
    <row r="727" spans="1:30" ht="18.75" x14ac:dyDescent="0.25">
      <c r="A727" s="52">
        <v>663</v>
      </c>
      <c r="B727" s="3">
        <v>31</v>
      </c>
      <c r="C727" s="3">
        <v>2022</v>
      </c>
      <c r="D727" s="2" t="s">
        <v>861</v>
      </c>
      <c r="E727" s="11"/>
      <c r="F727" s="3"/>
      <c r="G727" s="63" t="s">
        <v>888</v>
      </c>
      <c r="H727" s="3"/>
      <c r="I727" s="68" t="s">
        <v>50</v>
      </c>
      <c r="J727" s="3" t="s">
        <v>28</v>
      </c>
      <c r="K727" s="3"/>
      <c r="L727" s="68" t="s">
        <v>672</v>
      </c>
      <c r="M727" s="2"/>
      <c r="N727" s="3"/>
      <c r="O727" s="9">
        <f>0.47*Table2[[#This Row],[قيمة المحضر]]</f>
        <v>0</v>
      </c>
      <c r="P727" s="9">
        <f>0.17*Table2[[#This Row],[قيمة المحضر]]</f>
        <v>0</v>
      </c>
      <c r="Q727" s="9">
        <f t="shared" ref="Q727:Q741" ca="1" si="72">Z727+AA727+AB727+AC727</f>
        <v>0</v>
      </c>
      <c r="R727" s="3"/>
      <c r="S727" s="3"/>
      <c r="T727" s="9" t="str">
        <f t="shared" ref="T727:T741" si="73">IF(R727="تم الحجز",Q727+O727+N727,"-")</f>
        <v>-</v>
      </c>
      <c r="U727" s="3"/>
      <c r="V727" s="9" t="str">
        <f t="shared" ref="V727:V741" si="74">IF(OR(U727="قائم",U727="قائم و سدد مقابل انتفاع"),"-",
IF(U727="تم رد الشئ لأصله",P727+Q727,
IF(U727="ازالة جبرية",N727+O727+Q727,"")))</f>
        <v/>
      </c>
      <c r="W727" s="4"/>
      <c r="X727" s="88"/>
      <c r="Y727" s="1">
        <f t="shared" ca="1" si="70"/>
        <v>46162</v>
      </c>
      <c r="Z727" s="1" cm="1">
        <f t="array" ref="Z727">IF(D727&gt;DATE(2015,5,16),0,
K727*
(
INT((MIN(Y727,DATE(2015,5,16))-D727)/365)
+
CEILING(MOD((MIN(Y727,DATE(2015,5,16))-D727)/365,1),0.25)
)
*
_xlfn.SWITCH(J727,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27" s="1" cm="1">
        <f t="array" aca="1" ref="AA727" ca="1">IF(Y727&lt;DATE(2015,5,17),0,
K727*
(
INT((MIN(Y727,DATE(2018,9,23))-MAX(D727,DATE(2015,5,17)))/365)
+
CEILING(MOD((MIN(Y727,DATE(2018,9,23))-MAX(D727,DATE(2015,5,17)))/365,1),0.25)
)
*
_xlfn.SWITCH(J727,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27" s="1" cm="1">
        <f t="array" aca="1" ref="AB727" ca="1">IF(Y727&lt;DATE(2018,9,24),0,
IF(J727="زراعة",
K727*
(
INT((MIN(Y727,DATE(2023,4,30))-MAX(D727,DATE(2018,9,24)))/365)
+
CEILING(MOD((MIN(Y727,DATE(2023,4,30))-MAX(D727,DATE(2018,9,24)))/365,1),0.25)
)
*1,
K727*
(
DATEDIF(MAX(D727,DATE(2018,9,24)),MIN(Y727,DATE(2023,4,30)),"m")+1
)
*
_xlfn.SWITCH(J727,
"موقف/تندة",IF(D727&lt;DATE(2019,11,30),6,30),
"تشوينات",IF(D727&lt;DATE(2019,11,30),4,20),
"مشاتل",IF(D727&lt;DATE(2019,11,30),2,10),
"كافيتيريا",IF(D727&lt;DATE(2019,11,30),30,150),
"نوادي",IF(D727&lt;DATE(2019,11,30),6,30),
"رسو مراكب",IF(D727&lt;DATE(2019,11,30),2,10),
"مباني",IF(D727&lt;DATE(2018,9,24),2,10),
"عشش",IF(D727&lt;DATE(2019,11,30),2,10),
"كشك (تجاري/صناعي)",IF(D727&lt;DATE(2019,11,30),10,50),
"ردم",20,
0)))</f>
        <v>0</v>
      </c>
      <c r="AC727" s="1" cm="1">
        <f t="array" aca="1" ref="AC727" ca="1">IF(Y727&lt;DATE(2023,5,1),0,
IF(J727="زراعة",
K727*
(
INT((Y727-MAX(DATE(2023,5,1),D727))/365)
+
CEILING(MOD((Y727-MAX(DATE(2023,5,1),D727))/365,1),0.25)
)
*3,
IF(J727="ردم",
K727*20,
K727*
(
DATEDIF(MAX(DATE(2023,5,1),D727),Y727,"m")+1
)
*
_xlfn.SWITCH(J727,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27" s="1">
        <f t="shared" ca="1" si="71"/>
        <v>55</v>
      </c>
    </row>
    <row r="728" spans="1:30" ht="18.75" x14ac:dyDescent="0.25">
      <c r="A728" s="52">
        <v>664</v>
      </c>
      <c r="B728" s="3">
        <v>32</v>
      </c>
      <c r="C728" s="3">
        <v>2022</v>
      </c>
      <c r="D728" s="2" t="s">
        <v>861</v>
      </c>
      <c r="E728" s="11"/>
      <c r="F728" s="3"/>
      <c r="G728" s="63" t="s">
        <v>889</v>
      </c>
      <c r="H728" s="3"/>
      <c r="I728" s="68" t="s">
        <v>50</v>
      </c>
      <c r="J728" s="3" t="s">
        <v>29</v>
      </c>
      <c r="K728" s="3"/>
      <c r="L728" s="68" t="s">
        <v>672</v>
      </c>
      <c r="M728" s="2"/>
      <c r="N728" s="3"/>
      <c r="O728" s="9">
        <f>0.47*Table2[[#This Row],[قيمة المحضر]]</f>
        <v>0</v>
      </c>
      <c r="P728" s="9">
        <f>0.17*Table2[[#This Row],[قيمة المحضر]]</f>
        <v>0</v>
      </c>
      <c r="Q728" s="9">
        <f t="shared" ca="1" si="72"/>
        <v>0</v>
      </c>
      <c r="R728" s="3"/>
      <c r="S728" s="3"/>
      <c r="T728" s="9" t="str">
        <f t="shared" si="73"/>
        <v>-</v>
      </c>
      <c r="U728" s="3"/>
      <c r="V728" s="9" t="str">
        <f t="shared" si="74"/>
        <v/>
      </c>
      <c r="W728" s="4"/>
      <c r="X728" s="88"/>
      <c r="Y728" s="1">
        <f t="shared" ca="1" si="70"/>
        <v>46162</v>
      </c>
      <c r="Z728" s="1" cm="1">
        <f t="array" ref="Z728">IF(D728&gt;DATE(2015,5,16),0,
K728*
(
INT((MIN(Y728,DATE(2015,5,16))-D728)/365)
+
CEILING(MOD((MIN(Y728,DATE(2015,5,16))-D728)/365,1),0.25)
)
*
_xlfn.SWITCH(J728,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28" s="1" cm="1">
        <f t="array" aca="1" ref="AA728" ca="1">IF(Y728&lt;DATE(2015,5,17),0,
K728*
(
INT((MIN(Y728,DATE(2018,9,23))-MAX(D728,DATE(2015,5,17)))/365)
+
CEILING(MOD((MIN(Y728,DATE(2018,9,23))-MAX(D728,DATE(2015,5,17)))/365,1),0.25)
)
*
_xlfn.SWITCH(J728,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28" s="1" cm="1">
        <f t="array" aca="1" ref="AB728" ca="1">IF(Y728&lt;DATE(2018,9,24),0,
IF(J728="زراعة",
K728*
(
INT((MIN(Y728,DATE(2023,4,30))-MAX(D728,DATE(2018,9,24)))/365)
+
CEILING(MOD((MIN(Y728,DATE(2023,4,30))-MAX(D728,DATE(2018,9,24)))/365,1),0.25)
)
*1,
K728*
(
DATEDIF(MAX(D728,DATE(2018,9,24)),MIN(Y728,DATE(2023,4,30)),"m")+1
)
*
_xlfn.SWITCH(J728,
"موقف/تندة",IF(D728&lt;DATE(2019,11,30),6,30),
"تشوينات",IF(D728&lt;DATE(2019,11,30),4,20),
"مشاتل",IF(D728&lt;DATE(2019,11,30),2,10),
"كافيتيريا",IF(D728&lt;DATE(2019,11,30),30,150),
"نوادي",IF(D728&lt;DATE(2019,11,30),6,30),
"رسو مراكب",IF(D728&lt;DATE(2019,11,30),2,10),
"مباني",IF(D728&lt;DATE(2018,9,24),2,10),
"عشش",IF(D728&lt;DATE(2019,11,30),2,10),
"كشك (تجاري/صناعي)",IF(D728&lt;DATE(2019,11,30),10,50),
"ردم",20,
0)))</f>
        <v>0</v>
      </c>
      <c r="AC728" s="1" cm="1">
        <f t="array" aca="1" ref="AC728" ca="1">IF(Y728&lt;DATE(2023,5,1),0,
IF(J728="زراعة",
K728*
(
INT((Y728-MAX(DATE(2023,5,1),D728))/365)
+
CEILING(MOD((Y728-MAX(DATE(2023,5,1),D728))/365,1),0.25)
)
*3,
IF(J728="ردم",
K728*20,
K728*
(
DATEDIF(MAX(DATE(2023,5,1),D728),Y728,"m")+1
)
*
_xlfn.SWITCH(J728,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28" s="1">
        <f t="shared" ca="1" si="71"/>
        <v>55</v>
      </c>
    </row>
    <row r="729" spans="1:30" ht="18.75" x14ac:dyDescent="0.25">
      <c r="A729" s="52">
        <v>665</v>
      </c>
      <c r="B729" s="3">
        <v>33</v>
      </c>
      <c r="C729" s="3">
        <v>2022</v>
      </c>
      <c r="D729" s="2" t="s">
        <v>861</v>
      </c>
      <c r="E729" s="11"/>
      <c r="F729" s="3"/>
      <c r="G729" s="63" t="s">
        <v>890</v>
      </c>
      <c r="H729" s="3"/>
      <c r="I729" s="63"/>
      <c r="J729" s="3"/>
      <c r="K729" s="3"/>
      <c r="L729" s="63"/>
      <c r="M729" s="2"/>
      <c r="N729" s="3"/>
      <c r="O729" s="9">
        <f>0.47*Table2[[#This Row],[قيمة المحضر]]</f>
        <v>0</v>
      </c>
      <c r="P729" s="9">
        <f>0.17*Table2[[#This Row],[قيمة المحضر]]</f>
        <v>0</v>
      </c>
      <c r="Q729" s="9">
        <f t="shared" ca="1" si="72"/>
        <v>0</v>
      </c>
      <c r="R729" s="3"/>
      <c r="S729" s="3"/>
      <c r="T729" s="9" t="str">
        <f t="shared" si="73"/>
        <v>-</v>
      </c>
      <c r="U729" s="3"/>
      <c r="V729" s="9" t="str">
        <f t="shared" si="74"/>
        <v/>
      </c>
      <c r="W729" s="4"/>
      <c r="X729" s="88"/>
      <c r="Y729" s="1">
        <f t="shared" ca="1" si="70"/>
        <v>46162</v>
      </c>
      <c r="Z729" s="1" cm="1">
        <f t="array" ref="Z729">IF(D729&gt;DATE(2015,5,16),0,
K729*
(
INT((MIN(Y729,DATE(2015,5,16))-D729)/365)
+
CEILING(MOD((MIN(Y729,DATE(2015,5,16))-D729)/365,1),0.25)
)
*
_xlfn.SWITCH(J729,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29" s="1" cm="1">
        <f t="array" aca="1" ref="AA729" ca="1">IF(Y729&lt;DATE(2015,5,17),0,
K729*
(
INT((MIN(Y729,DATE(2018,9,23))-MAX(D729,DATE(2015,5,17)))/365)
+
CEILING(MOD((MIN(Y729,DATE(2018,9,23))-MAX(D729,DATE(2015,5,17)))/365,1),0.25)
)
*
_xlfn.SWITCH(J729,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29" s="1" cm="1">
        <f t="array" aca="1" ref="AB729" ca="1">IF(Y729&lt;DATE(2018,9,24),0,
IF(J729="زراعة",
K729*
(
INT((MIN(Y729,DATE(2023,4,30))-MAX(D729,DATE(2018,9,24)))/365)
+
CEILING(MOD((MIN(Y729,DATE(2023,4,30))-MAX(D729,DATE(2018,9,24)))/365,1),0.25)
)
*1,
K729*
(
DATEDIF(MAX(D729,DATE(2018,9,24)),MIN(Y729,DATE(2023,4,30)),"m")+1
)
*
_xlfn.SWITCH(J729,
"موقف/تندة",IF(D729&lt;DATE(2019,11,30),6,30),
"تشوينات",IF(D729&lt;DATE(2019,11,30),4,20),
"مشاتل",IF(D729&lt;DATE(2019,11,30),2,10),
"كافيتيريا",IF(D729&lt;DATE(2019,11,30),30,150),
"نوادي",IF(D729&lt;DATE(2019,11,30),6,30),
"رسو مراكب",IF(D729&lt;DATE(2019,11,30),2,10),
"مباني",IF(D729&lt;DATE(2018,9,24),2,10),
"عشش",IF(D729&lt;DATE(2019,11,30),2,10),
"كشك (تجاري/صناعي)",IF(D729&lt;DATE(2019,11,30),10,50),
"ردم",20,
0)))</f>
        <v>0</v>
      </c>
      <c r="AC729" s="1" cm="1">
        <f t="array" aca="1" ref="AC729" ca="1">IF(Y729&lt;DATE(2023,5,1),0,
IF(J729="زراعة",
K729*
(
INT((Y729-MAX(DATE(2023,5,1),D729))/365)
+
CEILING(MOD((Y729-MAX(DATE(2023,5,1),D729))/365,1),0.25)
)
*3,
IF(J729="ردم",
K729*20,
K729*
(
DATEDIF(MAX(DATE(2023,5,1),D729),Y729,"m")+1
)
*
_xlfn.SWITCH(J729,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29" s="1">
        <f t="shared" ca="1" si="71"/>
        <v>55</v>
      </c>
    </row>
    <row r="730" spans="1:30" ht="18.75" x14ac:dyDescent="0.25">
      <c r="A730" s="52">
        <v>666</v>
      </c>
      <c r="B730" s="3">
        <v>34</v>
      </c>
      <c r="C730" s="3">
        <v>2022</v>
      </c>
      <c r="D730" s="2" t="s">
        <v>861</v>
      </c>
      <c r="E730" s="11"/>
      <c r="F730" s="3"/>
      <c r="G730" s="63" t="s">
        <v>891</v>
      </c>
      <c r="H730" s="3"/>
      <c r="I730" s="63" t="s">
        <v>104</v>
      </c>
      <c r="J730" s="3" t="s">
        <v>77</v>
      </c>
      <c r="K730" s="3"/>
      <c r="L730" s="63" t="s">
        <v>830</v>
      </c>
      <c r="M730" s="2"/>
      <c r="N730" s="3"/>
      <c r="O730" s="9">
        <f>0.47*Table2[[#This Row],[قيمة المحضر]]</f>
        <v>0</v>
      </c>
      <c r="P730" s="9">
        <f>0.17*Table2[[#This Row],[قيمة المحضر]]</f>
        <v>0</v>
      </c>
      <c r="Q730" s="9">
        <f t="shared" ca="1" si="72"/>
        <v>0</v>
      </c>
      <c r="R730" s="3"/>
      <c r="S730" s="3"/>
      <c r="T730" s="9" t="str">
        <f t="shared" si="73"/>
        <v>-</v>
      </c>
      <c r="U730" s="3"/>
      <c r="V730" s="9" t="str">
        <f t="shared" si="74"/>
        <v/>
      </c>
      <c r="W730" s="4"/>
      <c r="X730" s="88"/>
      <c r="Y730" s="1">
        <f t="shared" ca="1" si="70"/>
        <v>46162</v>
      </c>
      <c r="Z730" s="1" cm="1">
        <f t="array" ref="Z730">IF(D730&gt;DATE(2015,5,16),0,
K730*
(
INT((MIN(Y730,DATE(2015,5,16))-D730)/365)
+
CEILING(MOD((MIN(Y730,DATE(2015,5,16))-D730)/365,1),0.25)
)
*
_xlfn.SWITCH(J730,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30" s="1" cm="1">
        <f t="array" aca="1" ref="AA730" ca="1">IF(Y730&lt;DATE(2015,5,17),0,
K730*
(
INT((MIN(Y730,DATE(2018,9,23))-MAX(D730,DATE(2015,5,17)))/365)
+
CEILING(MOD((MIN(Y730,DATE(2018,9,23))-MAX(D730,DATE(2015,5,17)))/365,1),0.25)
)
*
_xlfn.SWITCH(J730,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30" s="1" cm="1">
        <f t="array" aca="1" ref="AB730" ca="1">IF(Y730&lt;DATE(2018,9,24),0,
IF(J730="زراعة",
K730*
(
INT((MIN(Y730,DATE(2023,4,30))-MAX(D730,DATE(2018,9,24)))/365)
+
CEILING(MOD((MIN(Y730,DATE(2023,4,30))-MAX(D730,DATE(2018,9,24)))/365,1),0.25)
)
*1,
K730*
(
DATEDIF(MAX(D730,DATE(2018,9,24)),MIN(Y730,DATE(2023,4,30)),"m")+1
)
*
_xlfn.SWITCH(J730,
"موقف/تندة",IF(D730&lt;DATE(2019,11,30),6,30),
"تشوينات",IF(D730&lt;DATE(2019,11,30),4,20),
"مشاتل",IF(D730&lt;DATE(2019,11,30),2,10),
"كافيتيريا",IF(D730&lt;DATE(2019,11,30),30,150),
"نوادي",IF(D730&lt;DATE(2019,11,30),6,30),
"رسو مراكب",IF(D730&lt;DATE(2019,11,30),2,10),
"مباني",IF(D730&lt;DATE(2018,9,24),2,10),
"عشش",IF(D730&lt;DATE(2019,11,30),2,10),
"كشك (تجاري/صناعي)",IF(D730&lt;DATE(2019,11,30),10,50),
"ردم",20,
0)))</f>
        <v>0</v>
      </c>
      <c r="AC730" s="1" cm="1">
        <f t="array" aca="1" ref="AC730" ca="1">IF(Y730&lt;DATE(2023,5,1),0,
IF(J730="زراعة",
K730*
(
INT((Y730-MAX(DATE(2023,5,1),D730))/365)
+
CEILING(MOD((Y730-MAX(DATE(2023,5,1),D730))/365,1),0.25)
)
*3,
IF(J730="ردم",
K730*20,
K730*
(
DATEDIF(MAX(DATE(2023,5,1),D730),Y730,"m")+1
)
*
_xlfn.SWITCH(J730,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30" s="1">
        <f t="shared" ca="1" si="71"/>
        <v>55</v>
      </c>
    </row>
    <row r="731" spans="1:30" ht="18.75" x14ac:dyDescent="0.25">
      <c r="A731" s="52">
        <v>667</v>
      </c>
      <c r="B731" s="3">
        <v>35</v>
      </c>
      <c r="C731" s="3">
        <v>2022</v>
      </c>
      <c r="D731" s="2" t="s">
        <v>861</v>
      </c>
      <c r="E731" s="11"/>
      <c r="F731" s="3"/>
      <c r="G731" s="63" t="s">
        <v>892</v>
      </c>
      <c r="H731" s="3"/>
      <c r="I731" s="63" t="s">
        <v>903</v>
      </c>
      <c r="J731" s="3" t="s">
        <v>27</v>
      </c>
      <c r="K731" s="3"/>
      <c r="L731" s="63" t="s">
        <v>830</v>
      </c>
      <c r="M731" s="2"/>
      <c r="N731" s="3"/>
      <c r="O731" s="9">
        <f>0.47*Table2[[#This Row],[قيمة المحضر]]</f>
        <v>0</v>
      </c>
      <c r="P731" s="9">
        <f>0.17*Table2[[#This Row],[قيمة المحضر]]</f>
        <v>0</v>
      </c>
      <c r="Q731" s="9">
        <f t="shared" ca="1" si="72"/>
        <v>0</v>
      </c>
      <c r="R731" s="3"/>
      <c r="S731" s="3"/>
      <c r="T731" s="9" t="str">
        <f t="shared" si="73"/>
        <v>-</v>
      </c>
      <c r="U731" s="3"/>
      <c r="V731" s="9" t="str">
        <f t="shared" si="74"/>
        <v/>
      </c>
      <c r="W731" s="4"/>
      <c r="X731" s="88"/>
      <c r="Y731" s="1">
        <f t="shared" ca="1" si="70"/>
        <v>46162</v>
      </c>
      <c r="Z731" s="1" cm="1">
        <f t="array" ref="Z731">IF(D731&gt;DATE(2015,5,16),0,
K731*
(
INT((MIN(Y731,DATE(2015,5,16))-D731)/365)
+
CEILING(MOD((MIN(Y731,DATE(2015,5,16))-D731)/365,1),0.25)
)
*
_xlfn.SWITCH(J731,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31" s="1" cm="1">
        <f t="array" aca="1" ref="AA731" ca="1">IF(Y731&lt;DATE(2015,5,17),0,
K731*
(
INT((MIN(Y731,DATE(2018,9,23))-MAX(D731,DATE(2015,5,17)))/365)
+
CEILING(MOD((MIN(Y731,DATE(2018,9,23))-MAX(D731,DATE(2015,5,17)))/365,1),0.25)
)
*
_xlfn.SWITCH(J731,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31" s="1" cm="1">
        <f t="array" aca="1" ref="AB731" ca="1">IF(Y731&lt;DATE(2018,9,24),0,
IF(J731="زراعة",
K731*
(
INT((MIN(Y731,DATE(2023,4,30))-MAX(D731,DATE(2018,9,24)))/365)
+
CEILING(MOD((MIN(Y731,DATE(2023,4,30))-MAX(D731,DATE(2018,9,24)))/365,1),0.25)
)
*1,
K731*
(
DATEDIF(MAX(D731,DATE(2018,9,24)),MIN(Y731,DATE(2023,4,30)),"m")+1
)
*
_xlfn.SWITCH(J731,
"موقف/تندة",IF(D731&lt;DATE(2019,11,30),6,30),
"تشوينات",IF(D731&lt;DATE(2019,11,30),4,20),
"مشاتل",IF(D731&lt;DATE(2019,11,30),2,10),
"كافيتيريا",IF(D731&lt;DATE(2019,11,30),30,150),
"نوادي",IF(D731&lt;DATE(2019,11,30),6,30),
"رسو مراكب",IF(D731&lt;DATE(2019,11,30),2,10),
"مباني",IF(D731&lt;DATE(2018,9,24),2,10),
"عشش",IF(D731&lt;DATE(2019,11,30),2,10),
"كشك (تجاري/صناعي)",IF(D731&lt;DATE(2019,11,30),10,50),
"ردم",20,
0)))</f>
        <v>0</v>
      </c>
      <c r="AC731" s="1" cm="1">
        <f t="array" aca="1" ref="AC731" ca="1">IF(Y731&lt;DATE(2023,5,1),0,
IF(J731="زراعة",
K731*
(
INT((Y731-MAX(DATE(2023,5,1),D731))/365)
+
CEILING(MOD((Y731-MAX(DATE(2023,5,1),D731))/365,1),0.25)
)
*3,
IF(J731="ردم",
K731*20,
K731*
(
DATEDIF(MAX(DATE(2023,5,1),D731),Y731,"m")+1
)
*
_xlfn.SWITCH(J731,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31" s="1">
        <f t="shared" ca="1" si="71"/>
        <v>55</v>
      </c>
    </row>
    <row r="732" spans="1:30" ht="18.75" x14ac:dyDescent="0.25">
      <c r="A732" s="52">
        <v>668</v>
      </c>
      <c r="B732" s="3">
        <v>36</v>
      </c>
      <c r="C732" s="3">
        <v>2022</v>
      </c>
      <c r="D732" s="2" t="s">
        <v>861</v>
      </c>
      <c r="E732" s="11"/>
      <c r="F732" s="3"/>
      <c r="G732" s="63" t="s">
        <v>893</v>
      </c>
      <c r="H732" s="3"/>
      <c r="I732" s="63" t="s">
        <v>436</v>
      </c>
      <c r="J732" s="3" t="s">
        <v>27</v>
      </c>
      <c r="K732" s="3"/>
      <c r="L732" s="63" t="s">
        <v>830</v>
      </c>
      <c r="M732" s="2"/>
      <c r="N732" s="3"/>
      <c r="O732" s="9">
        <f>0.47*Table2[[#This Row],[قيمة المحضر]]</f>
        <v>0</v>
      </c>
      <c r="P732" s="9">
        <f>0.17*Table2[[#This Row],[قيمة المحضر]]</f>
        <v>0</v>
      </c>
      <c r="Q732" s="9">
        <f t="shared" ca="1" si="72"/>
        <v>0</v>
      </c>
      <c r="R732" s="3"/>
      <c r="S732" s="3"/>
      <c r="T732" s="9" t="str">
        <f t="shared" si="73"/>
        <v>-</v>
      </c>
      <c r="U732" s="3"/>
      <c r="V732" s="9" t="str">
        <f t="shared" si="74"/>
        <v/>
      </c>
      <c r="W732" s="4"/>
      <c r="X732" s="88"/>
      <c r="Y732" s="1">
        <f t="shared" ca="1" si="70"/>
        <v>46162</v>
      </c>
      <c r="Z732" s="1" cm="1">
        <f t="array" ref="Z732">IF(D732&gt;DATE(2015,5,16),0,
K732*
(
INT((MIN(Y732,DATE(2015,5,16))-D732)/365)
+
CEILING(MOD((MIN(Y732,DATE(2015,5,16))-D732)/365,1),0.25)
)
*
_xlfn.SWITCH(J732,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32" s="1" cm="1">
        <f t="array" aca="1" ref="AA732" ca="1">IF(Y732&lt;DATE(2015,5,17),0,
K732*
(
INT((MIN(Y732,DATE(2018,9,23))-MAX(D732,DATE(2015,5,17)))/365)
+
CEILING(MOD((MIN(Y732,DATE(2018,9,23))-MAX(D732,DATE(2015,5,17)))/365,1),0.25)
)
*
_xlfn.SWITCH(J732,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32" s="1" cm="1">
        <f t="array" aca="1" ref="AB732" ca="1">IF(Y732&lt;DATE(2018,9,24),0,
IF(J732="زراعة",
K732*
(
INT((MIN(Y732,DATE(2023,4,30))-MAX(D732,DATE(2018,9,24)))/365)
+
CEILING(MOD((MIN(Y732,DATE(2023,4,30))-MAX(D732,DATE(2018,9,24)))/365,1),0.25)
)
*1,
K732*
(
DATEDIF(MAX(D732,DATE(2018,9,24)),MIN(Y732,DATE(2023,4,30)),"m")+1
)
*
_xlfn.SWITCH(J732,
"موقف/تندة",IF(D732&lt;DATE(2019,11,30),6,30),
"تشوينات",IF(D732&lt;DATE(2019,11,30),4,20),
"مشاتل",IF(D732&lt;DATE(2019,11,30),2,10),
"كافيتيريا",IF(D732&lt;DATE(2019,11,30),30,150),
"نوادي",IF(D732&lt;DATE(2019,11,30),6,30),
"رسو مراكب",IF(D732&lt;DATE(2019,11,30),2,10),
"مباني",IF(D732&lt;DATE(2018,9,24),2,10),
"عشش",IF(D732&lt;DATE(2019,11,30),2,10),
"كشك (تجاري/صناعي)",IF(D732&lt;DATE(2019,11,30),10,50),
"ردم",20,
0)))</f>
        <v>0</v>
      </c>
      <c r="AC732" s="1" cm="1">
        <f t="array" aca="1" ref="AC732" ca="1">IF(Y732&lt;DATE(2023,5,1),0,
IF(J732="زراعة",
K732*
(
INT((Y732-MAX(DATE(2023,5,1),D732))/365)
+
CEILING(MOD((Y732-MAX(DATE(2023,5,1),D732))/365,1),0.25)
)
*3,
IF(J732="ردم",
K732*20,
K732*
(
DATEDIF(MAX(DATE(2023,5,1),D732),Y732,"m")+1
)
*
_xlfn.SWITCH(J732,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32" s="1">
        <f t="shared" ca="1" si="71"/>
        <v>55</v>
      </c>
    </row>
    <row r="733" spans="1:30" ht="18.75" x14ac:dyDescent="0.25">
      <c r="A733" s="52">
        <v>669</v>
      </c>
      <c r="B733" s="3">
        <v>37</v>
      </c>
      <c r="C733" s="3">
        <v>2022</v>
      </c>
      <c r="D733" s="2" t="s">
        <v>861</v>
      </c>
      <c r="E733" s="11"/>
      <c r="F733" s="3"/>
      <c r="G733" s="63" t="s">
        <v>894</v>
      </c>
      <c r="H733" s="3"/>
      <c r="I733" s="63" t="s">
        <v>261</v>
      </c>
      <c r="J733" s="3" t="s">
        <v>146</v>
      </c>
      <c r="K733" s="3"/>
      <c r="L733" s="63" t="s">
        <v>830</v>
      </c>
      <c r="M733" s="2"/>
      <c r="N733" s="3"/>
      <c r="O733" s="9">
        <f>0.47*Table2[[#This Row],[قيمة المحضر]]</f>
        <v>0</v>
      </c>
      <c r="P733" s="9">
        <f>0.17*Table2[[#This Row],[قيمة المحضر]]</f>
        <v>0</v>
      </c>
      <c r="Q733" s="9">
        <f t="shared" ca="1" si="72"/>
        <v>0</v>
      </c>
      <c r="R733" s="3"/>
      <c r="S733" s="3"/>
      <c r="T733" s="9" t="str">
        <f t="shared" si="73"/>
        <v>-</v>
      </c>
      <c r="U733" s="3"/>
      <c r="V733" s="9" t="str">
        <f t="shared" si="74"/>
        <v/>
      </c>
      <c r="W733" s="4"/>
      <c r="X733" s="88"/>
      <c r="Y733" s="1">
        <f t="shared" ca="1" si="70"/>
        <v>46162</v>
      </c>
      <c r="Z733" s="1" cm="1">
        <f t="array" ref="Z733">IF(D733&gt;DATE(2015,5,16),0,
K733*
(
INT((MIN(Y733,DATE(2015,5,16))-D733)/365)
+
CEILING(MOD((MIN(Y733,DATE(2015,5,16))-D733)/365,1),0.25)
)
*
_xlfn.SWITCH(J733,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33" s="1" cm="1">
        <f t="array" aca="1" ref="AA733" ca="1">IF(Y733&lt;DATE(2015,5,17),0,
K733*
(
INT((MIN(Y733,DATE(2018,9,23))-MAX(D733,DATE(2015,5,17)))/365)
+
CEILING(MOD((MIN(Y733,DATE(2018,9,23))-MAX(D733,DATE(2015,5,17)))/365,1),0.25)
)
*
_xlfn.SWITCH(J733,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33" s="1" cm="1">
        <f t="array" aca="1" ref="AB733" ca="1">IF(Y733&lt;DATE(2018,9,24),0,
IF(J733="زراعة",
K733*
(
INT((MIN(Y733,DATE(2023,4,30))-MAX(D733,DATE(2018,9,24)))/365)
+
CEILING(MOD((MIN(Y733,DATE(2023,4,30))-MAX(D733,DATE(2018,9,24)))/365,1),0.25)
)
*1,
K733*
(
DATEDIF(MAX(D733,DATE(2018,9,24)),MIN(Y733,DATE(2023,4,30)),"m")+1
)
*
_xlfn.SWITCH(J733,
"موقف/تندة",IF(D733&lt;DATE(2019,11,30),6,30),
"تشوينات",IF(D733&lt;DATE(2019,11,30),4,20),
"مشاتل",IF(D733&lt;DATE(2019,11,30),2,10),
"كافيتيريا",IF(D733&lt;DATE(2019,11,30),30,150),
"نوادي",IF(D733&lt;DATE(2019,11,30),6,30),
"رسو مراكب",IF(D733&lt;DATE(2019,11,30),2,10),
"مباني",IF(D733&lt;DATE(2018,9,24),2,10),
"عشش",IF(D733&lt;DATE(2019,11,30),2,10),
"كشك (تجاري/صناعي)",IF(D733&lt;DATE(2019,11,30),10,50),
"ردم",20,
0)))</f>
        <v>0</v>
      </c>
      <c r="AC733" s="1" cm="1">
        <f t="array" aca="1" ref="AC733" ca="1">IF(Y733&lt;DATE(2023,5,1),0,
IF(J733="زراعة",
K733*
(
INT((Y733-MAX(DATE(2023,5,1),D733))/365)
+
CEILING(MOD((Y733-MAX(DATE(2023,5,1),D733))/365,1),0.25)
)
*3,
IF(J733="ردم",
K733*20,
K733*
(
DATEDIF(MAX(DATE(2023,5,1),D733),Y733,"m")+1
)
*
_xlfn.SWITCH(J733,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33" s="1">
        <f t="shared" ca="1" si="71"/>
        <v>55</v>
      </c>
    </row>
    <row r="734" spans="1:30" ht="18.75" x14ac:dyDescent="0.25">
      <c r="A734" s="52">
        <v>670</v>
      </c>
      <c r="B734" s="3">
        <v>38</v>
      </c>
      <c r="C734" s="3">
        <v>2022</v>
      </c>
      <c r="D734" s="2" t="s">
        <v>861</v>
      </c>
      <c r="E734" s="11"/>
      <c r="F734" s="3"/>
      <c r="G734" s="63" t="s">
        <v>895</v>
      </c>
      <c r="H734" s="3"/>
      <c r="I734" s="63" t="s">
        <v>436</v>
      </c>
      <c r="J734" s="3" t="s">
        <v>438</v>
      </c>
      <c r="K734" s="3"/>
      <c r="L734" s="63" t="s">
        <v>830</v>
      </c>
      <c r="M734" s="2"/>
      <c r="N734" s="3"/>
      <c r="O734" s="9">
        <f>0.47*Table2[[#This Row],[قيمة المحضر]]</f>
        <v>0</v>
      </c>
      <c r="P734" s="9">
        <f>0.17*Table2[[#This Row],[قيمة المحضر]]</f>
        <v>0</v>
      </c>
      <c r="Q734" s="9">
        <f t="shared" ca="1" si="72"/>
        <v>0</v>
      </c>
      <c r="R734" s="3"/>
      <c r="S734" s="3"/>
      <c r="T734" s="9" t="str">
        <f t="shared" si="73"/>
        <v>-</v>
      </c>
      <c r="U734" s="3"/>
      <c r="V734" s="9" t="str">
        <f t="shared" si="74"/>
        <v/>
      </c>
      <c r="W734" s="4"/>
      <c r="X734" s="88"/>
      <c r="Y734" s="1">
        <f t="shared" ca="1" si="70"/>
        <v>46162</v>
      </c>
      <c r="Z734" s="1" cm="1">
        <f t="array" ref="Z734">IF(D734&gt;DATE(2015,5,16),0,
K734*
(
INT((MIN(Y734,DATE(2015,5,16))-D734)/365)
+
CEILING(MOD((MIN(Y734,DATE(2015,5,16))-D734)/365,1),0.25)
)
*
_xlfn.SWITCH(J734,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34" s="1" cm="1">
        <f t="array" aca="1" ref="AA734" ca="1">IF(Y734&lt;DATE(2015,5,17),0,
K734*
(
INT((MIN(Y734,DATE(2018,9,23))-MAX(D734,DATE(2015,5,17)))/365)
+
CEILING(MOD((MIN(Y734,DATE(2018,9,23))-MAX(D734,DATE(2015,5,17)))/365,1),0.25)
)
*
_xlfn.SWITCH(J734,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34" s="1" cm="1">
        <f t="array" aca="1" ref="AB734" ca="1">IF(Y734&lt;DATE(2018,9,24),0,
IF(J734="زراعة",
K734*
(
INT((MIN(Y734,DATE(2023,4,30))-MAX(D734,DATE(2018,9,24)))/365)
+
CEILING(MOD((MIN(Y734,DATE(2023,4,30))-MAX(D734,DATE(2018,9,24)))/365,1),0.25)
)
*1,
K734*
(
DATEDIF(MAX(D734,DATE(2018,9,24)),MIN(Y734,DATE(2023,4,30)),"m")+1
)
*
_xlfn.SWITCH(J734,
"موقف/تندة",IF(D734&lt;DATE(2019,11,30),6,30),
"تشوينات",IF(D734&lt;DATE(2019,11,30),4,20),
"مشاتل",IF(D734&lt;DATE(2019,11,30),2,10),
"كافيتيريا",IF(D734&lt;DATE(2019,11,30),30,150),
"نوادي",IF(D734&lt;DATE(2019,11,30),6,30),
"رسو مراكب",IF(D734&lt;DATE(2019,11,30),2,10),
"مباني",IF(D734&lt;DATE(2018,9,24),2,10),
"عشش",IF(D734&lt;DATE(2019,11,30),2,10),
"كشك (تجاري/صناعي)",IF(D734&lt;DATE(2019,11,30),10,50),
"ردم",20,
0)))</f>
        <v>0</v>
      </c>
      <c r="AC734" s="1" cm="1">
        <f t="array" aca="1" ref="AC734" ca="1">IF(Y734&lt;DATE(2023,5,1),0,
IF(J734="زراعة",
K734*
(
INT((Y734-MAX(DATE(2023,5,1),D734))/365)
+
CEILING(MOD((Y734-MAX(DATE(2023,5,1),D734))/365,1),0.25)
)
*3,
IF(J734="ردم",
K734*20,
K734*
(
DATEDIF(MAX(DATE(2023,5,1),D734),Y734,"m")+1
)
*
_xlfn.SWITCH(J734,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34" s="1">
        <f t="shared" ca="1" si="71"/>
        <v>55</v>
      </c>
    </row>
    <row r="735" spans="1:30" ht="18.75" x14ac:dyDescent="0.25">
      <c r="A735" s="52">
        <v>671</v>
      </c>
      <c r="B735" s="3">
        <v>39</v>
      </c>
      <c r="C735" s="3">
        <v>2022</v>
      </c>
      <c r="D735" s="2" t="s">
        <v>861</v>
      </c>
      <c r="E735" s="11"/>
      <c r="F735" s="3"/>
      <c r="G735" s="63" t="s">
        <v>896</v>
      </c>
      <c r="H735" s="3"/>
      <c r="I735" s="63" t="s">
        <v>50</v>
      </c>
      <c r="J735" s="3" t="s">
        <v>29</v>
      </c>
      <c r="K735" s="3"/>
      <c r="L735" s="63" t="s">
        <v>672</v>
      </c>
      <c r="M735" s="2"/>
      <c r="N735" s="3"/>
      <c r="O735" s="9">
        <f>0.47*Table2[[#This Row],[قيمة المحضر]]</f>
        <v>0</v>
      </c>
      <c r="P735" s="9">
        <f>0.17*Table2[[#This Row],[قيمة المحضر]]</f>
        <v>0</v>
      </c>
      <c r="Q735" s="9">
        <f t="shared" ca="1" si="72"/>
        <v>0</v>
      </c>
      <c r="R735" s="3"/>
      <c r="S735" s="3"/>
      <c r="T735" s="9" t="str">
        <f t="shared" si="73"/>
        <v>-</v>
      </c>
      <c r="U735" s="3"/>
      <c r="V735" s="9" t="str">
        <f t="shared" si="74"/>
        <v/>
      </c>
      <c r="W735" s="4"/>
      <c r="X735" s="88"/>
      <c r="Y735" s="1">
        <f t="shared" ca="1" si="70"/>
        <v>46162</v>
      </c>
      <c r="Z735" s="1" cm="1">
        <f t="array" ref="Z735">IF(D735&gt;DATE(2015,5,16),0,
K735*
(
INT((MIN(Y735,DATE(2015,5,16))-D735)/365)
+
CEILING(MOD((MIN(Y735,DATE(2015,5,16))-D735)/365,1),0.25)
)
*
_xlfn.SWITCH(J735,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35" s="1" cm="1">
        <f t="array" aca="1" ref="AA735" ca="1">IF(Y735&lt;DATE(2015,5,17),0,
K735*
(
INT((MIN(Y735,DATE(2018,9,23))-MAX(D735,DATE(2015,5,17)))/365)
+
CEILING(MOD((MIN(Y735,DATE(2018,9,23))-MAX(D735,DATE(2015,5,17)))/365,1),0.25)
)
*
_xlfn.SWITCH(J735,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35" s="1" cm="1">
        <f t="array" aca="1" ref="AB735" ca="1">IF(Y735&lt;DATE(2018,9,24),0,
IF(J735="زراعة",
K735*
(
INT((MIN(Y735,DATE(2023,4,30))-MAX(D735,DATE(2018,9,24)))/365)
+
CEILING(MOD((MIN(Y735,DATE(2023,4,30))-MAX(D735,DATE(2018,9,24)))/365,1),0.25)
)
*1,
K735*
(
DATEDIF(MAX(D735,DATE(2018,9,24)),MIN(Y735,DATE(2023,4,30)),"m")+1
)
*
_xlfn.SWITCH(J735,
"موقف/تندة",IF(D735&lt;DATE(2019,11,30),6,30),
"تشوينات",IF(D735&lt;DATE(2019,11,30),4,20),
"مشاتل",IF(D735&lt;DATE(2019,11,30),2,10),
"كافيتيريا",IF(D735&lt;DATE(2019,11,30),30,150),
"نوادي",IF(D735&lt;DATE(2019,11,30),6,30),
"رسو مراكب",IF(D735&lt;DATE(2019,11,30),2,10),
"مباني",IF(D735&lt;DATE(2018,9,24),2,10),
"عشش",IF(D735&lt;DATE(2019,11,30),2,10),
"كشك (تجاري/صناعي)",IF(D735&lt;DATE(2019,11,30),10,50),
"ردم",20,
0)))</f>
        <v>0</v>
      </c>
      <c r="AC735" s="1" cm="1">
        <f t="array" aca="1" ref="AC735" ca="1">IF(Y735&lt;DATE(2023,5,1),0,
IF(J735="زراعة",
K735*
(
INT((Y735-MAX(DATE(2023,5,1),D735))/365)
+
CEILING(MOD((Y735-MAX(DATE(2023,5,1),D735))/365,1),0.25)
)
*3,
IF(J735="ردم",
K735*20,
K735*
(
DATEDIF(MAX(DATE(2023,5,1),D735),Y735,"m")+1
)
*
_xlfn.SWITCH(J735,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35" s="1">
        <f t="shared" ca="1" si="71"/>
        <v>55</v>
      </c>
    </row>
    <row r="736" spans="1:30" ht="18.75" x14ac:dyDescent="0.25">
      <c r="A736" s="52">
        <v>672</v>
      </c>
      <c r="B736" s="3">
        <v>40</v>
      </c>
      <c r="C736" s="3">
        <v>2022</v>
      </c>
      <c r="D736" s="2" t="s">
        <v>861</v>
      </c>
      <c r="E736" s="11"/>
      <c r="F736" s="3"/>
      <c r="G736" s="63" t="s">
        <v>897</v>
      </c>
      <c r="H736" s="3"/>
      <c r="I736" s="63" t="s">
        <v>103</v>
      </c>
      <c r="J736" s="3" t="s">
        <v>77</v>
      </c>
      <c r="K736" s="3"/>
      <c r="L736" s="63" t="s">
        <v>830</v>
      </c>
      <c r="M736" s="2"/>
      <c r="N736" s="3"/>
      <c r="O736" s="9">
        <f>0.47*Table2[[#This Row],[قيمة المحضر]]</f>
        <v>0</v>
      </c>
      <c r="P736" s="9">
        <f>0.17*Table2[[#This Row],[قيمة المحضر]]</f>
        <v>0</v>
      </c>
      <c r="Q736" s="9">
        <f t="shared" ca="1" si="72"/>
        <v>0</v>
      </c>
      <c r="R736" s="3"/>
      <c r="S736" s="3"/>
      <c r="T736" s="9" t="str">
        <f t="shared" si="73"/>
        <v>-</v>
      </c>
      <c r="U736" s="3"/>
      <c r="V736" s="9" t="str">
        <f t="shared" si="74"/>
        <v/>
      </c>
      <c r="W736" s="4"/>
      <c r="X736" s="88"/>
      <c r="Y736" s="1">
        <f t="shared" ca="1" si="70"/>
        <v>46162</v>
      </c>
      <c r="Z736" s="1" cm="1">
        <f t="array" ref="Z736">IF(D736&gt;DATE(2015,5,16),0,
K736*
(
INT((MIN(Y736,DATE(2015,5,16))-D736)/365)
+
CEILING(MOD((MIN(Y736,DATE(2015,5,16))-D736)/365,1),0.25)
)
*
_xlfn.SWITCH(J736,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36" s="1" cm="1">
        <f t="array" aca="1" ref="AA736" ca="1">IF(Y736&lt;DATE(2015,5,17),0,
K736*
(
INT((MIN(Y736,DATE(2018,9,23))-MAX(D736,DATE(2015,5,17)))/365)
+
CEILING(MOD((MIN(Y736,DATE(2018,9,23))-MAX(D736,DATE(2015,5,17)))/365,1),0.25)
)
*
_xlfn.SWITCH(J736,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36" s="1" cm="1">
        <f t="array" aca="1" ref="AB736" ca="1">IF(Y736&lt;DATE(2018,9,24),0,
IF(J736="زراعة",
K736*
(
INT((MIN(Y736,DATE(2023,4,30))-MAX(D736,DATE(2018,9,24)))/365)
+
CEILING(MOD((MIN(Y736,DATE(2023,4,30))-MAX(D736,DATE(2018,9,24)))/365,1),0.25)
)
*1,
K736*
(
DATEDIF(MAX(D736,DATE(2018,9,24)),MIN(Y736,DATE(2023,4,30)),"m")+1
)
*
_xlfn.SWITCH(J736,
"موقف/تندة",IF(D736&lt;DATE(2019,11,30),6,30),
"تشوينات",IF(D736&lt;DATE(2019,11,30),4,20),
"مشاتل",IF(D736&lt;DATE(2019,11,30),2,10),
"كافيتيريا",IF(D736&lt;DATE(2019,11,30),30,150),
"نوادي",IF(D736&lt;DATE(2019,11,30),6,30),
"رسو مراكب",IF(D736&lt;DATE(2019,11,30),2,10),
"مباني",IF(D736&lt;DATE(2018,9,24),2,10),
"عشش",IF(D736&lt;DATE(2019,11,30),2,10),
"كشك (تجاري/صناعي)",IF(D736&lt;DATE(2019,11,30),10,50),
"ردم",20,
0)))</f>
        <v>0</v>
      </c>
      <c r="AC736" s="1" cm="1">
        <f t="array" aca="1" ref="AC736" ca="1">IF(Y736&lt;DATE(2023,5,1),0,
IF(J736="زراعة",
K736*
(
INT((Y736-MAX(DATE(2023,5,1),D736))/365)
+
CEILING(MOD((Y736-MAX(DATE(2023,5,1),D736))/365,1),0.25)
)
*3,
IF(J736="ردم",
K736*20,
K736*
(
DATEDIF(MAX(DATE(2023,5,1),D736),Y736,"m")+1
)
*
_xlfn.SWITCH(J736,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36" s="1">
        <f t="shared" ca="1" si="71"/>
        <v>55</v>
      </c>
    </row>
    <row r="737" spans="1:30" ht="18.75" x14ac:dyDescent="0.25">
      <c r="A737" s="52">
        <v>673</v>
      </c>
      <c r="B737" s="3">
        <v>41</v>
      </c>
      <c r="C737" s="3">
        <v>2022</v>
      </c>
      <c r="D737" s="2" t="s">
        <v>861</v>
      </c>
      <c r="E737" s="11"/>
      <c r="F737" s="3"/>
      <c r="G737" s="63" t="s">
        <v>898</v>
      </c>
      <c r="H737" s="3"/>
      <c r="I737" s="63" t="s">
        <v>904</v>
      </c>
      <c r="J737" s="3" t="s">
        <v>146</v>
      </c>
      <c r="K737" s="3"/>
      <c r="L737" s="63" t="s">
        <v>830</v>
      </c>
      <c r="M737" s="2"/>
      <c r="N737" s="3"/>
      <c r="O737" s="9">
        <f>0.47*Table2[[#This Row],[قيمة المحضر]]</f>
        <v>0</v>
      </c>
      <c r="P737" s="9">
        <f>0.17*Table2[[#This Row],[قيمة المحضر]]</f>
        <v>0</v>
      </c>
      <c r="Q737" s="9">
        <f t="shared" ca="1" si="72"/>
        <v>0</v>
      </c>
      <c r="R737" s="3"/>
      <c r="S737" s="3"/>
      <c r="T737" s="9" t="str">
        <f t="shared" si="73"/>
        <v>-</v>
      </c>
      <c r="U737" s="3"/>
      <c r="V737" s="9" t="str">
        <f t="shared" si="74"/>
        <v/>
      </c>
      <c r="W737" s="4"/>
      <c r="X737" s="88"/>
      <c r="Y737" s="1">
        <f t="shared" ca="1" si="70"/>
        <v>46162</v>
      </c>
      <c r="Z737" s="1" cm="1">
        <f t="array" ref="Z737">IF(D737&gt;DATE(2015,5,16),0,
K737*
(
INT((MIN(Y737,DATE(2015,5,16))-D737)/365)
+
CEILING(MOD((MIN(Y737,DATE(2015,5,16))-D737)/365,1),0.25)
)
*
_xlfn.SWITCH(J737,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37" s="1" cm="1">
        <f t="array" aca="1" ref="AA737" ca="1">IF(Y737&lt;DATE(2015,5,17),0,
K737*
(
INT((MIN(Y737,DATE(2018,9,23))-MAX(D737,DATE(2015,5,17)))/365)
+
CEILING(MOD((MIN(Y737,DATE(2018,9,23))-MAX(D737,DATE(2015,5,17)))/365,1),0.25)
)
*
_xlfn.SWITCH(J737,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37" s="1" cm="1">
        <f t="array" aca="1" ref="AB737" ca="1">IF(Y737&lt;DATE(2018,9,24),0,
IF(J737="زراعة",
K737*
(
INT((MIN(Y737,DATE(2023,4,30))-MAX(D737,DATE(2018,9,24)))/365)
+
CEILING(MOD((MIN(Y737,DATE(2023,4,30))-MAX(D737,DATE(2018,9,24)))/365,1),0.25)
)
*1,
K737*
(
DATEDIF(MAX(D737,DATE(2018,9,24)),MIN(Y737,DATE(2023,4,30)),"m")+1
)
*
_xlfn.SWITCH(J737,
"موقف/تندة",IF(D737&lt;DATE(2019,11,30),6,30),
"تشوينات",IF(D737&lt;DATE(2019,11,30),4,20),
"مشاتل",IF(D737&lt;DATE(2019,11,30),2,10),
"كافيتيريا",IF(D737&lt;DATE(2019,11,30),30,150),
"نوادي",IF(D737&lt;DATE(2019,11,30),6,30),
"رسو مراكب",IF(D737&lt;DATE(2019,11,30),2,10),
"مباني",IF(D737&lt;DATE(2018,9,24),2,10),
"عشش",IF(D737&lt;DATE(2019,11,30),2,10),
"كشك (تجاري/صناعي)",IF(D737&lt;DATE(2019,11,30),10,50),
"ردم",20,
0)))</f>
        <v>0</v>
      </c>
      <c r="AC737" s="1" cm="1">
        <f t="array" aca="1" ref="AC737" ca="1">IF(Y737&lt;DATE(2023,5,1),0,
IF(J737="زراعة",
K737*
(
INT((Y737-MAX(DATE(2023,5,1),D737))/365)
+
CEILING(MOD((Y737-MAX(DATE(2023,5,1),D737))/365,1),0.25)
)
*3,
IF(J737="ردم",
K737*20,
K737*
(
DATEDIF(MAX(DATE(2023,5,1),D737),Y737,"m")+1
)
*
_xlfn.SWITCH(J737,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37" s="1">
        <f t="shared" ca="1" si="71"/>
        <v>55</v>
      </c>
    </row>
    <row r="738" spans="1:30" ht="18.75" x14ac:dyDescent="0.25">
      <c r="A738" s="52">
        <v>674</v>
      </c>
      <c r="B738" s="3">
        <v>42</v>
      </c>
      <c r="C738" s="3">
        <v>2022</v>
      </c>
      <c r="D738" s="2" t="s">
        <v>861</v>
      </c>
      <c r="E738" s="11"/>
      <c r="F738" s="3"/>
      <c r="G738" s="63" t="s">
        <v>899</v>
      </c>
      <c r="H738" s="3"/>
      <c r="I738" s="63"/>
      <c r="J738" s="3" t="s">
        <v>77</v>
      </c>
      <c r="K738" s="3"/>
      <c r="L738" s="63" t="s">
        <v>830</v>
      </c>
      <c r="M738" s="2"/>
      <c r="N738" s="3"/>
      <c r="O738" s="9">
        <f>0.47*Table2[[#This Row],[قيمة المحضر]]</f>
        <v>0</v>
      </c>
      <c r="P738" s="9">
        <f>0.17*Table2[[#This Row],[قيمة المحضر]]</f>
        <v>0</v>
      </c>
      <c r="Q738" s="9">
        <f t="shared" ca="1" si="72"/>
        <v>0</v>
      </c>
      <c r="R738" s="3"/>
      <c r="S738" s="3"/>
      <c r="T738" s="9" t="str">
        <f t="shared" si="73"/>
        <v>-</v>
      </c>
      <c r="U738" s="3"/>
      <c r="V738" s="9" t="str">
        <f t="shared" si="74"/>
        <v/>
      </c>
      <c r="W738" s="4"/>
      <c r="X738" s="88"/>
      <c r="Y738" s="1">
        <f t="shared" ca="1" si="70"/>
        <v>46162</v>
      </c>
      <c r="Z738" s="1" cm="1">
        <f t="array" ref="Z738">IF(D738&gt;DATE(2015,5,16),0,
K738*
(
INT((MIN(Y738,DATE(2015,5,16))-D738)/365)
+
CEILING(MOD((MIN(Y738,DATE(2015,5,16))-D738)/365,1),0.25)
)
*
_xlfn.SWITCH(J738,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38" s="1" cm="1">
        <f t="array" aca="1" ref="AA738" ca="1">IF(Y738&lt;DATE(2015,5,17),0,
K738*
(
INT((MIN(Y738,DATE(2018,9,23))-MAX(D738,DATE(2015,5,17)))/365)
+
CEILING(MOD((MIN(Y738,DATE(2018,9,23))-MAX(D738,DATE(2015,5,17)))/365,1),0.25)
)
*
_xlfn.SWITCH(J738,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38" s="1" cm="1">
        <f t="array" aca="1" ref="AB738" ca="1">IF(Y738&lt;DATE(2018,9,24),0,
IF(J738="زراعة",
K738*
(
INT((MIN(Y738,DATE(2023,4,30))-MAX(D738,DATE(2018,9,24)))/365)
+
CEILING(MOD((MIN(Y738,DATE(2023,4,30))-MAX(D738,DATE(2018,9,24)))/365,1),0.25)
)
*1,
K738*
(
DATEDIF(MAX(D738,DATE(2018,9,24)),MIN(Y738,DATE(2023,4,30)),"m")+1
)
*
_xlfn.SWITCH(J738,
"موقف/تندة",IF(D738&lt;DATE(2019,11,30),6,30),
"تشوينات",IF(D738&lt;DATE(2019,11,30),4,20),
"مشاتل",IF(D738&lt;DATE(2019,11,30),2,10),
"كافيتيريا",IF(D738&lt;DATE(2019,11,30),30,150),
"نوادي",IF(D738&lt;DATE(2019,11,30),6,30),
"رسو مراكب",IF(D738&lt;DATE(2019,11,30),2,10),
"مباني",IF(D738&lt;DATE(2018,9,24),2,10),
"عشش",IF(D738&lt;DATE(2019,11,30),2,10),
"كشك (تجاري/صناعي)",IF(D738&lt;DATE(2019,11,30),10,50),
"ردم",20,
0)))</f>
        <v>0</v>
      </c>
      <c r="AC738" s="1" cm="1">
        <f t="array" aca="1" ref="AC738" ca="1">IF(Y738&lt;DATE(2023,5,1),0,
IF(J738="زراعة",
K738*
(
INT((Y738-MAX(DATE(2023,5,1),D738))/365)
+
CEILING(MOD((Y738-MAX(DATE(2023,5,1),D738))/365,1),0.25)
)
*3,
IF(J738="ردم",
K738*20,
K738*
(
DATEDIF(MAX(DATE(2023,5,1),D738),Y738,"m")+1
)
*
_xlfn.SWITCH(J738,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38" s="1">
        <f t="shared" ca="1" si="71"/>
        <v>55</v>
      </c>
    </row>
    <row r="739" spans="1:30" ht="18.75" x14ac:dyDescent="0.25">
      <c r="A739" s="52">
        <v>675</v>
      </c>
      <c r="B739" s="3">
        <v>43</v>
      </c>
      <c r="C739" s="3">
        <v>2022</v>
      </c>
      <c r="D739" s="2" t="s">
        <v>861</v>
      </c>
      <c r="E739" s="11"/>
      <c r="F739" s="3"/>
      <c r="G739" s="63" t="s">
        <v>900</v>
      </c>
      <c r="H739" s="3"/>
      <c r="I739" s="63" t="s">
        <v>33</v>
      </c>
      <c r="J739" s="3" t="s">
        <v>29</v>
      </c>
      <c r="K739" s="3"/>
      <c r="L739" s="63" t="s">
        <v>88</v>
      </c>
      <c r="M739" s="2"/>
      <c r="N739" s="3"/>
      <c r="O739" s="9">
        <f>0.47*Table2[[#This Row],[قيمة المحضر]]</f>
        <v>0</v>
      </c>
      <c r="P739" s="9">
        <f>0.17*Table2[[#This Row],[قيمة المحضر]]</f>
        <v>0</v>
      </c>
      <c r="Q739" s="9">
        <f t="shared" ca="1" si="72"/>
        <v>0</v>
      </c>
      <c r="R739" s="3"/>
      <c r="S739" s="3"/>
      <c r="T739" s="9" t="str">
        <f t="shared" si="73"/>
        <v>-</v>
      </c>
      <c r="U739" s="3"/>
      <c r="V739" s="9" t="str">
        <f t="shared" si="74"/>
        <v/>
      </c>
      <c r="W739" s="4"/>
      <c r="X739" s="88"/>
      <c r="Y739" s="1">
        <f t="shared" ca="1" si="70"/>
        <v>46162</v>
      </c>
      <c r="Z739" s="1" cm="1">
        <f t="array" ref="Z739">IF(D739&gt;DATE(2015,5,16),0,
K739*
(
INT((MIN(Y739,DATE(2015,5,16))-D739)/365)
+
CEILING(MOD((MIN(Y739,DATE(2015,5,16))-D739)/365,1),0.25)
)
*
_xlfn.SWITCH(J739,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39" s="1" cm="1">
        <f t="array" aca="1" ref="AA739" ca="1">IF(Y739&lt;DATE(2015,5,17),0,
K739*
(
INT((MIN(Y739,DATE(2018,9,23))-MAX(D739,DATE(2015,5,17)))/365)
+
CEILING(MOD((MIN(Y739,DATE(2018,9,23))-MAX(D739,DATE(2015,5,17)))/365,1),0.25)
)
*
_xlfn.SWITCH(J739,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39" s="1" cm="1">
        <f t="array" aca="1" ref="AB739" ca="1">IF(Y739&lt;DATE(2018,9,24),0,
IF(J739="زراعة",
K739*
(
INT((MIN(Y739,DATE(2023,4,30))-MAX(D739,DATE(2018,9,24)))/365)
+
CEILING(MOD((MIN(Y739,DATE(2023,4,30))-MAX(D739,DATE(2018,9,24)))/365,1),0.25)
)
*1,
K739*
(
DATEDIF(MAX(D739,DATE(2018,9,24)),MIN(Y739,DATE(2023,4,30)),"m")+1
)
*
_xlfn.SWITCH(J739,
"موقف/تندة",IF(D739&lt;DATE(2019,11,30),6,30),
"تشوينات",IF(D739&lt;DATE(2019,11,30),4,20),
"مشاتل",IF(D739&lt;DATE(2019,11,30),2,10),
"كافيتيريا",IF(D739&lt;DATE(2019,11,30),30,150),
"نوادي",IF(D739&lt;DATE(2019,11,30),6,30),
"رسو مراكب",IF(D739&lt;DATE(2019,11,30),2,10),
"مباني",IF(D739&lt;DATE(2018,9,24),2,10),
"عشش",IF(D739&lt;DATE(2019,11,30),2,10),
"كشك (تجاري/صناعي)",IF(D739&lt;DATE(2019,11,30),10,50),
"ردم",20,
0)))</f>
        <v>0</v>
      </c>
      <c r="AC739" s="1" cm="1">
        <f t="array" aca="1" ref="AC739" ca="1">IF(Y739&lt;DATE(2023,5,1),0,
IF(J739="زراعة",
K739*
(
INT((Y739-MAX(DATE(2023,5,1),D739))/365)
+
CEILING(MOD((Y739-MAX(DATE(2023,5,1),D739))/365,1),0.25)
)
*3,
IF(J739="ردم",
K739*20,
K739*
(
DATEDIF(MAX(DATE(2023,5,1),D739),Y739,"m")+1
)
*
_xlfn.SWITCH(J739,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39" s="1">
        <f t="shared" ca="1" si="71"/>
        <v>55</v>
      </c>
    </row>
    <row r="740" spans="1:30" ht="18.75" x14ac:dyDescent="0.25">
      <c r="A740" s="52">
        <v>676</v>
      </c>
      <c r="B740" s="3">
        <v>44</v>
      </c>
      <c r="C740" s="3">
        <v>2022</v>
      </c>
      <c r="D740" s="2" t="s">
        <v>861</v>
      </c>
      <c r="E740" s="11"/>
      <c r="F740" s="3"/>
      <c r="G740" s="63" t="s">
        <v>901</v>
      </c>
      <c r="H740" s="3"/>
      <c r="I740" s="63" t="s">
        <v>50</v>
      </c>
      <c r="J740" s="3" t="s">
        <v>29</v>
      </c>
      <c r="K740" s="3"/>
      <c r="L740" s="63" t="s">
        <v>672</v>
      </c>
      <c r="M740" s="2"/>
      <c r="N740" s="3"/>
      <c r="O740" s="9">
        <f>0.47*Table2[[#This Row],[قيمة المحضر]]</f>
        <v>0</v>
      </c>
      <c r="P740" s="9">
        <f>0.17*Table2[[#This Row],[قيمة المحضر]]</f>
        <v>0</v>
      </c>
      <c r="Q740" s="9">
        <f t="shared" ca="1" si="72"/>
        <v>0</v>
      </c>
      <c r="R740" s="3"/>
      <c r="S740" s="3"/>
      <c r="T740" s="9" t="str">
        <f t="shared" si="73"/>
        <v>-</v>
      </c>
      <c r="U740" s="3"/>
      <c r="V740" s="9" t="str">
        <f t="shared" si="74"/>
        <v/>
      </c>
      <c r="W740" s="4"/>
      <c r="X740" s="88"/>
      <c r="Y740" s="1">
        <f t="shared" ca="1" si="70"/>
        <v>46162</v>
      </c>
      <c r="Z740" s="1" cm="1">
        <f t="array" ref="Z740">IF(D740&gt;DATE(2015,5,16),0,
K740*
(
INT((MIN(Y740,DATE(2015,5,16))-D740)/365)
+
CEILING(MOD((MIN(Y740,DATE(2015,5,16))-D740)/365,1),0.25)
)
*
_xlfn.SWITCH(J740,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40" s="1" cm="1">
        <f t="array" aca="1" ref="AA740" ca="1">IF(Y740&lt;DATE(2015,5,17),0,
K740*
(
INT((MIN(Y740,DATE(2018,9,23))-MAX(D740,DATE(2015,5,17)))/365)
+
CEILING(MOD((MIN(Y740,DATE(2018,9,23))-MAX(D740,DATE(2015,5,17)))/365,1),0.25)
)
*
_xlfn.SWITCH(J740,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40" s="1" cm="1">
        <f t="array" aca="1" ref="AB740" ca="1">IF(Y740&lt;DATE(2018,9,24),0,
IF(J740="زراعة",
K740*
(
INT((MIN(Y740,DATE(2023,4,30))-MAX(D740,DATE(2018,9,24)))/365)
+
CEILING(MOD((MIN(Y740,DATE(2023,4,30))-MAX(D740,DATE(2018,9,24)))/365,1),0.25)
)
*1,
K740*
(
DATEDIF(MAX(D740,DATE(2018,9,24)),MIN(Y740,DATE(2023,4,30)),"m")+1
)
*
_xlfn.SWITCH(J740,
"موقف/تندة",IF(D740&lt;DATE(2019,11,30),6,30),
"تشوينات",IF(D740&lt;DATE(2019,11,30),4,20),
"مشاتل",IF(D740&lt;DATE(2019,11,30),2,10),
"كافيتيريا",IF(D740&lt;DATE(2019,11,30),30,150),
"نوادي",IF(D740&lt;DATE(2019,11,30),6,30),
"رسو مراكب",IF(D740&lt;DATE(2019,11,30),2,10),
"مباني",IF(D740&lt;DATE(2018,9,24),2,10),
"عشش",IF(D740&lt;DATE(2019,11,30),2,10),
"كشك (تجاري/صناعي)",IF(D740&lt;DATE(2019,11,30),10,50),
"ردم",20,
0)))</f>
        <v>0</v>
      </c>
      <c r="AC740" s="1" cm="1">
        <f t="array" aca="1" ref="AC740" ca="1">IF(Y740&lt;DATE(2023,5,1),0,
IF(J740="زراعة",
K740*
(
INT((Y740-MAX(DATE(2023,5,1),D740))/365)
+
CEILING(MOD((Y740-MAX(DATE(2023,5,1),D740))/365,1),0.25)
)
*3,
IF(J740="ردم",
K740*20,
K740*
(
DATEDIF(MAX(DATE(2023,5,1),D740),Y740,"m")+1
)
*
_xlfn.SWITCH(J740,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40" s="1">
        <f t="shared" ca="1" si="71"/>
        <v>55</v>
      </c>
    </row>
    <row r="741" spans="1:30" ht="19.5" thickBot="1" x14ac:dyDescent="0.3">
      <c r="A741" s="52">
        <v>677</v>
      </c>
      <c r="B741" s="6">
        <v>45</v>
      </c>
      <c r="C741" s="6">
        <v>2022</v>
      </c>
      <c r="D741" s="7" t="s">
        <v>861</v>
      </c>
      <c r="E741" s="12"/>
      <c r="F741" s="6"/>
      <c r="G741" s="70" t="s">
        <v>902</v>
      </c>
      <c r="H741" s="6"/>
      <c r="I741" s="70" t="s">
        <v>50</v>
      </c>
      <c r="J741" s="6" t="s">
        <v>29</v>
      </c>
      <c r="K741" s="6"/>
      <c r="L741" s="70" t="s">
        <v>672</v>
      </c>
      <c r="M741" s="7"/>
      <c r="N741" s="6"/>
      <c r="O741" s="72">
        <f>0.47*Table2[[#This Row],[قيمة المحضر]]</f>
        <v>0</v>
      </c>
      <c r="P741" s="72">
        <f>0.17*Table2[[#This Row],[قيمة المحضر]]</f>
        <v>0</v>
      </c>
      <c r="Q741" s="72">
        <f t="shared" ca="1" si="72"/>
        <v>0</v>
      </c>
      <c r="R741" s="6"/>
      <c r="S741" s="6"/>
      <c r="T741" s="72" t="str">
        <f t="shared" si="73"/>
        <v>-</v>
      </c>
      <c r="U741" s="6"/>
      <c r="V741" s="72" t="str">
        <f t="shared" si="74"/>
        <v/>
      </c>
      <c r="W741" s="73"/>
      <c r="X741" s="91"/>
      <c r="Y741" s="1">
        <f t="shared" ca="1" si="70"/>
        <v>46162</v>
      </c>
      <c r="Z741" s="1" cm="1">
        <f t="array" ref="Z741">IF(D741&gt;DATE(2015,5,16),0,
K741*
(
INT((MIN(Y741,DATE(2015,5,16))-D741)/365)
+
CEILING(MOD((MIN(Y741,DATE(2015,5,16))-D741)/365,1),0.25)
)
*
_xlfn.SWITCH(J741,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41" s="1" cm="1">
        <f t="array" aca="1" ref="AA741" ca="1">IF(Y741&lt;DATE(2015,5,17),0,
K741*
(
INT((MIN(Y741,DATE(2018,9,23))-MAX(D741,DATE(2015,5,17)))/365)
+
CEILING(MOD((MIN(Y741,DATE(2018,9,23))-MAX(D741,DATE(2015,5,17)))/365,1),0.25)
)
*
_xlfn.SWITCH(J741,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41" s="1" cm="1">
        <f t="array" aca="1" ref="AB741" ca="1">IF(Y741&lt;DATE(2018,9,24),0,
IF(J741="زراعة",
K741*
(
INT((MIN(Y741,DATE(2023,4,30))-MAX(D741,DATE(2018,9,24)))/365)
+
CEILING(MOD((MIN(Y741,DATE(2023,4,30))-MAX(D741,DATE(2018,9,24)))/365,1),0.25)
)
*1,
K741*
(
DATEDIF(MAX(D741,DATE(2018,9,24)),MIN(Y741,DATE(2023,4,30)),"m")+1
)
*
_xlfn.SWITCH(J741,
"موقف/تندة",IF(D741&lt;DATE(2019,11,30),6,30),
"تشوينات",IF(D741&lt;DATE(2019,11,30),4,20),
"مشاتل",IF(D741&lt;DATE(2019,11,30),2,10),
"كافيتيريا",IF(D741&lt;DATE(2019,11,30),30,150),
"نوادي",IF(D741&lt;DATE(2019,11,30),6,30),
"رسو مراكب",IF(D741&lt;DATE(2019,11,30),2,10),
"مباني",IF(D741&lt;DATE(2018,9,24),2,10),
"عشش",IF(D741&lt;DATE(2019,11,30),2,10),
"كشك (تجاري/صناعي)",IF(D741&lt;DATE(2019,11,30),10,50),
"ردم",20,
0)))</f>
        <v>0</v>
      </c>
      <c r="AC741" s="1" cm="1">
        <f t="array" aca="1" ref="AC741" ca="1">IF(Y741&lt;DATE(2023,5,1),0,
IF(J741="زراعة",
K741*
(
INT((Y741-MAX(DATE(2023,5,1),D741))/365)
+
CEILING(MOD((Y741-MAX(DATE(2023,5,1),D741))/365,1),0.25)
)
*3,
IF(J741="ردم",
K741*20,
K741*
(
DATEDIF(MAX(DATE(2023,5,1),D741),Y741,"m")+1
)
*
_xlfn.SWITCH(J741,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41" s="1">
        <f t="shared" ca="1" si="71"/>
        <v>55</v>
      </c>
    </row>
    <row r="742" spans="1:30" ht="18.75" x14ac:dyDescent="0.25">
      <c r="A742" s="30">
        <v>678</v>
      </c>
      <c r="B742" s="33">
        <v>1</v>
      </c>
      <c r="C742" s="33">
        <v>2024</v>
      </c>
      <c r="D742" s="92" t="s">
        <v>905</v>
      </c>
      <c r="E742" s="33"/>
      <c r="F742" s="31"/>
      <c r="G742" s="69" t="s">
        <v>911</v>
      </c>
      <c r="H742" s="31"/>
      <c r="I742" s="69" t="s">
        <v>103</v>
      </c>
      <c r="J742" s="31" t="s">
        <v>27</v>
      </c>
      <c r="K742" s="31"/>
      <c r="L742" s="69" t="s">
        <v>830</v>
      </c>
      <c r="M742" s="32"/>
      <c r="N742" s="31"/>
      <c r="O742" s="34">
        <f>0.47*Table2[[#This Row],[قيمة المحضر]]</f>
        <v>0</v>
      </c>
      <c r="P742" s="34">
        <f>0.17*Table2[[#This Row],[قيمة المحضر]]</f>
        <v>0</v>
      </c>
      <c r="Q742" s="34">
        <f t="shared" ref="Q742:Q773" ca="1" si="75">Z742+AA742+AB742+AC742</f>
        <v>0</v>
      </c>
      <c r="R742" s="31"/>
      <c r="S742" s="31"/>
      <c r="T742" s="34" t="str">
        <f t="shared" ref="T742:T773" si="76">IF(R742="تم الحجز",Q742+O742+N742,"-")</f>
        <v>-</v>
      </c>
      <c r="U742" s="31"/>
      <c r="V742" s="34" t="str">
        <f t="shared" ref="V742:V773" si="77">IF(OR(U742="قائم",U742="قائم و سدد مقابل انتفاع"),"-",
IF(U742="تم رد الشئ لأصله",P742+Q742,
IF(U742="ازالة جبرية",N742+O742+Q742,"")))</f>
        <v/>
      </c>
      <c r="W742" s="35"/>
      <c r="X742" s="36"/>
      <c r="Y742" s="1">
        <f t="shared" ca="1" si="70"/>
        <v>46162</v>
      </c>
      <c r="Z742" s="1" cm="1">
        <f t="array" ref="Z742">IF(D742&gt;DATE(2015,5,16),0,
K742*
(
INT((MIN(Y742,DATE(2015,5,16))-D742)/365)
+
CEILING(MOD((MIN(Y742,DATE(2015,5,16))-D742)/365,1),0.25)
)
*
_xlfn.SWITCH(J742,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42" s="1" cm="1">
        <f t="array" aca="1" ref="AA742" ca="1">IF(Y742&lt;DATE(2015,5,17),0,
K742*
(
INT((MIN(Y742,DATE(2018,9,23))-MAX(D742,DATE(2015,5,17)))/365)
+
CEILING(MOD((MIN(Y742,DATE(2018,9,23))-MAX(D742,DATE(2015,5,17)))/365,1),0.25)
)
*
_xlfn.SWITCH(J742,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42" s="1" cm="1">
        <f t="array" aca="1" ref="AB742" ca="1">IF(Y742&lt;DATE(2018,9,24),0,
IF(J742="زراعة",
K742*
(
INT((MIN(Y742,DATE(2023,4,30))-MAX(D742,DATE(2018,9,24)))/365)
+
CEILING(MOD((MIN(Y742,DATE(2023,4,30))-MAX(D742,DATE(2018,9,24)))/365,1),0.25)
)
*1,
K742*
(
DATEDIF(MAX(D742,DATE(2018,9,24)),MIN(Y742,DATE(2023,4,30)),"m")+1
)
*
_xlfn.SWITCH(J742,
"موقف/تندة",IF(D742&lt;DATE(2019,11,30),6,30),
"تشوينات",IF(D742&lt;DATE(2019,11,30),4,20),
"مشاتل",IF(D742&lt;DATE(2019,11,30),2,10),
"كافيتيريا",IF(D742&lt;DATE(2019,11,30),30,150),
"نوادي",IF(D742&lt;DATE(2019,11,30),6,30),
"رسو مراكب",IF(D742&lt;DATE(2019,11,30),2,10),
"مباني",IF(D742&lt;DATE(2018,9,24),2,10),
"عشش",IF(D742&lt;DATE(2019,11,30),2,10),
"كشك (تجاري/صناعي)",IF(D742&lt;DATE(2019,11,30),10,50),
"ردم",20,
0)))</f>
        <v>0</v>
      </c>
      <c r="AC742" s="1" cm="1">
        <f t="array" aca="1" ref="AC742" ca="1">IF(Y742&lt;DATE(2023,5,1),0,
IF(J742="زراعة",
K742*
(
INT((Y742-MAX(DATE(2023,5,1),D742))/365)
+
CEILING(MOD((Y742-MAX(DATE(2023,5,1),D742))/365,1),0.25)
)
*3,
IF(J742="ردم",
K742*20,
K742*
(
DATEDIF(MAX(DATE(2023,5,1),D742),Y742,"m")+1
)
*
_xlfn.SWITCH(J742,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42" s="1">
        <f t="shared" ca="1" si="71"/>
        <v>55</v>
      </c>
    </row>
    <row r="743" spans="1:30" ht="18.75" x14ac:dyDescent="0.25">
      <c r="A743" s="37">
        <v>679</v>
      </c>
      <c r="B743" s="11">
        <v>2</v>
      </c>
      <c r="C743" s="11">
        <v>2024</v>
      </c>
      <c r="D743" s="74" t="s">
        <v>905</v>
      </c>
      <c r="E743" s="11"/>
      <c r="F743" s="3"/>
      <c r="G743" s="63" t="s">
        <v>912</v>
      </c>
      <c r="H743" s="3"/>
      <c r="I743" s="63" t="s">
        <v>371</v>
      </c>
      <c r="J743" s="3" t="s">
        <v>27</v>
      </c>
      <c r="K743" s="3"/>
      <c r="L743" s="63" t="s">
        <v>191</v>
      </c>
      <c r="M743" s="2"/>
      <c r="N743" s="3"/>
      <c r="O743" s="9">
        <f>0.47*Table2[[#This Row],[قيمة المحضر]]</f>
        <v>0</v>
      </c>
      <c r="P743" s="9">
        <f>0.17*Table2[[#This Row],[قيمة المحضر]]</f>
        <v>0</v>
      </c>
      <c r="Q743" s="9">
        <f t="shared" ca="1" si="75"/>
        <v>0</v>
      </c>
      <c r="R743" s="3"/>
      <c r="S743" s="3"/>
      <c r="T743" s="9" t="str">
        <f t="shared" si="76"/>
        <v>-</v>
      </c>
      <c r="U743" s="3"/>
      <c r="V743" s="9" t="str">
        <f t="shared" si="77"/>
        <v/>
      </c>
      <c r="W743" s="4"/>
      <c r="X743" s="88"/>
      <c r="Y743" s="1">
        <f t="shared" ca="1" si="70"/>
        <v>46162</v>
      </c>
      <c r="Z743" s="1" cm="1">
        <f t="array" ref="Z743">IF(D743&gt;DATE(2015,5,16),0,
K743*
(
INT((MIN(Y743,DATE(2015,5,16))-D743)/365)
+
CEILING(MOD((MIN(Y743,DATE(2015,5,16))-D743)/365,1),0.25)
)
*
_xlfn.SWITCH(J743,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43" s="1" cm="1">
        <f t="array" aca="1" ref="AA743" ca="1">IF(Y743&lt;DATE(2015,5,17),0,
K743*
(
INT((MIN(Y743,DATE(2018,9,23))-MAX(D743,DATE(2015,5,17)))/365)
+
CEILING(MOD((MIN(Y743,DATE(2018,9,23))-MAX(D743,DATE(2015,5,17)))/365,1),0.25)
)
*
_xlfn.SWITCH(J743,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43" s="1" cm="1">
        <f t="array" aca="1" ref="AB743" ca="1">IF(Y743&lt;DATE(2018,9,24),0,
IF(J743="زراعة",
K743*
(
INT((MIN(Y743,DATE(2023,4,30))-MAX(D743,DATE(2018,9,24)))/365)
+
CEILING(MOD((MIN(Y743,DATE(2023,4,30))-MAX(D743,DATE(2018,9,24)))/365,1),0.25)
)
*1,
K743*
(
DATEDIF(MAX(D743,DATE(2018,9,24)),MIN(Y743,DATE(2023,4,30)),"m")+1
)
*
_xlfn.SWITCH(J743,
"موقف/تندة",IF(D743&lt;DATE(2019,11,30),6,30),
"تشوينات",IF(D743&lt;DATE(2019,11,30),4,20),
"مشاتل",IF(D743&lt;DATE(2019,11,30),2,10),
"كافيتيريا",IF(D743&lt;DATE(2019,11,30),30,150),
"نوادي",IF(D743&lt;DATE(2019,11,30),6,30),
"رسو مراكب",IF(D743&lt;DATE(2019,11,30),2,10),
"مباني",IF(D743&lt;DATE(2018,9,24),2,10),
"عشش",IF(D743&lt;DATE(2019,11,30),2,10),
"كشك (تجاري/صناعي)",IF(D743&lt;DATE(2019,11,30),10,50),
"ردم",20,
0)))</f>
        <v>0</v>
      </c>
      <c r="AC743" s="1" cm="1">
        <f t="array" aca="1" ref="AC743" ca="1">IF(Y743&lt;DATE(2023,5,1),0,
IF(J743="زراعة",
K743*
(
INT((Y743-MAX(DATE(2023,5,1),D743))/365)
+
CEILING(MOD((Y743-MAX(DATE(2023,5,1),D743))/365,1),0.25)
)
*3,
IF(J743="ردم",
K743*20,
K743*
(
DATEDIF(MAX(DATE(2023,5,1),D743),Y743,"m")+1
)
*
_xlfn.SWITCH(J743,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43" s="1">
        <f t="shared" ca="1" si="71"/>
        <v>55</v>
      </c>
    </row>
    <row r="744" spans="1:30" ht="18.75" x14ac:dyDescent="0.25">
      <c r="A744" s="37">
        <v>680</v>
      </c>
      <c r="B744" s="11">
        <v>3</v>
      </c>
      <c r="C744" s="11">
        <v>2024</v>
      </c>
      <c r="D744" s="74" t="s">
        <v>905</v>
      </c>
      <c r="E744" s="11"/>
      <c r="F744" s="3"/>
      <c r="G744" s="63" t="s">
        <v>913</v>
      </c>
      <c r="H744" s="3"/>
      <c r="I744" s="63" t="s">
        <v>914</v>
      </c>
      <c r="J744" s="3" t="s">
        <v>146</v>
      </c>
      <c r="K744" s="3"/>
      <c r="L744" s="63" t="s">
        <v>830</v>
      </c>
      <c r="M744" s="2"/>
      <c r="N744" s="3"/>
      <c r="O744" s="9">
        <f>0.47*Table2[[#This Row],[قيمة المحضر]]</f>
        <v>0</v>
      </c>
      <c r="P744" s="9">
        <f>0.17*Table2[[#This Row],[قيمة المحضر]]</f>
        <v>0</v>
      </c>
      <c r="Q744" s="9">
        <f t="shared" ca="1" si="75"/>
        <v>0</v>
      </c>
      <c r="R744" s="3"/>
      <c r="S744" s="3"/>
      <c r="T744" s="9" t="str">
        <f t="shared" si="76"/>
        <v>-</v>
      </c>
      <c r="U744" s="3"/>
      <c r="V744" s="9" t="str">
        <f t="shared" si="77"/>
        <v/>
      </c>
      <c r="W744" s="4"/>
      <c r="X744" s="88"/>
      <c r="Y744" s="1">
        <f t="shared" ca="1" si="70"/>
        <v>46162</v>
      </c>
      <c r="Z744" s="1" cm="1">
        <f t="array" ref="Z744">IF(D744&gt;DATE(2015,5,16),0,
K744*
(
INT((MIN(Y744,DATE(2015,5,16))-D744)/365)
+
CEILING(MOD((MIN(Y744,DATE(2015,5,16))-D744)/365,1),0.25)
)
*
_xlfn.SWITCH(J744,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44" s="1" cm="1">
        <f t="array" aca="1" ref="AA744" ca="1">IF(Y744&lt;DATE(2015,5,17),0,
K744*
(
INT((MIN(Y744,DATE(2018,9,23))-MAX(D744,DATE(2015,5,17)))/365)
+
CEILING(MOD((MIN(Y744,DATE(2018,9,23))-MAX(D744,DATE(2015,5,17)))/365,1),0.25)
)
*
_xlfn.SWITCH(J744,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44" s="1" cm="1">
        <f t="array" aca="1" ref="AB744" ca="1">IF(Y744&lt;DATE(2018,9,24),0,
IF(J744="زراعة",
K744*
(
INT((MIN(Y744,DATE(2023,4,30))-MAX(D744,DATE(2018,9,24)))/365)
+
CEILING(MOD((MIN(Y744,DATE(2023,4,30))-MAX(D744,DATE(2018,9,24)))/365,1),0.25)
)
*1,
K744*
(
DATEDIF(MAX(D744,DATE(2018,9,24)),MIN(Y744,DATE(2023,4,30)),"m")+1
)
*
_xlfn.SWITCH(J744,
"موقف/تندة",IF(D744&lt;DATE(2019,11,30),6,30),
"تشوينات",IF(D744&lt;DATE(2019,11,30),4,20),
"مشاتل",IF(D744&lt;DATE(2019,11,30),2,10),
"كافيتيريا",IF(D744&lt;DATE(2019,11,30),30,150),
"نوادي",IF(D744&lt;DATE(2019,11,30),6,30),
"رسو مراكب",IF(D744&lt;DATE(2019,11,30),2,10),
"مباني",IF(D744&lt;DATE(2018,9,24),2,10),
"عشش",IF(D744&lt;DATE(2019,11,30),2,10),
"كشك (تجاري/صناعي)",IF(D744&lt;DATE(2019,11,30),10,50),
"ردم",20,
0)))</f>
        <v>0</v>
      </c>
      <c r="AC744" s="1" cm="1">
        <f t="array" aca="1" ref="AC744" ca="1">IF(Y744&lt;DATE(2023,5,1),0,
IF(J744="زراعة",
K744*
(
INT((Y744-MAX(DATE(2023,5,1),D744))/365)
+
CEILING(MOD((Y744-MAX(DATE(2023,5,1),D744))/365,1),0.25)
)
*3,
IF(J744="ردم",
K744*20,
K744*
(
DATEDIF(MAX(DATE(2023,5,1),D744),Y744,"m")+1
)
*
_xlfn.SWITCH(J744,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44" s="1">
        <f t="shared" ca="1" si="71"/>
        <v>55</v>
      </c>
    </row>
    <row r="745" spans="1:30" ht="18.75" x14ac:dyDescent="0.25">
      <c r="A745" s="37">
        <v>681</v>
      </c>
      <c r="B745" s="11">
        <v>4</v>
      </c>
      <c r="C745" s="11">
        <v>2024</v>
      </c>
      <c r="D745" s="74" t="s">
        <v>905</v>
      </c>
      <c r="E745" s="11"/>
      <c r="F745" s="3"/>
      <c r="G745" s="63" t="s">
        <v>915</v>
      </c>
      <c r="H745" s="3"/>
      <c r="I745" s="63" t="s">
        <v>914</v>
      </c>
      <c r="J745" s="3" t="s">
        <v>146</v>
      </c>
      <c r="K745" s="3"/>
      <c r="L745" s="63" t="s">
        <v>830</v>
      </c>
      <c r="M745" s="2"/>
      <c r="N745" s="3"/>
      <c r="O745" s="9">
        <f>0.47*Table2[[#This Row],[قيمة المحضر]]</f>
        <v>0</v>
      </c>
      <c r="P745" s="9">
        <f>0.17*Table2[[#This Row],[قيمة المحضر]]</f>
        <v>0</v>
      </c>
      <c r="Q745" s="9">
        <f t="shared" ca="1" si="75"/>
        <v>0</v>
      </c>
      <c r="R745" s="3"/>
      <c r="S745" s="3"/>
      <c r="T745" s="9" t="str">
        <f t="shared" si="76"/>
        <v>-</v>
      </c>
      <c r="U745" s="3"/>
      <c r="V745" s="9" t="str">
        <f t="shared" si="77"/>
        <v/>
      </c>
      <c r="W745" s="4"/>
      <c r="X745" s="88"/>
      <c r="Y745" s="1">
        <f t="shared" ca="1" si="70"/>
        <v>46162</v>
      </c>
      <c r="Z745" s="1" cm="1">
        <f t="array" ref="Z745">IF(D745&gt;DATE(2015,5,16),0,
K745*
(
INT((MIN(Y745,DATE(2015,5,16))-D745)/365)
+
CEILING(MOD((MIN(Y745,DATE(2015,5,16))-D745)/365,1),0.25)
)
*
_xlfn.SWITCH(J745,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45" s="1" cm="1">
        <f t="array" aca="1" ref="AA745" ca="1">IF(Y745&lt;DATE(2015,5,17),0,
K745*
(
INT((MIN(Y745,DATE(2018,9,23))-MAX(D745,DATE(2015,5,17)))/365)
+
CEILING(MOD((MIN(Y745,DATE(2018,9,23))-MAX(D745,DATE(2015,5,17)))/365,1),0.25)
)
*
_xlfn.SWITCH(J745,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45" s="1" cm="1">
        <f t="array" aca="1" ref="AB745" ca="1">IF(Y745&lt;DATE(2018,9,24),0,
IF(J745="زراعة",
K745*
(
INT((MIN(Y745,DATE(2023,4,30))-MAX(D745,DATE(2018,9,24)))/365)
+
CEILING(MOD((MIN(Y745,DATE(2023,4,30))-MAX(D745,DATE(2018,9,24)))/365,1),0.25)
)
*1,
K745*
(
DATEDIF(MAX(D745,DATE(2018,9,24)),MIN(Y745,DATE(2023,4,30)),"m")+1
)
*
_xlfn.SWITCH(J745,
"موقف/تندة",IF(D745&lt;DATE(2019,11,30),6,30),
"تشوينات",IF(D745&lt;DATE(2019,11,30),4,20),
"مشاتل",IF(D745&lt;DATE(2019,11,30),2,10),
"كافيتيريا",IF(D745&lt;DATE(2019,11,30),30,150),
"نوادي",IF(D745&lt;DATE(2019,11,30),6,30),
"رسو مراكب",IF(D745&lt;DATE(2019,11,30),2,10),
"مباني",IF(D745&lt;DATE(2018,9,24),2,10),
"عشش",IF(D745&lt;DATE(2019,11,30),2,10),
"كشك (تجاري/صناعي)",IF(D745&lt;DATE(2019,11,30),10,50),
"ردم",20,
0)))</f>
        <v>0</v>
      </c>
      <c r="AC745" s="1" cm="1">
        <f t="array" aca="1" ref="AC745" ca="1">IF(Y745&lt;DATE(2023,5,1),0,
IF(J745="زراعة",
K745*
(
INT((Y745-MAX(DATE(2023,5,1),D745))/365)
+
CEILING(MOD((Y745-MAX(DATE(2023,5,1),D745))/365,1),0.25)
)
*3,
IF(J745="ردم",
K745*20,
K745*
(
DATEDIF(MAX(DATE(2023,5,1),D745),Y745,"m")+1
)
*
_xlfn.SWITCH(J745,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45" s="1">
        <f t="shared" ca="1" si="71"/>
        <v>55</v>
      </c>
    </row>
    <row r="746" spans="1:30" ht="18.75" x14ac:dyDescent="0.25">
      <c r="A746" s="37">
        <v>682</v>
      </c>
      <c r="B746" s="11">
        <v>5</v>
      </c>
      <c r="C746" s="11">
        <v>2024</v>
      </c>
      <c r="D746" s="74" t="s">
        <v>905</v>
      </c>
      <c r="E746" s="11"/>
      <c r="F746" s="3"/>
      <c r="G746" s="63" t="s">
        <v>916</v>
      </c>
      <c r="H746" s="3"/>
      <c r="I746" s="63" t="s">
        <v>914</v>
      </c>
      <c r="J746" s="3" t="s">
        <v>146</v>
      </c>
      <c r="K746" s="3"/>
      <c r="L746" s="63" t="s">
        <v>830</v>
      </c>
      <c r="M746" s="2"/>
      <c r="N746" s="3"/>
      <c r="O746" s="9">
        <f>0.47*Table2[[#This Row],[قيمة المحضر]]</f>
        <v>0</v>
      </c>
      <c r="P746" s="9">
        <f>0.17*Table2[[#This Row],[قيمة المحضر]]</f>
        <v>0</v>
      </c>
      <c r="Q746" s="9">
        <f t="shared" ca="1" si="75"/>
        <v>0</v>
      </c>
      <c r="R746" s="3"/>
      <c r="S746" s="3"/>
      <c r="T746" s="9" t="str">
        <f t="shared" si="76"/>
        <v>-</v>
      </c>
      <c r="U746" s="3"/>
      <c r="V746" s="9" t="str">
        <f t="shared" si="77"/>
        <v/>
      </c>
      <c r="W746" s="4"/>
      <c r="X746" s="88"/>
      <c r="Y746" s="1">
        <f t="shared" ca="1" si="70"/>
        <v>46162</v>
      </c>
      <c r="Z746" s="1" cm="1">
        <f t="array" ref="Z746">IF(D746&gt;DATE(2015,5,16),0,
K746*
(
INT((MIN(Y746,DATE(2015,5,16))-D746)/365)
+
CEILING(MOD((MIN(Y746,DATE(2015,5,16))-D746)/365,1),0.25)
)
*
_xlfn.SWITCH(J746,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46" s="1" cm="1">
        <f t="array" aca="1" ref="AA746" ca="1">IF(Y746&lt;DATE(2015,5,17),0,
K746*
(
INT((MIN(Y746,DATE(2018,9,23))-MAX(D746,DATE(2015,5,17)))/365)
+
CEILING(MOD((MIN(Y746,DATE(2018,9,23))-MAX(D746,DATE(2015,5,17)))/365,1),0.25)
)
*
_xlfn.SWITCH(J746,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46" s="1" cm="1">
        <f t="array" aca="1" ref="AB746" ca="1">IF(Y746&lt;DATE(2018,9,24),0,
IF(J746="زراعة",
K746*
(
INT((MIN(Y746,DATE(2023,4,30))-MAX(D746,DATE(2018,9,24)))/365)
+
CEILING(MOD((MIN(Y746,DATE(2023,4,30))-MAX(D746,DATE(2018,9,24)))/365,1),0.25)
)
*1,
K746*
(
DATEDIF(MAX(D746,DATE(2018,9,24)),MIN(Y746,DATE(2023,4,30)),"m")+1
)
*
_xlfn.SWITCH(J746,
"موقف/تندة",IF(D746&lt;DATE(2019,11,30),6,30),
"تشوينات",IF(D746&lt;DATE(2019,11,30),4,20),
"مشاتل",IF(D746&lt;DATE(2019,11,30),2,10),
"كافيتيريا",IF(D746&lt;DATE(2019,11,30),30,150),
"نوادي",IF(D746&lt;DATE(2019,11,30),6,30),
"رسو مراكب",IF(D746&lt;DATE(2019,11,30),2,10),
"مباني",IF(D746&lt;DATE(2018,9,24),2,10),
"عشش",IF(D746&lt;DATE(2019,11,30),2,10),
"كشك (تجاري/صناعي)",IF(D746&lt;DATE(2019,11,30),10,50),
"ردم",20,
0)))</f>
        <v>0</v>
      </c>
      <c r="AC746" s="1" cm="1">
        <f t="array" aca="1" ref="AC746" ca="1">IF(Y746&lt;DATE(2023,5,1),0,
IF(J746="زراعة",
K746*
(
INT((Y746-MAX(DATE(2023,5,1),D746))/365)
+
CEILING(MOD((Y746-MAX(DATE(2023,5,1),D746))/365,1),0.25)
)
*3,
IF(J746="ردم",
K746*20,
K746*
(
DATEDIF(MAX(DATE(2023,5,1),D746),Y746,"m")+1
)
*
_xlfn.SWITCH(J746,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46" s="1">
        <f t="shared" ca="1" si="71"/>
        <v>55</v>
      </c>
    </row>
    <row r="747" spans="1:30" ht="18.75" x14ac:dyDescent="0.25">
      <c r="A747" s="37">
        <v>683</v>
      </c>
      <c r="B747" s="11">
        <v>6</v>
      </c>
      <c r="C747" s="11">
        <v>2024</v>
      </c>
      <c r="D747" s="74" t="s">
        <v>905</v>
      </c>
      <c r="E747" s="11"/>
      <c r="F747" s="3"/>
      <c r="G747" s="63" t="s">
        <v>917</v>
      </c>
      <c r="H747" s="3"/>
      <c r="I747" s="63" t="s">
        <v>914</v>
      </c>
      <c r="J747" s="3" t="s">
        <v>146</v>
      </c>
      <c r="K747" s="3"/>
      <c r="L747" s="63" t="s">
        <v>830</v>
      </c>
      <c r="M747" s="2"/>
      <c r="N747" s="3"/>
      <c r="O747" s="9">
        <f>0.47*Table2[[#This Row],[قيمة المحضر]]</f>
        <v>0</v>
      </c>
      <c r="P747" s="9">
        <f>0.17*Table2[[#This Row],[قيمة المحضر]]</f>
        <v>0</v>
      </c>
      <c r="Q747" s="9">
        <f t="shared" ca="1" si="75"/>
        <v>0</v>
      </c>
      <c r="R747" s="3"/>
      <c r="S747" s="3"/>
      <c r="T747" s="9" t="str">
        <f t="shared" si="76"/>
        <v>-</v>
      </c>
      <c r="U747" s="3"/>
      <c r="V747" s="9" t="str">
        <f t="shared" si="77"/>
        <v/>
      </c>
      <c r="W747" s="4"/>
      <c r="X747" s="88"/>
      <c r="Y747" s="1">
        <f t="shared" ca="1" si="70"/>
        <v>46162</v>
      </c>
      <c r="Z747" s="1" cm="1">
        <f t="array" ref="Z747">IF(D747&gt;DATE(2015,5,16),0,
K747*
(
INT((MIN(Y747,DATE(2015,5,16))-D747)/365)
+
CEILING(MOD((MIN(Y747,DATE(2015,5,16))-D747)/365,1),0.25)
)
*
_xlfn.SWITCH(J747,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47" s="1" cm="1">
        <f t="array" aca="1" ref="AA747" ca="1">IF(Y747&lt;DATE(2015,5,17),0,
K747*
(
INT((MIN(Y747,DATE(2018,9,23))-MAX(D747,DATE(2015,5,17)))/365)
+
CEILING(MOD((MIN(Y747,DATE(2018,9,23))-MAX(D747,DATE(2015,5,17)))/365,1),0.25)
)
*
_xlfn.SWITCH(J747,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47" s="1" cm="1">
        <f t="array" aca="1" ref="AB747" ca="1">IF(Y747&lt;DATE(2018,9,24),0,
IF(J747="زراعة",
K747*
(
INT((MIN(Y747,DATE(2023,4,30))-MAX(D747,DATE(2018,9,24)))/365)
+
CEILING(MOD((MIN(Y747,DATE(2023,4,30))-MAX(D747,DATE(2018,9,24)))/365,1),0.25)
)
*1,
K747*
(
DATEDIF(MAX(D747,DATE(2018,9,24)),MIN(Y747,DATE(2023,4,30)),"m")+1
)
*
_xlfn.SWITCH(J747,
"موقف/تندة",IF(D747&lt;DATE(2019,11,30),6,30),
"تشوينات",IF(D747&lt;DATE(2019,11,30),4,20),
"مشاتل",IF(D747&lt;DATE(2019,11,30),2,10),
"كافيتيريا",IF(D747&lt;DATE(2019,11,30),30,150),
"نوادي",IF(D747&lt;DATE(2019,11,30),6,30),
"رسو مراكب",IF(D747&lt;DATE(2019,11,30),2,10),
"مباني",IF(D747&lt;DATE(2018,9,24),2,10),
"عشش",IF(D747&lt;DATE(2019,11,30),2,10),
"كشك (تجاري/صناعي)",IF(D747&lt;DATE(2019,11,30),10,50),
"ردم",20,
0)))</f>
        <v>0</v>
      </c>
      <c r="AC747" s="1" cm="1">
        <f t="array" aca="1" ref="AC747" ca="1">IF(Y747&lt;DATE(2023,5,1),0,
IF(J747="زراعة",
K747*
(
INT((Y747-MAX(DATE(2023,5,1),D747))/365)
+
CEILING(MOD((Y747-MAX(DATE(2023,5,1),D747))/365,1),0.25)
)
*3,
IF(J747="ردم",
K747*20,
K747*
(
DATEDIF(MAX(DATE(2023,5,1),D747),Y747,"m")+1
)
*
_xlfn.SWITCH(J747,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47" s="1">
        <f t="shared" ca="1" si="71"/>
        <v>55</v>
      </c>
    </row>
    <row r="748" spans="1:30" ht="18.75" x14ac:dyDescent="0.25">
      <c r="A748" s="37">
        <v>684</v>
      </c>
      <c r="B748" s="11">
        <v>7</v>
      </c>
      <c r="C748" s="11">
        <v>2024</v>
      </c>
      <c r="D748" s="74" t="s">
        <v>905</v>
      </c>
      <c r="E748" s="11"/>
      <c r="F748" s="3"/>
      <c r="G748" s="63" t="s">
        <v>918</v>
      </c>
      <c r="H748" s="3"/>
      <c r="I748" s="63" t="s">
        <v>914</v>
      </c>
      <c r="J748" s="3" t="s">
        <v>146</v>
      </c>
      <c r="K748" s="3"/>
      <c r="L748" s="63" t="s">
        <v>830</v>
      </c>
      <c r="M748" s="2"/>
      <c r="N748" s="3"/>
      <c r="O748" s="9">
        <f>0.47*Table2[[#This Row],[قيمة المحضر]]</f>
        <v>0</v>
      </c>
      <c r="P748" s="9">
        <f>0.17*Table2[[#This Row],[قيمة المحضر]]</f>
        <v>0</v>
      </c>
      <c r="Q748" s="9">
        <f t="shared" ca="1" si="75"/>
        <v>0</v>
      </c>
      <c r="R748" s="3"/>
      <c r="S748" s="3"/>
      <c r="T748" s="9" t="str">
        <f t="shared" si="76"/>
        <v>-</v>
      </c>
      <c r="U748" s="3"/>
      <c r="V748" s="9" t="str">
        <f t="shared" si="77"/>
        <v/>
      </c>
      <c r="W748" s="4"/>
      <c r="X748" s="88"/>
      <c r="Y748" s="1">
        <f t="shared" ca="1" si="70"/>
        <v>46162</v>
      </c>
      <c r="Z748" s="1" cm="1">
        <f t="array" ref="Z748">IF(D748&gt;DATE(2015,5,16),0,
K748*
(
INT((MIN(Y748,DATE(2015,5,16))-D748)/365)
+
CEILING(MOD((MIN(Y748,DATE(2015,5,16))-D748)/365,1),0.25)
)
*
_xlfn.SWITCH(J748,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48" s="1" cm="1">
        <f t="array" aca="1" ref="AA748" ca="1">IF(Y748&lt;DATE(2015,5,17),0,
K748*
(
INT((MIN(Y748,DATE(2018,9,23))-MAX(D748,DATE(2015,5,17)))/365)
+
CEILING(MOD((MIN(Y748,DATE(2018,9,23))-MAX(D748,DATE(2015,5,17)))/365,1),0.25)
)
*
_xlfn.SWITCH(J748,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48" s="1" cm="1">
        <f t="array" aca="1" ref="AB748" ca="1">IF(Y748&lt;DATE(2018,9,24),0,
IF(J748="زراعة",
K748*
(
INT((MIN(Y748,DATE(2023,4,30))-MAX(D748,DATE(2018,9,24)))/365)
+
CEILING(MOD((MIN(Y748,DATE(2023,4,30))-MAX(D748,DATE(2018,9,24)))/365,1),0.25)
)
*1,
K748*
(
DATEDIF(MAX(D748,DATE(2018,9,24)),MIN(Y748,DATE(2023,4,30)),"m")+1
)
*
_xlfn.SWITCH(J748,
"موقف/تندة",IF(D748&lt;DATE(2019,11,30),6,30),
"تشوينات",IF(D748&lt;DATE(2019,11,30),4,20),
"مشاتل",IF(D748&lt;DATE(2019,11,30),2,10),
"كافيتيريا",IF(D748&lt;DATE(2019,11,30),30,150),
"نوادي",IF(D748&lt;DATE(2019,11,30),6,30),
"رسو مراكب",IF(D748&lt;DATE(2019,11,30),2,10),
"مباني",IF(D748&lt;DATE(2018,9,24),2,10),
"عشش",IF(D748&lt;DATE(2019,11,30),2,10),
"كشك (تجاري/صناعي)",IF(D748&lt;DATE(2019,11,30),10,50),
"ردم",20,
0)))</f>
        <v>0</v>
      </c>
      <c r="AC748" s="1" cm="1">
        <f t="array" aca="1" ref="AC748" ca="1">IF(Y748&lt;DATE(2023,5,1),0,
IF(J748="زراعة",
K748*
(
INT((Y748-MAX(DATE(2023,5,1),D748))/365)
+
CEILING(MOD((Y748-MAX(DATE(2023,5,1),D748))/365,1),0.25)
)
*3,
IF(J748="ردم",
K748*20,
K748*
(
DATEDIF(MAX(DATE(2023,5,1),D748),Y748,"m")+1
)
*
_xlfn.SWITCH(J748,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48" s="1">
        <f t="shared" ca="1" si="71"/>
        <v>55</v>
      </c>
    </row>
    <row r="749" spans="1:30" ht="18.75" x14ac:dyDescent="0.25">
      <c r="A749" s="37">
        <v>685</v>
      </c>
      <c r="B749" s="11">
        <v>8</v>
      </c>
      <c r="C749" s="11">
        <v>2024</v>
      </c>
      <c r="D749" s="74" t="s">
        <v>905</v>
      </c>
      <c r="E749" s="11"/>
      <c r="F749" s="3"/>
      <c r="G749" s="63" t="s">
        <v>919</v>
      </c>
      <c r="H749" s="3"/>
      <c r="I749" s="63" t="s">
        <v>914</v>
      </c>
      <c r="J749" s="3" t="s">
        <v>146</v>
      </c>
      <c r="K749" s="3"/>
      <c r="L749" s="63" t="s">
        <v>830</v>
      </c>
      <c r="M749" s="2"/>
      <c r="N749" s="3"/>
      <c r="O749" s="9">
        <f>0.47*Table2[[#This Row],[قيمة المحضر]]</f>
        <v>0</v>
      </c>
      <c r="P749" s="9">
        <f>0.17*Table2[[#This Row],[قيمة المحضر]]</f>
        <v>0</v>
      </c>
      <c r="Q749" s="9">
        <f t="shared" ca="1" si="75"/>
        <v>0</v>
      </c>
      <c r="R749" s="3"/>
      <c r="S749" s="3"/>
      <c r="T749" s="9" t="str">
        <f t="shared" si="76"/>
        <v>-</v>
      </c>
      <c r="U749" s="3"/>
      <c r="V749" s="9" t="str">
        <f t="shared" si="77"/>
        <v/>
      </c>
      <c r="W749" s="4"/>
      <c r="X749" s="88"/>
      <c r="Y749" s="1">
        <f t="shared" ca="1" si="70"/>
        <v>46162</v>
      </c>
      <c r="Z749" s="1" cm="1">
        <f t="array" ref="Z749">IF(D749&gt;DATE(2015,5,16),0,
K749*
(
INT((MIN(Y749,DATE(2015,5,16))-D749)/365)
+
CEILING(MOD((MIN(Y749,DATE(2015,5,16))-D749)/365,1),0.25)
)
*
_xlfn.SWITCH(J749,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49" s="1" cm="1">
        <f t="array" aca="1" ref="AA749" ca="1">IF(Y749&lt;DATE(2015,5,17),0,
K749*
(
INT((MIN(Y749,DATE(2018,9,23))-MAX(D749,DATE(2015,5,17)))/365)
+
CEILING(MOD((MIN(Y749,DATE(2018,9,23))-MAX(D749,DATE(2015,5,17)))/365,1),0.25)
)
*
_xlfn.SWITCH(J749,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49" s="1" cm="1">
        <f t="array" aca="1" ref="AB749" ca="1">IF(Y749&lt;DATE(2018,9,24),0,
IF(J749="زراعة",
K749*
(
INT((MIN(Y749,DATE(2023,4,30))-MAX(D749,DATE(2018,9,24)))/365)
+
CEILING(MOD((MIN(Y749,DATE(2023,4,30))-MAX(D749,DATE(2018,9,24)))/365,1),0.25)
)
*1,
K749*
(
DATEDIF(MAX(D749,DATE(2018,9,24)),MIN(Y749,DATE(2023,4,30)),"m")+1
)
*
_xlfn.SWITCH(J749,
"موقف/تندة",IF(D749&lt;DATE(2019,11,30),6,30),
"تشوينات",IF(D749&lt;DATE(2019,11,30),4,20),
"مشاتل",IF(D749&lt;DATE(2019,11,30),2,10),
"كافيتيريا",IF(D749&lt;DATE(2019,11,30),30,150),
"نوادي",IF(D749&lt;DATE(2019,11,30),6,30),
"رسو مراكب",IF(D749&lt;DATE(2019,11,30),2,10),
"مباني",IF(D749&lt;DATE(2018,9,24),2,10),
"عشش",IF(D749&lt;DATE(2019,11,30),2,10),
"كشك (تجاري/صناعي)",IF(D749&lt;DATE(2019,11,30),10,50),
"ردم",20,
0)))</f>
        <v>0</v>
      </c>
      <c r="AC749" s="1" cm="1">
        <f t="array" aca="1" ref="AC749" ca="1">IF(Y749&lt;DATE(2023,5,1),0,
IF(J749="زراعة",
K749*
(
INT((Y749-MAX(DATE(2023,5,1),D749))/365)
+
CEILING(MOD((Y749-MAX(DATE(2023,5,1),D749))/365,1),0.25)
)
*3,
IF(J749="ردم",
K749*20,
K749*
(
DATEDIF(MAX(DATE(2023,5,1),D749),Y749,"m")+1
)
*
_xlfn.SWITCH(J749,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49" s="1">
        <f t="shared" ca="1" si="71"/>
        <v>55</v>
      </c>
    </row>
    <row r="750" spans="1:30" ht="18.75" x14ac:dyDescent="0.25">
      <c r="A750" s="37">
        <v>686</v>
      </c>
      <c r="B750" s="11">
        <v>9</v>
      </c>
      <c r="C750" s="11">
        <v>2024</v>
      </c>
      <c r="D750" s="74" t="s">
        <v>905</v>
      </c>
      <c r="E750" s="11"/>
      <c r="F750" s="3"/>
      <c r="G750" s="63" t="s">
        <v>920</v>
      </c>
      <c r="H750" s="3"/>
      <c r="I750" s="63" t="s">
        <v>914</v>
      </c>
      <c r="J750" s="3" t="s">
        <v>146</v>
      </c>
      <c r="K750" s="3"/>
      <c r="L750" s="63" t="s">
        <v>830</v>
      </c>
      <c r="M750" s="2"/>
      <c r="N750" s="3"/>
      <c r="O750" s="9">
        <f>0.47*Table2[[#This Row],[قيمة المحضر]]</f>
        <v>0</v>
      </c>
      <c r="P750" s="9">
        <f>0.17*Table2[[#This Row],[قيمة المحضر]]</f>
        <v>0</v>
      </c>
      <c r="Q750" s="9">
        <f t="shared" ca="1" si="75"/>
        <v>0</v>
      </c>
      <c r="R750" s="3"/>
      <c r="S750" s="3"/>
      <c r="T750" s="9" t="str">
        <f t="shared" si="76"/>
        <v>-</v>
      </c>
      <c r="U750" s="3"/>
      <c r="V750" s="9" t="str">
        <f t="shared" si="77"/>
        <v/>
      </c>
      <c r="W750" s="4"/>
      <c r="X750" s="88"/>
      <c r="Y750" s="1">
        <f t="shared" ca="1" si="70"/>
        <v>46162</v>
      </c>
      <c r="Z750" s="1" cm="1">
        <f t="array" ref="Z750">IF(D750&gt;DATE(2015,5,16),0,
K750*
(
INT((MIN(Y750,DATE(2015,5,16))-D750)/365)
+
CEILING(MOD((MIN(Y750,DATE(2015,5,16))-D750)/365,1),0.25)
)
*
_xlfn.SWITCH(J750,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50" s="1" cm="1">
        <f t="array" aca="1" ref="AA750" ca="1">IF(Y750&lt;DATE(2015,5,17),0,
K750*
(
INT((MIN(Y750,DATE(2018,9,23))-MAX(D750,DATE(2015,5,17)))/365)
+
CEILING(MOD((MIN(Y750,DATE(2018,9,23))-MAX(D750,DATE(2015,5,17)))/365,1),0.25)
)
*
_xlfn.SWITCH(J750,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50" s="1" cm="1">
        <f t="array" aca="1" ref="AB750" ca="1">IF(Y750&lt;DATE(2018,9,24),0,
IF(J750="زراعة",
K750*
(
INT((MIN(Y750,DATE(2023,4,30))-MAX(D750,DATE(2018,9,24)))/365)
+
CEILING(MOD((MIN(Y750,DATE(2023,4,30))-MAX(D750,DATE(2018,9,24)))/365,1),0.25)
)
*1,
K750*
(
DATEDIF(MAX(D750,DATE(2018,9,24)),MIN(Y750,DATE(2023,4,30)),"m")+1
)
*
_xlfn.SWITCH(J750,
"موقف/تندة",IF(D750&lt;DATE(2019,11,30),6,30),
"تشوينات",IF(D750&lt;DATE(2019,11,30),4,20),
"مشاتل",IF(D750&lt;DATE(2019,11,30),2,10),
"كافيتيريا",IF(D750&lt;DATE(2019,11,30),30,150),
"نوادي",IF(D750&lt;DATE(2019,11,30),6,30),
"رسو مراكب",IF(D750&lt;DATE(2019,11,30),2,10),
"مباني",IF(D750&lt;DATE(2018,9,24),2,10),
"عشش",IF(D750&lt;DATE(2019,11,30),2,10),
"كشك (تجاري/صناعي)",IF(D750&lt;DATE(2019,11,30),10,50),
"ردم",20,
0)))</f>
        <v>0</v>
      </c>
      <c r="AC750" s="1" cm="1">
        <f t="array" aca="1" ref="AC750" ca="1">IF(Y750&lt;DATE(2023,5,1),0,
IF(J750="زراعة",
K750*
(
INT((Y750-MAX(DATE(2023,5,1),D750))/365)
+
CEILING(MOD((Y750-MAX(DATE(2023,5,1),D750))/365,1),0.25)
)
*3,
IF(J750="ردم",
K750*20,
K750*
(
DATEDIF(MAX(DATE(2023,5,1),D750),Y750,"m")+1
)
*
_xlfn.SWITCH(J750,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50" s="1">
        <f t="shared" ca="1" si="71"/>
        <v>55</v>
      </c>
    </row>
    <row r="751" spans="1:30" ht="18.75" x14ac:dyDescent="0.25">
      <c r="A751" s="37">
        <v>687</v>
      </c>
      <c r="B751" s="11">
        <v>10</v>
      </c>
      <c r="C751" s="11">
        <v>2024</v>
      </c>
      <c r="D751" s="74" t="s">
        <v>905</v>
      </c>
      <c r="E751" s="11"/>
      <c r="F751" s="3"/>
      <c r="G751" s="63" t="s">
        <v>921</v>
      </c>
      <c r="H751" s="3"/>
      <c r="I751" s="63" t="s">
        <v>914</v>
      </c>
      <c r="J751" s="3" t="s">
        <v>146</v>
      </c>
      <c r="K751" s="3"/>
      <c r="L751" s="63" t="s">
        <v>830</v>
      </c>
      <c r="M751" s="2"/>
      <c r="N751" s="3"/>
      <c r="O751" s="9">
        <f>0.47*Table2[[#This Row],[قيمة المحضر]]</f>
        <v>0</v>
      </c>
      <c r="P751" s="9">
        <f>0.17*Table2[[#This Row],[قيمة المحضر]]</f>
        <v>0</v>
      </c>
      <c r="Q751" s="9">
        <f t="shared" ca="1" si="75"/>
        <v>0</v>
      </c>
      <c r="R751" s="3"/>
      <c r="S751" s="3"/>
      <c r="T751" s="9" t="str">
        <f t="shared" si="76"/>
        <v>-</v>
      </c>
      <c r="U751" s="3"/>
      <c r="V751" s="9" t="str">
        <f t="shared" si="77"/>
        <v/>
      </c>
      <c r="W751" s="4"/>
      <c r="X751" s="88"/>
      <c r="Y751" s="1">
        <f t="shared" ca="1" si="70"/>
        <v>46162</v>
      </c>
      <c r="Z751" s="1" cm="1">
        <f t="array" ref="Z751">IF(D751&gt;DATE(2015,5,16),0,
K751*
(
INT((MIN(Y751,DATE(2015,5,16))-D751)/365)
+
CEILING(MOD((MIN(Y751,DATE(2015,5,16))-D751)/365,1),0.25)
)
*
_xlfn.SWITCH(J751,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51" s="1" cm="1">
        <f t="array" aca="1" ref="AA751" ca="1">IF(Y751&lt;DATE(2015,5,17),0,
K751*
(
INT((MIN(Y751,DATE(2018,9,23))-MAX(D751,DATE(2015,5,17)))/365)
+
CEILING(MOD((MIN(Y751,DATE(2018,9,23))-MAX(D751,DATE(2015,5,17)))/365,1),0.25)
)
*
_xlfn.SWITCH(J751,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51" s="1" cm="1">
        <f t="array" aca="1" ref="AB751" ca="1">IF(Y751&lt;DATE(2018,9,24),0,
IF(J751="زراعة",
K751*
(
INT((MIN(Y751,DATE(2023,4,30))-MAX(D751,DATE(2018,9,24)))/365)
+
CEILING(MOD((MIN(Y751,DATE(2023,4,30))-MAX(D751,DATE(2018,9,24)))/365,1),0.25)
)
*1,
K751*
(
DATEDIF(MAX(D751,DATE(2018,9,24)),MIN(Y751,DATE(2023,4,30)),"m")+1
)
*
_xlfn.SWITCH(J751,
"موقف/تندة",IF(D751&lt;DATE(2019,11,30),6,30),
"تشوينات",IF(D751&lt;DATE(2019,11,30),4,20),
"مشاتل",IF(D751&lt;DATE(2019,11,30),2,10),
"كافيتيريا",IF(D751&lt;DATE(2019,11,30),30,150),
"نوادي",IF(D751&lt;DATE(2019,11,30),6,30),
"رسو مراكب",IF(D751&lt;DATE(2019,11,30),2,10),
"مباني",IF(D751&lt;DATE(2018,9,24),2,10),
"عشش",IF(D751&lt;DATE(2019,11,30),2,10),
"كشك (تجاري/صناعي)",IF(D751&lt;DATE(2019,11,30),10,50),
"ردم",20,
0)))</f>
        <v>0</v>
      </c>
      <c r="AC751" s="1" cm="1">
        <f t="array" aca="1" ref="AC751" ca="1">IF(Y751&lt;DATE(2023,5,1),0,
IF(J751="زراعة",
K751*
(
INT((Y751-MAX(DATE(2023,5,1),D751))/365)
+
CEILING(MOD((Y751-MAX(DATE(2023,5,1),D751))/365,1),0.25)
)
*3,
IF(J751="ردم",
K751*20,
K751*
(
DATEDIF(MAX(DATE(2023,5,1),D751),Y751,"m")+1
)
*
_xlfn.SWITCH(J751,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51" s="1">
        <f t="shared" ca="1" si="71"/>
        <v>55</v>
      </c>
    </row>
    <row r="752" spans="1:30" ht="18.75" x14ac:dyDescent="0.25">
      <c r="A752" s="37">
        <v>688</v>
      </c>
      <c r="B752" s="11">
        <v>11</v>
      </c>
      <c r="C752" s="11">
        <v>2024</v>
      </c>
      <c r="D752" s="74" t="s">
        <v>905</v>
      </c>
      <c r="E752" s="11"/>
      <c r="F752" s="3"/>
      <c r="G752" s="63" t="s">
        <v>922</v>
      </c>
      <c r="H752" s="3"/>
      <c r="I752" s="63" t="s">
        <v>914</v>
      </c>
      <c r="J752" s="3" t="s">
        <v>146</v>
      </c>
      <c r="K752" s="3"/>
      <c r="L752" s="63" t="s">
        <v>830</v>
      </c>
      <c r="M752" s="2"/>
      <c r="N752" s="3"/>
      <c r="O752" s="9">
        <f>0.47*Table2[[#This Row],[قيمة المحضر]]</f>
        <v>0</v>
      </c>
      <c r="P752" s="9">
        <f>0.17*Table2[[#This Row],[قيمة المحضر]]</f>
        <v>0</v>
      </c>
      <c r="Q752" s="9">
        <f t="shared" ca="1" si="75"/>
        <v>0</v>
      </c>
      <c r="R752" s="3"/>
      <c r="S752" s="3"/>
      <c r="T752" s="9" t="str">
        <f t="shared" si="76"/>
        <v>-</v>
      </c>
      <c r="U752" s="3"/>
      <c r="V752" s="9" t="str">
        <f t="shared" si="77"/>
        <v/>
      </c>
      <c r="W752" s="4"/>
      <c r="X752" s="88"/>
      <c r="Y752" s="1">
        <f t="shared" ca="1" si="70"/>
        <v>46162</v>
      </c>
      <c r="Z752" s="1" cm="1">
        <f t="array" ref="Z752">IF(D752&gt;DATE(2015,5,16),0,
K752*
(
INT((MIN(Y752,DATE(2015,5,16))-D752)/365)
+
CEILING(MOD((MIN(Y752,DATE(2015,5,16))-D752)/365,1),0.25)
)
*
_xlfn.SWITCH(J752,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52" s="1" cm="1">
        <f t="array" aca="1" ref="AA752" ca="1">IF(Y752&lt;DATE(2015,5,17),0,
K752*
(
INT((MIN(Y752,DATE(2018,9,23))-MAX(D752,DATE(2015,5,17)))/365)
+
CEILING(MOD((MIN(Y752,DATE(2018,9,23))-MAX(D752,DATE(2015,5,17)))/365,1),0.25)
)
*
_xlfn.SWITCH(J752,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52" s="1" cm="1">
        <f t="array" aca="1" ref="AB752" ca="1">IF(Y752&lt;DATE(2018,9,24),0,
IF(J752="زراعة",
K752*
(
INT((MIN(Y752,DATE(2023,4,30))-MAX(D752,DATE(2018,9,24)))/365)
+
CEILING(MOD((MIN(Y752,DATE(2023,4,30))-MAX(D752,DATE(2018,9,24)))/365,1),0.25)
)
*1,
K752*
(
DATEDIF(MAX(D752,DATE(2018,9,24)),MIN(Y752,DATE(2023,4,30)),"m")+1
)
*
_xlfn.SWITCH(J752,
"موقف/تندة",IF(D752&lt;DATE(2019,11,30),6,30),
"تشوينات",IF(D752&lt;DATE(2019,11,30),4,20),
"مشاتل",IF(D752&lt;DATE(2019,11,30),2,10),
"كافيتيريا",IF(D752&lt;DATE(2019,11,30),30,150),
"نوادي",IF(D752&lt;DATE(2019,11,30),6,30),
"رسو مراكب",IF(D752&lt;DATE(2019,11,30),2,10),
"مباني",IF(D752&lt;DATE(2018,9,24),2,10),
"عشش",IF(D752&lt;DATE(2019,11,30),2,10),
"كشك (تجاري/صناعي)",IF(D752&lt;DATE(2019,11,30),10,50),
"ردم",20,
0)))</f>
        <v>0</v>
      </c>
      <c r="AC752" s="1" cm="1">
        <f t="array" aca="1" ref="AC752" ca="1">IF(Y752&lt;DATE(2023,5,1),0,
IF(J752="زراعة",
K752*
(
INT((Y752-MAX(DATE(2023,5,1),D752))/365)
+
CEILING(MOD((Y752-MAX(DATE(2023,5,1),D752))/365,1),0.25)
)
*3,
IF(J752="ردم",
K752*20,
K752*
(
DATEDIF(MAX(DATE(2023,5,1),D752),Y752,"m")+1
)
*
_xlfn.SWITCH(J752,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52" s="1">
        <f t="shared" ca="1" si="71"/>
        <v>55</v>
      </c>
    </row>
    <row r="753" spans="1:30" ht="18.75" x14ac:dyDescent="0.25">
      <c r="A753" s="37">
        <v>689</v>
      </c>
      <c r="B753" s="11">
        <v>12</v>
      </c>
      <c r="C753" s="11">
        <v>2024</v>
      </c>
      <c r="D753" s="74" t="s">
        <v>905</v>
      </c>
      <c r="E753" s="11"/>
      <c r="F753" s="3"/>
      <c r="G753" s="63" t="s">
        <v>465</v>
      </c>
      <c r="H753" s="3"/>
      <c r="I753" s="63" t="s">
        <v>33</v>
      </c>
      <c r="J753" s="3" t="s">
        <v>29</v>
      </c>
      <c r="K753" s="3"/>
      <c r="L753" s="63" t="s">
        <v>88</v>
      </c>
      <c r="M753" s="2"/>
      <c r="N753" s="3"/>
      <c r="O753" s="9">
        <f>0.47*Table2[[#This Row],[قيمة المحضر]]</f>
        <v>0</v>
      </c>
      <c r="P753" s="9">
        <f>0.17*Table2[[#This Row],[قيمة المحضر]]</f>
        <v>0</v>
      </c>
      <c r="Q753" s="9">
        <f t="shared" ca="1" si="75"/>
        <v>0</v>
      </c>
      <c r="R753" s="3"/>
      <c r="S753" s="3"/>
      <c r="T753" s="9" t="str">
        <f t="shared" si="76"/>
        <v>-</v>
      </c>
      <c r="U753" s="3"/>
      <c r="V753" s="9" t="str">
        <f t="shared" si="77"/>
        <v/>
      </c>
      <c r="W753" s="4"/>
      <c r="X753" s="88"/>
      <c r="Y753" s="1">
        <f t="shared" ca="1" si="70"/>
        <v>46162</v>
      </c>
      <c r="Z753" s="1" cm="1">
        <f t="array" ref="Z753">IF(D753&gt;DATE(2015,5,16),0,
K753*
(
INT((MIN(Y753,DATE(2015,5,16))-D753)/365)
+
CEILING(MOD((MIN(Y753,DATE(2015,5,16))-D753)/365,1),0.25)
)
*
_xlfn.SWITCH(J753,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53" s="1" cm="1">
        <f t="array" aca="1" ref="AA753" ca="1">IF(Y753&lt;DATE(2015,5,17),0,
K753*
(
INT((MIN(Y753,DATE(2018,9,23))-MAX(D753,DATE(2015,5,17)))/365)
+
CEILING(MOD((MIN(Y753,DATE(2018,9,23))-MAX(D753,DATE(2015,5,17)))/365,1),0.25)
)
*
_xlfn.SWITCH(J753,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53" s="1" cm="1">
        <f t="array" aca="1" ref="AB753" ca="1">IF(Y753&lt;DATE(2018,9,24),0,
IF(J753="زراعة",
K753*
(
INT((MIN(Y753,DATE(2023,4,30))-MAX(D753,DATE(2018,9,24)))/365)
+
CEILING(MOD((MIN(Y753,DATE(2023,4,30))-MAX(D753,DATE(2018,9,24)))/365,1),0.25)
)
*1,
K753*
(
DATEDIF(MAX(D753,DATE(2018,9,24)),MIN(Y753,DATE(2023,4,30)),"m")+1
)
*
_xlfn.SWITCH(J753,
"موقف/تندة",IF(D753&lt;DATE(2019,11,30),6,30),
"تشوينات",IF(D753&lt;DATE(2019,11,30),4,20),
"مشاتل",IF(D753&lt;DATE(2019,11,30),2,10),
"كافيتيريا",IF(D753&lt;DATE(2019,11,30),30,150),
"نوادي",IF(D753&lt;DATE(2019,11,30),6,30),
"رسو مراكب",IF(D753&lt;DATE(2019,11,30),2,10),
"مباني",IF(D753&lt;DATE(2018,9,24),2,10),
"عشش",IF(D753&lt;DATE(2019,11,30),2,10),
"كشك (تجاري/صناعي)",IF(D753&lt;DATE(2019,11,30),10,50),
"ردم",20,
0)))</f>
        <v>0</v>
      </c>
      <c r="AC753" s="1" cm="1">
        <f t="array" aca="1" ref="AC753" ca="1">IF(Y753&lt;DATE(2023,5,1),0,
IF(J753="زراعة",
K753*
(
INT((Y753-MAX(DATE(2023,5,1),D753))/365)
+
CEILING(MOD((Y753-MAX(DATE(2023,5,1),D753))/365,1),0.25)
)
*3,
IF(J753="ردم",
K753*20,
K753*
(
DATEDIF(MAX(DATE(2023,5,1),D753),Y753,"m")+1
)
*
_xlfn.SWITCH(J753,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53" s="1">
        <f t="shared" ca="1" si="71"/>
        <v>55</v>
      </c>
    </row>
    <row r="754" spans="1:30" ht="18.75" x14ac:dyDescent="0.25">
      <c r="A754" s="37">
        <v>690</v>
      </c>
      <c r="B754" s="11">
        <v>13</v>
      </c>
      <c r="C754" s="11">
        <v>2024</v>
      </c>
      <c r="D754" s="74" t="s">
        <v>905</v>
      </c>
      <c r="E754" s="11"/>
      <c r="F754" s="3"/>
      <c r="G754" s="63" t="s">
        <v>463</v>
      </c>
      <c r="H754" s="3"/>
      <c r="I754" s="63" t="s">
        <v>33</v>
      </c>
      <c r="J754" s="3" t="s">
        <v>29</v>
      </c>
      <c r="K754" s="3"/>
      <c r="L754" s="63" t="s">
        <v>88</v>
      </c>
      <c r="M754" s="2"/>
      <c r="N754" s="3"/>
      <c r="O754" s="9">
        <f>0.47*Table2[[#This Row],[قيمة المحضر]]</f>
        <v>0</v>
      </c>
      <c r="P754" s="9">
        <f>0.17*Table2[[#This Row],[قيمة المحضر]]</f>
        <v>0</v>
      </c>
      <c r="Q754" s="9">
        <f t="shared" ca="1" si="75"/>
        <v>0</v>
      </c>
      <c r="R754" s="3"/>
      <c r="S754" s="3"/>
      <c r="T754" s="9" t="str">
        <f t="shared" si="76"/>
        <v>-</v>
      </c>
      <c r="U754" s="3"/>
      <c r="V754" s="9" t="str">
        <f t="shared" si="77"/>
        <v/>
      </c>
      <c r="W754" s="4"/>
      <c r="X754" s="88"/>
      <c r="Y754" s="1">
        <f t="shared" ca="1" si="70"/>
        <v>46162</v>
      </c>
      <c r="Z754" s="1" cm="1">
        <f t="array" ref="Z754">IF(D754&gt;DATE(2015,5,16),0,
K754*
(
INT((MIN(Y754,DATE(2015,5,16))-D754)/365)
+
CEILING(MOD((MIN(Y754,DATE(2015,5,16))-D754)/365,1),0.25)
)
*
_xlfn.SWITCH(J754,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54" s="1" cm="1">
        <f t="array" aca="1" ref="AA754" ca="1">IF(Y754&lt;DATE(2015,5,17),0,
K754*
(
INT((MIN(Y754,DATE(2018,9,23))-MAX(D754,DATE(2015,5,17)))/365)
+
CEILING(MOD((MIN(Y754,DATE(2018,9,23))-MAX(D754,DATE(2015,5,17)))/365,1),0.25)
)
*
_xlfn.SWITCH(J754,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54" s="1" cm="1">
        <f t="array" aca="1" ref="AB754" ca="1">IF(Y754&lt;DATE(2018,9,24),0,
IF(J754="زراعة",
K754*
(
INT((MIN(Y754,DATE(2023,4,30))-MAX(D754,DATE(2018,9,24)))/365)
+
CEILING(MOD((MIN(Y754,DATE(2023,4,30))-MAX(D754,DATE(2018,9,24)))/365,1),0.25)
)
*1,
K754*
(
DATEDIF(MAX(D754,DATE(2018,9,24)),MIN(Y754,DATE(2023,4,30)),"m")+1
)
*
_xlfn.SWITCH(J754,
"موقف/تندة",IF(D754&lt;DATE(2019,11,30),6,30),
"تشوينات",IF(D754&lt;DATE(2019,11,30),4,20),
"مشاتل",IF(D754&lt;DATE(2019,11,30),2,10),
"كافيتيريا",IF(D754&lt;DATE(2019,11,30),30,150),
"نوادي",IF(D754&lt;DATE(2019,11,30),6,30),
"رسو مراكب",IF(D754&lt;DATE(2019,11,30),2,10),
"مباني",IF(D754&lt;DATE(2018,9,24),2,10),
"عشش",IF(D754&lt;DATE(2019,11,30),2,10),
"كشك (تجاري/صناعي)",IF(D754&lt;DATE(2019,11,30),10,50),
"ردم",20,
0)))</f>
        <v>0</v>
      </c>
      <c r="AC754" s="1" cm="1">
        <f t="array" aca="1" ref="AC754" ca="1">IF(Y754&lt;DATE(2023,5,1),0,
IF(J754="زراعة",
K754*
(
INT((Y754-MAX(DATE(2023,5,1),D754))/365)
+
CEILING(MOD((Y754-MAX(DATE(2023,5,1),D754))/365,1),0.25)
)
*3,
IF(J754="ردم",
K754*20,
K754*
(
DATEDIF(MAX(DATE(2023,5,1),D754),Y754,"m")+1
)
*
_xlfn.SWITCH(J754,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54" s="1">
        <f t="shared" ca="1" si="71"/>
        <v>55</v>
      </c>
    </row>
    <row r="755" spans="1:30" ht="18.75" x14ac:dyDescent="0.25">
      <c r="A755" s="37">
        <v>691</v>
      </c>
      <c r="B755" s="11">
        <v>14</v>
      </c>
      <c r="C755" s="11">
        <v>2024</v>
      </c>
      <c r="D755" s="74" t="s">
        <v>905</v>
      </c>
      <c r="E755" s="11"/>
      <c r="F755" s="3"/>
      <c r="G755" s="63" t="s">
        <v>923</v>
      </c>
      <c r="H755" s="3"/>
      <c r="I755" s="63" t="s">
        <v>828</v>
      </c>
      <c r="J755" s="3" t="s">
        <v>146</v>
      </c>
      <c r="K755" s="3"/>
      <c r="L755" s="63" t="s">
        <v>88</v>
      </c>
      <c r="M755" s="2"/>
      <c r="N755" s="3"/>
      <c r="O755" s="9">
        <f>0.47*Table2[[#This Row],[قيمة المحضر]]</f>
        <v>0</v>
      </c>
      <c r="P755" s="9">
        <f>0.17*Table2[[#This Row],[قيمة المحضر]]</f>
        <v>0</v>
      </c>
      <c r="Q755" s="9">
        <f t="shared" ca="1" si="75"/>
        <v>0</v>
      </c>
      <c r="R755" s="3"/>
      <c r="S755" s="3"/>
      <c r="T755" s="9" t="str">
        <f t="shared" si="76"/>
        <v>-</v>
      </c>
      <c r="U755" s="3"/>
      <c r="V755" s="9" t="str">
        <f t="shared" si="77"/>
        <v/>
      </c>
      <c r="W755" s="4"/>
      <c r="X755" s="88"/>
      <c r="Y755" s="1">
        <f t="shared" ca="1" si="70"/>
        <v>46162</v>
      </c>
      <c r="Z755" s="1" cm="1">
        <f t="array" ref="Z755">IF(D755&gt;DATE(2015,5,16),0,
K755*
(
INT((MIN(Y755,DATE(2015,5,16))-D755)/365)
+
CEILING(MOD((MIN(Y755,DATE(2015,5,16))-D755)/365,1),0.25)
)
*
_xlfn.SWITCH(J755,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55" s="1" cm="1">
        <f t="array" aca="1" ref="AA755" ca="1">IF(Y755&lt;DATE(2015,5,17),0,
K755*
(
INT((MIN(Y755,DATE(2018,9,23))-MAX(D755,DATE(2015,5,17)))/365)
+
CEILING(MOD((MIN(Y755,DATE(2018,9,23))-MAX(D755,DATE(2015,5,17)))/365,1),0.25)
)
*
_xlfn.SWITCH(J755,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55" s="1" cm="1">
        <f t="array" aca="1" ref="AB755" ca="1">IF(Y755&lt;DATE(2018,9,24),0,
IF(J755="زراعة",
K755*
(
INT((MIN(Y755,DATE(2023,4,30))-MAX(D755,DATE(2018,9,24)))/365)
+
CEILING(MOD((MIN(Y755,DATE(2023,4,30))-MAX(D755,DATE(2018,9,24)))/365,1),0.25)
)
*1,
K755*
(
DATEDIF(MAX(D755,DATE(2018,9,24)),MIN(Y755,DATE(2023,4,30)),"m")+1
)
*
_xlfn.SWITCH(J755,
"موقف/تندة",IF(D755&lt;DATE(2019,11,30),6,30),
"تشوينات",IF(D755&lt;DATE(2019,11,30),4,20),
"مشاتل",IF(D755&lt;DATE(2019,11,30),2,10),
"كافيتيريا",IF(D755&lt;DATE(2019,11,30),30,150),
"نوادي",IF(D755&lt;DATE(2019,11,30),6,30),
"رسو مراكب",IF(D755&lt;DATE(2019,11,30),2,10),
"مباني",IF(D755&lt;DATE(2018,9,24),2,10),
"عشش",IF(D755&lt;DATE(2019,11,30),2,10),
"كشك (تجاري/صناعي)",IF(D755&lt;DATE(2019,11,30),10,50),
"ردم",20,
0)))</f>
        <v>0</v>
      </c>
      <c r="AC755" s="1" cm="1">
        <f t="array" aca="1" ref="AC755" ca="1">IF(Y755&lt;DATE(2023,5,1),0,
IF(J755="زراعة",
K755*
(
INT((Y755-MAX(DATE(2023,5,1),D755))/365)
+
CEILING(MOD((Y755-MAX(DATE(2023,5,1),D755))/365,1),0.25)
)
*3,
IF(J755="ردم",
K755*20,
K755*
(
DATEDIF(MAX(DATE(2023,5,1),D755),Y755,"m")+1
)
*
_xlfn.SWITCH(J755,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55" s="1">
        <f t="shared" ca="1" si="71"/>
        <v>55</v>
      </c>
    </row>
    <row r="756" spans="1:30" ht="18.75" x14ac:dyDescent="0.25">
      <c r="A756" s="37">
        <v>692</v>
      </c>
      <c r="B756" s="11">
        <v>15</v>
      </c>
      <c r="C756" s="11">
        <v>2024</v>
      </c>
      <c r="D756" s="74" t="s">
        <v>905</v>
      </c>
      <c r="E756" s="11"/>
      <c r="F756" s="3"/>
      <c r="G756" s="63" t="s">
        <v>924</v>
      </c>
      <c r="H756" s="3"/>
      <c r="I756" s="63" t="s">
        <v>828</v>
      </c>
      <c r="J756" s="3" t="s">
        <v>146</v>
      </c>
      <c r="K756" s="3"/>
      <c r="L756" s="63" t="s">
        <v>88</v>
      </c>
      <c r="M756" s="2"/>
      <c r="N756" s="3"/>
      <c r="O756" s="9">
        <f>0.47*Table2[[#This Row],[قيمة المحضر]]</f>
        <v>0</v>
      </c>
      <c r="P756" s="9">
        <f>0.17*Table2[[#This Row],[قيمة المحضر]]</f>
        <v>0</v>
      </c>
      <c r="Q756" s="9">
        <f t="shared" ca="1" si="75"/>
        <v>0</v>
      </c>
      <c r="R756" s="3"/>
      <c r="S756" s="3"/>
      <c r="T756" s="9" t="str">
        <f t="shared" si="76"/>
        <v>-</v>
      </c>
      <c r="U756" s="3"/>
      <c r="V756" s="9" t="str">
        <f t="shared" si="77"/>
        <v/>
      </c>
      <c r="W756" s="4"/>
      <c r="X756" s="88"/>
      <c r="Y756" s="1">
        <f t="shared" ca="1" si="70"/>
        <v>46162</v>
      </c>
      <c r="Z756" s="1" cm="1">
        <f t="array" ref="Z756">IF(D756&gt;DATE(2015,5,16),0,
K756*
(
INT((MIN(Y756,DATE(2015,5,16))-D756)/365)
+
CEILING(MOD((MIN(Y756,DATE(2015,5,16))-D756)/365,1),0.25)
)
*
_xlfn.SWITCH(J756,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56" s="1" cm="1">
        <f t="array" aca="1" ref="AA756" ca="1">IF(Y756&lt;DATE(2015,5,17),0,
K756*
(
INT((MIN(Y756,DATE(2018,9,23))-MAX(D756,DATE(2015,5,17)))/365)
+
CEILING(MOD((MIN(Y756,DATE(2018,9,23))-MAX(D756,DATE(2015,5,17)))/365,1),0.25)
)
*
_xlfn.SWITCH(J756,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56" s="1" cm="1">
        <f t="array" aca="1" ref="AB756" ca="1">IF(Y756&lt;DATE(2018,9,24),0,
IF(J756="زراعة",
K756*
(
INT((MIN(Y756,DATE(2023,4,30))-MAX(D756,DATE(2018,9,24)))/365)
+
CEILING(MOD((MIN(Y756,DATE(2023,4,30))-MAX(D756,DATE(2018,9,24)))/365,1),0.25)
)
*1,
K756*
(
DATEDIF(MAX(D756,DATE(2018,9,24)),MIN(Y756,DATE(2023,4,30)),"m")+1
)
*
_xlfn.SWITCH(J756,
"موقف/تندة",IF(D756&lt;DATE(2019,11,30),6,30),
"تشوينات",IF(D756&lt;DATE(2019,11,30),4,20),
"مشاتل",IF(D756&lt;DATE(2019,11,30),2,10),
"كافيتيريا",IF(D756&lt;DATE(2019,11,30),30,150),
"نوادي",IF(D756&lt;DATE(2019,11,30),6,30),
"رسو مراكب",IF(D756&lt;DATE(2019,11,30),2,10),
"مباني",IF(D756&lt;DATE(2018,9,24),2,10),
"عشش",IF(D756&lt;DATE(2019,11,30),2,10),
"كشك (تجاري/صناعي)",IF(D756&lt;DATE(2019,11,30),10,50),
"ردم",20,
0)))</f>
        <v>0</v>
      </c>
      <c r="AC756" s="1" cm="1">
        <f t="array" aca="1" ref="AC756" ca="1">IF(Y756&lt;DATE(2023,5,1),0,
IF(J756="زراعة",
K756*
(
INT((Y756-MAX(DATE(2023,5,1),D756))/365)
+
CEILING(MOD((Y756-MAX(DATE(2023,5,1),D756))/365,1),0.25)
)
*3,
IF(J756="ردم",
K756*20,
K756*
(
DATEDIF(MAX(DATE(2023,5,1),D756),Y756,"m")+1
)
*
_xlfn.SWITCH(J756,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56" s="1">
        <f t="shared" ca="1" si="71"/>
        <v>55</v>
      </c>
    </row>
    <row r="757" spans="1:30" ht="18.75" x14ac:dyDescent="0.25">
      <c r="A757" s="37">
        <v>693</v>
      </c>
      <c r="B757" s="11">
        <v>16</v>
      </c>
      <c r="C757" s="11">
        <v>2024</v>
      </c>
      <c r="D757" s="74" t="s">
        <v>906</v>
      </c>
      <c r="E757" s="11"/>
      <c r="F757" s="3"/>
      <c r="G757" s="63" t="s">
        <v>925</v>
      </c>
      <c r="H757" s="3"/>
      <c r="I757" s="63"/>
      <c r="J757" s="3" t="s">
        <v>27</v>
      </c>
      <c r="K757" s="3"/>
      <c r="L757" s="63" t="s">
        <v>368</v>
      </c>
      <c r="M757" s="2"/>
      <c r="N757" s="3"/>
      <c r="O757" s="9">
        <f>0.47*Table2[[#This Row],[قيمة المحضر]]</f>
        <v>0</v>
      </c>
      <c r="P757" s="9">
        <f>0.17*Table2[[#This Row],[قيمة المحضر]]</f>
        <v>0</v>
      </c>
      <c r="Q757" s="9">
        <f t="shared" ca="1" si="75"/>
        <v>0</v>
      </c>
      <c r="R757" s="3"/>
      <c r="S757" s="3"/>
      <c r="T757" s="9" t="str">
        <f t="shared" si="76"/>
        <v>-</v>
      </c>
      <c r="U757" s="3"/>
      <c r="V757" s="9" t="str">
        <f t="shared" si="77"/>
        <v/>
      </c>
      <c r="W757" s="4"/>
      <c r="X757" s="88"/>
      <c r="Y757" s="1">
        <f t="shared" ca="1" si="70"/>
        <v>46162</v>
      </c>
      <c r="Z757" s="1" cm="1">
        <f t="array" ref="Z757">IF(D757&gt;DATE(2015,5,16),0,
K757*
(
INT((MIN(Y757,DATE(2015,5,16))-D757)/365)
+
CEILING(MOD((MIN(Y757,DATE(2015,5,16))-D757)/365,1),0.25)
)
*
_xlfn.SWITCH(J757,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57" s="1" cm="1">
        <f t="array" aca="1" ref="AA757" ca="1">IF(Y757&lt;DATE(2015,5,17),0,
K757*
(
INT((MIN(Y757,DATE(2018,9,23))-MAX(D757,DATE(2015,5,17)))/365)
+
CEILING(MOD((MIN(Y757,DATE(2018,9,23))-MAX(D757,DATE(2015,5,17)))/365,1),0.25)
)
*
_xlfn.SWITCH(J757,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57" s="1" cm="1">
        <f t="array" aca="1" ref="AB757" ca="1">IF(Y757&lt;DATE(2018,9,24),0,
IF(J757="زراعة",
K757*
(
INT((MIN(Y757,DATE(2023,4,30))-MAX(D757,DATE(2018,9,24)))/365)
+
CEILING(MOD((MIN(Y757,DATE(2023,4,30))-MAX(D757,DATE(2018,9,24)))/365,1),0.25)
)
*1,
K757*
(
DATEDIF(MAX(D757,DATE(2018,9,24)),MIN(Y757,DATE(2023,4,30)),"m")+1
)
*
_xlfn.SWITCH(J757,
"موقف/تندة",IF(D757&lt;DATE(2019,11,30),6,30),
"تشوينات",IF(D757&lt;DATE(2019,11,30),4,20),
"مشاتل",IF(D757&lt;DATE(2019,11,30),2,10),
"كافيتيريا",IF(D757&lt;DATE(2019,11,30),30,150),
"نوادي",IF(D757&lt;DATE(2019,11,30),6,30),
"رسو مراكب",IF(D757&lt;DATE(2019,11,30),2,10),
"مباني",IF(D757&lt;DATE(2018,9,24),2,10),
"عشش",IF(D757&lt;DATE(2019,11,30),2,10),
"كشك (تجاري/صناعي)",IF(D757&lt;DATE(2019,11,30),10,50),
"ردم",20,
0)))</f>
        <v>0</v>
      </c>
      <c r="AC757" s="1" cm="1">
        <f t="array" aca="1" ref="AC757" ca="1">IF(Y757&lt;DATE(2023,5,1),0,
IF(J757="زراعة",
K757*
(
INT((Y757-MAX(DATE(2023,5,1),D757))/365)
+
CEILING(MOD((Y757-MAX(DATE(2023,5,1),D757))/365,1),0.25)
)
*3,
IF(J757="ردم",
K757*20,
K757*
(
DATEDIF(MAX(DATE(2023,5,1),D757),Y757,"m")+1
)
*
_xlfn.SWITCH(J757,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57" s="1">
        <f t="shared" ca="1" si="71"/>
        <v>55</v>
      </c>
    </row>
    <row r="758" spans="1:30" ht="18.75" x14ac:dyDescent="0.25">
      <c r="A758" s="37">
        <v>694</v>
      </c>
      <c r="B758" s="11">
        <v>17</v>
      </c>
      <c r="C758" s="11">
        <v>2024</v>
      </c>
      <c r="D758" s="74" t="s">
        <v>906</v>
      </c>
      <c r="E758" s="11"/>
      <c r="F758" s="3"/>
      <c r="G758" s="63" t="s">
        <v>926</v>
      </c>
      <c r="H758" s="3"/>
      <c r="I758" s="63" t="s">
        <v>105</v>
      </c>
      <c r="J758" s="3" t="s">
        <v>27</v>
      </c>
      <c r="K758" s="3"/>
      <c r="L758" s="63" t="s">
        <v>368</v>
      </c>
      <c r="M758" s="2"/>
      <c r="N758" s="3"/>
      <c r="O758" s="9">
        <f>0.47*Table2[[#This Row],[قيمة المحضر]]</f>
        <v>0</v>
      </c>
      <c r="P758" s="9">
        <f>0.17*Table2[[#This Row],[قيمة المحضر]]</f>
        <v>0</v>
      </c>
      <c r="Q758" s="9">
        <f t="shared" ca="1" si="75"/>
        <v>0</v>
      </c>
      <c r="R758" s="3"/>
      <c r="S758" s="3"/>
      <c r="T758" s="9" t="str">
        <f t="shared" si="76"/>
        <v>-</v>
      </c>
      <c r="U758" s="3"/>
      <c r="V758" s="9" t="str">
        <f t="shared" si="77"/>
        <v/>
      </c>
      <c r="W758" s="4"/>
      <c r="X758" s="88"/>
      <c r="Y758" s="1">
        <f t="shared" ca="1" si="70"/>
        <v>46162</v>
      </c>
      <c r="Z758" s="1" cm="1">
        <f t="array" ref="Z758">IF(D758&gt;DATE(2015,5,16),0,
K758*
(
INT((MIN(Y758,DATE(2015,5,16))-D758)/365)
+
CEILING(MOD((MIN(Y758,DATE(2015,5,16))-D758)/365,1),0.25)
)
*
_xlfn.SWITCH(J758,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58" s="1" cm="1">
        <f t="array" aca="1" ref="AA758" ca="1">IF(Y758&lt;DATE(2015,5,17),0,
K758*
(
INT((MIN(Y758,DATE(2018,9,23))-MAX(D758,DATE(2015,5,17)))/365)
+
CEILING(MOD((MIN(Y758,DATE(2018,9,23))-MAX(D758,DATE(2015,5,17)))/365,1),0.25)
)
*
_xlfn.SWITCH(J758,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58" s="1" cm="1">
        <f t="array" aca="1" ref="AB758" ca="1">IF(Y758&lt;DATE(2018,9,24),0,
IF(J758="زراعة",
K758*
(
INT((MIN(Y758,DATE(2023,4,30))-MAX(D758,DATE(2018,9,24)))/365)
+
CEILING(MOD((MIN(Y758,DATE(2023,4,30))-MAX(D758,DATE(2018,9,24)))/365,1),0.25)
)
*1,
K758*
(
DATEDIF(MAX(D758,DATE(2018,9,24)),MIN(Y758,DATE(2023,4,30)),"m")+1
)
*
_xlfn.SWITCH(J758,
"موقف/تندة",IF(D758&lt;DATE(2019,11,30),6,30),
"تشوينات",IF(D758&lt;DATE(2019,11,30),4,20),
"مشاتل",IF(D758&lt;DATE(2019,11,30),2,10),
"كافيتيريا",IF(D758&lt;DATE(2019,11,30),30,150),
"نوادي",IF(D758&lt;DATE(2019,11,30),6,30),
"رسو مراكب",IF(D758&lt;DATE(2019,11,30),2,10),
"مباني",IF(D758&lt;DATE(2018,9,24),2,10),
"عشش",IF(D758&lt;DATE(2019,11,30),2,10),
"كشك (تجاري/صناعي)",IF(D758&lt;DATE(2019,11,30),10,50),
"ردم",20,
0)))</f>
        <v>0</v>
      </c>
      <c r="AC758" s="1" cm="1">
        <f t="array" aca="1" ref="AC758" ca="1">IF(Y758&lt;DATE(2023,5,1),0,
IF(J758="زراعة",
K758*
(
INT((Y758-MAX(DATE(2023,5,1),D758))/365)
+
CEILING(MOD((Y758-MAX(DATE(2023,5,1),D758))/365,1),0.25)
)
*3,
IF(J758="ردم",
K758*20,
K758*
(
DATEDIF(MAX(DATE(2023,5,1),D758),Y758,"m")+1
)
*
_xlfn.SWITCH(J758,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58" s="1">
        <f t="shared" ca="1" si="71"/>
        <v>55</v>
      </c>
    </row>
    <row r="759" spans="1:30" ht="18.75" x14ac:dyDescent="0.25">
      <c r="A759" s="37">
        <v>695</v>
      </c>
      <c r="B759" s="11">
        <v>18</v>
      </c>
      <c r="C759" s="11">
        <v>2024</v>
      </c>
      <c r="D759" s="74" t="s">
        <v>906</v>
      </c>
      <c r="E759" s="11"/>
      <c r="F759" s="3"/>
      <c r="G759" s="63" t="s">
        <v>345</v>
      </c>
      <c r="H759" s="3"/>
      <c r="I759" s="63" t="s">
        <v>105</v>
      </c>
      <c r="J759" s="3" t="s">
        <v>27</v>
      </c>
      <c r="K759" s="3"/>
      <c r="L759" s="63" t="s">
        <v>368</v>
      </c>
      <c r="M759" s="2"/>
      <c r="N759" s="3"/>
      <c r="O759" s="9">
        <f>0.47*Table2[[#This Row],[قيمة المحضر]]</f>
        <v>0</v>
      </c>
      <c r="P759" s="9">
        <f>0.17*Table2[[#This Row],[قيمة المحضر]]</f>
        <v>0</v>
      </c>
      <c r="Q759" s="9">
        <f t="shared" ca="1" si="75"/>
        <v>0</v>
      </c>
      <c r="R759" s="3"/>
      <c r="S759" s="3"/>
      <c r="T759" s="9" t="str">
        <f t="shared" si="76"/>
        <v>-</v>
      </c>
      <c r="U759" s="3"/>
      <c r="V759" s="9" t="str">
        <f t="shared" si="77"/>
        <v/>
      </c>
      <c r="W759" s="4"/>
      <c r="X759" s="88"/>
      <c r="Y759" s="1">
        <f t="shared" ca="1" si="70"/>
        <v>46162</v>
      </c>
      <c r="Z759" s="1" cm="1">
        <f t="array" ref="Z759">IF(D759&gt;DATE(2015,5,16),0,
K759*
(
INT((MIN(Y759,DATE(2015,5,16))-D759)/365)
+
CEILING(MOD((MIN(Y759,DATE(2015,5,16))-D759)/365,1),0.25)
)
*
_xlfn.SWITCH(J759,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59" s="1" cm="1">
        <f t="array" aca="1" ref="AA759" ca="1">IF(Y759&lt;DATE(2015,5,17),0,
K759*
(
INT((MIN(Y759,DATE(2018,9,23))-MAX(D759,DATE(2015,5,17)))/365)
+
CEILING(MOD((MIN(Y759,DATE(2018,9,23))-MAX(D759,DATE(2015,5,17)))/365,1),0.25)
)
*
_xlfn.SWITCH(J759,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59" s="1" cm="1">
        <f t="array" aca="1" ref="AB759" ca="1">IF(Y759&lt;DATE(2018,9,24),0,
IF(J759="زراعة",
K759*
(
INT((MIN(Y759,DATE(2023,4,30))-MAX(D759,DATE(2018,9,24)))/365)
+
CEILING(MOD((MIN(Y759,DATE(2023,4,30))-MAX(D759,DATE(2018,9,24)))/365,1),0.25)
)
*1,
K759*
(
DATEDIF(MAX(D759,DATE(2018,9,24)),MIN(Y759,DATE(2023,4,30)),"m")+1
)
*
_xlfn.SWITCH(J759,
"موقف/تندة",IF(D759&lt;DATE(2019,11,30),6,30),
"تشوينات",IF(D759&lt;DATE(2019,11,30),4,20),
"مشاتل",IF(D759&lt;DATE(2019,11,30),2,10),
"كافيتيريا",IF(D759&lt;DATE(2019,11,30),30,150),
"نوادي",IF(D759&lt;DATE(2019,11,30),6,30),
"رسو مراكب",IF(D759&lt;DATE(2019,11,30),2,10),
"مباني",IF(D759&lt;DATE(2018,9,24),2,10),
"عشش",IF(D759&lt;DATE(2019,11,30),2,10),
"كشك (تجاري/صناعي)",IF(D759&lt;DATE(2019,11,30),10,50),
"ردم",20,
0)))</f>
        <v>0</v>
      </c>
      <c r="AC759" s="1" cm="1">
        <f t="array" aca="1" ref="AC759" ca="1">IF(Y759&lt;DATE(2023,5,1),0,
IF(J759="زراعة",
K759*
(
INT((Y759-MAX(DATE(2023,5,1),D759))/365)
+
CEILING(MOD((Y759-MAX(DATE(2023,5,1),D759))/365,1),0.25)
)
*3,
IF(J759="ردم",
K759*20,
K759*
(
DATEDIF(MAX(DATE(2023,5,1),D759),Y759,"m")+1
)
*
_xlfn.SWITCH(J759,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59" s="1">
        <f t="shared" ca="1" si="71"/>
        <v>55</v>
      </c>
    </row>
    <row r="760" spans="1:30" ht="18.75" x14ac:dyDescent="0.25">
      <c r="A760" s="37">
        <v>696</v>
      </c>
      <c r="B760" s="11">
        <v>19</v>
      </c>
      <c r="C760" s="11">
        <v>2024</v>
      </c>
      <c r="D760" s="74" t="s">
        <v>906</v>
      </c>
      <c r="E760" s="11"/>
      <c r="F760" s="3"/>
      <c r="G760" s="63" t="s">
        <v>927</v>
      </c>
      <c r="H760" s="3"/>
      <c r="I760" s="63" t="s">
        <v>105</v>
      </c>
      <c r="J760" s="3" t="s">
        <v>27</v>
      </c>
      <c r="K760" s="3"/>
      <c r="L760" s="63" t="s">
        <v>368</v>
      </c>
      <c r="M760" s="2"/>
      <c r="N760" s="3"/>
      <c r="O760" s="9">
        <f>0.47*Table2[[#This Row],[قيمة المحضر]]</f>
        <v>0</v>
      </c>
      <c r="P760" s="9">
        <f>0.17*Table2[[#This Row],[قيمة المحضر]]</f>
        <v>0</v>
      </c>
      <c r="Q760" s="9">
        <f t="shared" ca="1" si="75"/>
        <v>0</v>
      </c>
      <c r="R760" s="3"/>
      <c r="S760" s="3"/>
      <c r="T760" s="9" t="str">
        <f t="shared" si="76"/>
        <v>-</v>
      </c>
      <c r="U760" s="3"/>
      <c r="V760" s="9" t="str">
        <f t="shared" si="77"/>
        <v/>
      </c>
      <c r="W760" s="4"/>
      <c r="X760" s="88"/>
      <c r="Y760" s="1">
        <f t="shared" ca="1" si="70"/>
        <v>46162</v>
      </c>
      <c r="Z760" s="1" cm="1">
        <f t="array" ref="Z760">IF(D760&gt;DATE(2015,5,16),0,
K760*
(
INT((MIN(Y760,DATE(2015,5,16))-D760)/365)
+
CEILING(MOD((MIN(Y760,DATE(2015,5,16))-D760)/365,1),0.25)
)
*
_xlfn.SWITCH(J760,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60" s="1" cm="1">
        <f t="array" aca="1" ref="AA760" ca="1">IF(Y760&lt;DATE(2015,5,17),0,
K760*
(
INT((MIN(Y760,DATE(2018,9,23))-MAX(D760,DATE(2015,5,17)))/365)
+
CEILING(MOD((MIN(Y760,DATE(2018,9,23))-MAX(D760,DATE(2015,5,17)))/365,1),0.25)
)
*
_xlfn.SWITCH(J760,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60" s="1" cm="1">
        <f t="array" aca="1" ref="AB760" ca="1">IF(Y760&lt;DATE(2018,9,24),0,
IF(J760="زراعة",
K760*
(
INT((MIN(Y760,DATE(2023,4,30))-MAX(D760,DATE(2018,9,24)))/365)
+
CEILING(MOD((MIN(Y760,DATE(2023,4,30))-MAX(D760,DATE(2018,9,24)))/365,1),0.25)
)
*1,
K760*
(
DATEDIF(MAX(D760,DATE(2018,9,24)),MIN(Y760,DATE(2023,4,30)),"m")+1
)
*
_xlfn.SWITCH(J760,
"موقف/تندة",IF(D760&lt;DATE(2019,11,30),6,30),
"تشوينات",IF(D760&lt;DATE(2019,11,30),4,20),
"مشاتل",IF(D760&lt;DATE(2019,11,30),2,10),
"كافيتيريا",IF(D760&lt;DATE(2019,11,30),30,150),
"نوادي",IF(D760&lt;DATE(2019,11,30),6,30),
"رسو مراكب",IF(D760&lt;DATE(2019,11,30),2,10),
"مباني",IF(D760&lt;DATE(2018,9,24),2,10),
"عشش",IF(D760&lt;DATE(2019,11,30),2,10),
"كشك (تجاري/صناعي)",IF(D760&lt;DATE(2019,11,30),10,50),
"ردم",20,
0)))</f>
        <v>0</v>
      </c>
      <c r="AC760" s="1" cm="1">
        <f t="array" aca="1" ref="AC760" ca="1">IF(Y760&lt;DATE(2023,5,1),0,
IF(J760="زراعة",
K760*
(
INT((Y760-MAX(DATE(2023,5,1),D760))/365)
+
CEILING(MOD((Y760-MAX(DATE(2023,5,1),D760))/365,1),0.25)
)
*3,
IF(J760="ردم",
K760*20,
K760*
(
DATEDIF(MAX(DATE(2023,5,1),D760),Y760,"m")+1
)
*
_xlfn.SWITCH(J760,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60" s="1">
        <f t="shared" ca="1" si="71"/>
        <v>55</v>
      </c>
    </row>
    <row r="761" spans="1:30" ht="18.75" x14ac:dyDescent="0.25">
      <c r="A761" s="37">
        <v>697</v>
      </c>
      <c r="B761" s="11">
        <v>20</v>
      </c>
      <c r="C761" s="11">
        <v>2024</v>
      </c>
      <c r="D761" s="74" t="s">
        <v>906</v>
      </c>
      <c r="E761" s="11"/>
      <c r="F761" s="3"/>
      <c r="G761" s="63" t="s">
        <v>928</v>
      </c>
      <c r="H761" s="3"/>
      <c r="I761" s="63" t="s">
        <v>105</v>
      </c>
      <c r="J761" s="3" t="s">
        <v>27</v>
      </c>
      <c r="K761" s="3"/>
      <c r="L761" s="63" t="s">
        <v>368</v>
      </c>
      <c r="M761" s="2"/>
      <c r="N761" s="3"/>
      <c r="O761" s="9">
        <f>0.47*Table2[[#This Row],[قيمة المحضر]]</f>
        <v>0</v>
      </c>
      <c r="P761" s="9">
        <f>0.17*Table2[[#This Row],[قيمة المحضر]]</f>
        <v>0</v>
      </c>
      <c r="Q761" s="9">
        <f t="shared" ca="1" si="75"/>
        <v>0</v>
      </c>
      <c r="R761" s="3"/>
      <c r="S761" s="3"/>
      <c r="T761" s="9" t="str">
        <f t="shared" si="76"/>
        <v>-</v>
      </c>
      <c r="U761" s="3"/>
      <c r="V761" s="9" t="str">
        <f t="shared" si="77"/>
        <v/>
      </c>
      <c r="W761" s="4"/>
      <c r="X761" s="88"/>
      <c r="Y761" s="1">
        <f t="shared" ca="1" si="70"/>
        <v>46162</v>
      </c>
      <c r="Z761" s="1" cm="1">
        <f t="array" ref="Z761">IF(D761&gt;DATE(2015,5,16),0,
K761*
(
INT((MIN(Y761,DATE(2015,5,16))-D761)/365)
+
CEILING(MOD((MIN(Y761,DATE(2015,5,16))-D761)/365,1),0.25)
)
*
_xlfn.SWITCH(J761,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61" s="1" cm="1">
        <f t="array" aca="1" ref="AA761" ca="1">IF(Y761&lt;DATE(2015,5,17),0,
K761*
(
INT((MIN(Y761,DATE(2018,9,23))-MAX(D761,DATE(2015,5,17)))/365)
+
CEILING(MOD((MIN(Y761,DATE(2018,9,23))-MAX(D761,DATE(2015,5,17)))/365,1),0.25)
)
*
_xlfn.SWITCH(J761,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61" s="1" cm="1">
        <f t="array" aca="1" ref="AB761" ca="1">IF(Y761&lt;DATE(2018,9,24),0,
IF(J761="زراعة",
K761*
(
INT((MIN(Y761,DATE(2023,4,30))-MAX(D761,DATE(2018,9,24)))/365)
+
CEILING(MOD((MIN(Y761,DATE(2023,4,30))-MAX(D761,DATE(2018,9,24)))/365,1),0.25)
)
*1,
K761*
(
DATEDIF(MAX(D761,DATE(2018,9,24)),MIN(Y761,DATE(2023,4,30)),"m")+1
)
*
_xlfn.SWITCH(J761,
"موقف/تندة",IF(D761&lt;DATE(2019,11,30),6,30),
"تشوينات",IF(D761&lt;DATE(2019,11,30),4,20),
"مشاتل",IF(D761&lt;DATE(2019,11,30),2,10),
"كافيتيريا",IF(D761&lt;DATE(2019,11,30),30,150),
"نوادي",IF(D761&lt;DATE(2019,11,30),6,30),
"رسو مراكب",IF(D761&lt;DATE(2019,11,30),2,10),
"مباني",IF(D761&lt;DATE(2018,9,24),2,10),
"عشش",IF(D761&lt;DATE(2019,11,30),2,10),
"كشك (تجاري/صناعي)",IF(D761&lt;DATE(2019,11,30),10,50),
"ردم",20,
0)))</f>
        <v>0</v>
      </c>
      <c r="AC761" s="1" cm="1">
        <f t="array" aca="1" ref="AC761" ca="1">IF(Y761&lt;DATE(2023,5,1),0,
IF(J761="زراعة",
K761*
(
INT((Y761-MAX(DATE(2023,5,1),D761))/365)
+
CEILING(MOD((Y761-MAX(DATE(2023,5,1),D761))/365,1),0.25)
)
*3,
IF(J761="ردم",
K761*20,
K761*
(
DATEDIF(MAX(DATE(2023,5,1),D761),Y761,"m")+1
)
*
_xlfn.SWITCH(J761,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61" s="1">
        <f t="shared" ca="1" si="71"/>
        <v>55</v>
      </c>
    </row>
    <row r="762" spans="1:30" ht="18.75" x14ac:dyDescent="0.25">
      <c r="A762" s="37">
        <v>698</v>
      </c>
      <c r="B762" s="11">
        <v>21</v>
      </c>
      <c r="C762" s="11">
        <v>2024</v>
      </c>
      <c r="D762" s="74" t="s">
        <v>906</v>
      </c>
      <c r="E762" s="11"/>
      <c r="F762" s="3"/>
      <c r="G762" s="63" t="s">
        <v>929</v>
      </c>
      <c r="H762" s="3"/>
      <c r="I762" s="63" t="s">
        <v>105</v>
      </c>
      <c r="J762" s="3" t="s">
        <v>27</v>
      </c>
      <c r="K762" s="3"/>
      <c r="L762" s="63" t="s">
        <v>368</v>
      </c>
      <c r="M762" s="2"/>
      <c r="N762" s="3"/>
      <c r="O762" s="9">
        <f>0.47*Table2[[#This Row],[قيمة المحضر]]</f>
        <v>0</v>
      </c>
      <c r="P762" s="9">
        <f>0.17*Table2[[#This Row],[قيمة المحضر]]</f>
        <v>0</v>
      </c>
      <c r="Q762" s="9">
        <f t="shared" ca="1" si="75"/>
        <v>0</v>
      </c>
      <c r="R762" s="3"/>
      <c r="S762" s="3"/>
      <c r="T762" s="9" t="str">
        <f t="shared" si="76"/>
        <v>-</v>
      </c>
      <c r="U762" s="3"/>
      <c r="V762" s="9" t="str">
        <f t="shared" si="77"/>
        <v/>
      </c>
      <c r="W762" s="4"/>
      <c r="X762" s="88"/>
      <c r="Y762" s="1">
        <f t="shared" ca="1" si="70"/>
        <v>46162</v>
      </c>
      <c r="Z762" s="1" cm="1">
        <f t="array" ref="Z762">IF(D762&gt;DATE(2015,5,16),0,
K762*
(
INT((MIN(Y762,DATE(2015,5,16))-D762)/365)
+
CEILING(MOD((MIN(Y762,DATE(2015,5,16))-D762)/365,1),0.25)
)
*
_xlfn.SWITCH(J762,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62" s="1" cm="1">
        <f t="array" aca="1" ref="AA762" ca="1">IF(Y762&lt;DATE(2015,5,17),0,
K762*
(
INT((MIN(Y762,DATE(2018,9,23))-MAX(D762,DATE(2015,5,17)))/365)
+
CEILING(MOD((MIN(Y762,DATE(2018,9,23))-MAX(D762,DATE(2015,5,17)))/365,1),0.25)
)
*
_xlfn.SWITCH(J762,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62" s="1" cm="1">
        <f t="array" aca="1" ref="AB762" ca="1">IF(Y762&lt;DATE(2018,9,24),0,
IF(J762="زراعة",
K762*
(
INT((MIN(Y762,DATE(2023,4,30))-MAX(D762,DATE(2018,9,24)))/365)
+
CEILING(MOD((MIN(Y762,DATE(2023,4,30))-MAX(D762,DATE(2018,9,24)))/365,1),0.25)
)
*1,
K762*
(
DATEDIF(MAX(D762,DATE(2018,9,24)),MIN(Y762,DATE(2023,4,30)),"m")+1
)
*
_xlfn.SWITCH(J762,
"موقف/تندة",IF(D762&lt;DATE(2019,11,30),6,30),
"تشوينات",IF(D762&lt;DATE(2019,11,30),4,20),
"مشاتل",IF(D762&lt;DATE(2019,11,30),2,10),
"كافيتيريا",IF(D762&lt;DATE(2019,11,30),30,150),
"نوادي",IF(D762&lt;DATE(2019,11,30),6,30),
"رسو مراكب",IF(D762&lt;DATE(2019,11,30),2,10),
"مباني",IF(D762&lt;DATE(2018,9,24),2,10),
"عشش",IF(D762&lt;DATE(2019,11,30),2,10),
"كشك (تجاري/صناعي)",IF(D762&lt;DATE(2019,11,30),10,50),
"ردم",20,
0)))</f>
        <v>0</v>
      </c>
      <c r="AC762" s="1" cm="1">
        <f t="array" aca="1" ref="AC762" ca="1">IF(Y762&lt;DATE(2023,5,1),0,
IF(J762="زراعة",
K762*
(
INT((Y762-MAX(DATE(2023,5,1),D762))/365)
+
CEILING(MOD((Y762-MAX(DATE(2023,5,1),D762))/365,1),0.25)
)
*3,
IF(J762="ردم",
K762*20,
K762*
(
DATEDIF(MAX(DATE(2023,5,1),D762),Y762,"m")+1
)
*
_xlfn.SWITCH(J762,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62" s="1">
        <f t="shared" ca="1" si="71"/>
        <v>55</v>
      </c>
    </row>
    <row r="763" spans="1:30" ht="18.75" x14ac:dyDescent="0.25">
      <c r="A763" s="37">
        <v>699</v>
      </c>
      <c r="B763" s="11">
        <v>22</v>
      </c>
      <c r="C763" s="11">
        <v>2024</v>
      </c>
      <c r="D763" s="74" t="s">
        <v>906</v>
      </c>
      <c r="E763" s="11"/>
      <c r="F763" s="3"/>
      <c r="G763" s="63" t="s">
        <v>930</v>
      </c>
      <c r="H763" s="3"/>
      <c r="I763" s="63" t="s">
        <v>104</v>
      </c>
      <c r="J763" s="3" t="s">
        <v>77</v>
      </c>
      <c r="K763" s="3"/>
      <c r="L763" s="63" t="s">
        <v>830</v>
      </c>
      <c r="M763" s="2"/>
      <c r="N763" s="3"/>
      <c r="O763" s="9">
        <f>0.47*Table2[[#This Row],[قيمة المحضر]]</f>
        <v>0</v>
      </c>
      <c r="P763" s="9">
        <f>0.17*Table2[[#This Row],[قيمة المحضر]]</f>
        <v>0</v>
      </c>
      <c r="Q763" s="9">
        <f t="shared" ca="1" si="75"/>
        <v>0</v>
      </c>
      <c r="R763" s="3"/>
      <c r="S763" s="3"/>
      <c r="T763" s="9" t="str">
        <f t="shared" si="76"/>
        <v>-</v>
      </c>
      <c r="U763" s="3"/>
      <c r="V763" s="9" t="str">
        <f t="shared" si="77"/>
        <v/>
      </c>
      <c r="W763" s="4"/>
      <c r="X763" s="88"/>
      <c r="Y763" s="1">
        <f t="shared" ca="1" si="70"/>
        <v>46162</v>
      </c>
      <c r="Z763" s="1" cm="1">
        <f t="array" ref="Z763">IF(D763&gt;DATE(2015,5,16),0,
K763*
(
INT((MIN(Y763,DATE(2015,5,16))-D763)/365)
+
CEILING(MOD((MIN(Y763,DATE(2015,5,16))-D763)/365,1),0.25)
)
*
_xlfn.SWITCH(J763,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63" s="1" cm="1">
        <f t="array" aca="1" ref="AA763" ca="1">IF(Y763&lt;DATE(2015,5,17),0,
K763*
(
INT((MIN(Y763,DATE(2018,9,23))-MAX(D763,DATE(2015,5,17)))/365)
+
CEILING(MOD((MIN(Y763,DATE(2018,9,23))-MAX(D763,DATE(2015,5,17)))/365,1),0.25)
)
*
_xlfn.SWITCH(J763,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63" s="1" cm="1">
        <f t="array" aca="1" ref="AB763" ca="1">IF(Y763&lt;DATE(2018,9,24),0,
IF(J763="زراعة",
K763*
(
INT((MIN(Y763,DATE(2023,4,30))-MAX(D763,DATE(2018,9,24)))/365)
+
CEILING(MOD((MIN(Y763,DATE(2023,4,30))-MAX(D763,DATE(2018,9,24)))/365,1),0.25)
)
*1,
K763*
(
DATEDIF(MAX(D763,DATE(2018,9,24)),MIN(Y763,DATE(2023,4,30)),"m")+1
)
*
_xlfn.SWITCH(J763,
"موقف/تندة",IF(D763&lt;DATE(2019,11,30),6,30),
"تشوينات",IF(D763&lt;DATE(2019,11,30),4,20),
"مشاتل",IF(D763&lt;DATE(2019,11,30),2,10),
"كافيتيريا",IF(D763&lt;DATE(2019,11,30),30,150),
"نوادي",IF(D763&lt;DATE(2019,11,30),6,30),
"رسو مراكب",IF(D763&lt;DATE(2019,11,30),2,10),
"مباني",IF(D763&lt;DATE(2018,9,24),2,10),
"عشش",IF(D763&lt;DATE(2019,11,30),2,10),
"كشك (تجاري/صناعي)",IF(D763&lt;DATE(2019,11,30),10,50),
"ردم",20,
0)))</f>
        <v>0</v>
      </c>
      <c r="AC763" s="1" cm="1">
        <f t="array" aca="1" ref="AC763" ca="1">IF(Y763&lt;DATE(2023,5,1),0,
IF(J763="زراعة",
K763*
(
INT((Y763-MAX(DATE(2023,5,1),D763))/365)
+
CEILING(MOD((Y763-MAX(DATE(2023,5,1),D763))/365,1),0.25)
)
*3,
IF(J763="ردم",
K763*20,
K763*
(
DATEDIF(MAX(DATE(2023,5,1),D763),Y763,"m")+1
)
*
_xlfn.SWITCH(J763,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63" s="1">
        <f t="shared" ca="1" si="71"/>
        <v>55</v>
      </c>
    </row>
    <row r="764" spans="1:30" ht="18.75" x14ac:dyDescent="0.25">
      <c r="A764" s="37">
        <v>700</v>
      </c>
      <c r="B764" s="11">
        <v>23</v>
      </c>
      <c r="C764" s="11">
        <v>2024</v>
      </c>
      <c r="D764" s="74" t="s">
        <v>907</v>
      </c>
      <c r="E764" s="11"/>
      <c r="F764" s="3"/>
      <c r="G764" s="63" t="s">
        <v>931</v>
      </c>
      <c r="H764" s="3"/>
      <c r="I764" s="63" t="s">
        <v>103</v>
      </c>
      <c r="J764" s="3" t="s">
        <v>77</v>
      </c>
      <c r="K764" s="3"/>
      <c r="L764" s="63" t="s">
        <v>830</v>
      </c>
      <c r="M764" s="2"/>
      <c r="N764" s="3"/>
      <c r="O764" s="9">
        <f>0.47*Table2[[#This Row],[قيمة المحضر]]</f>
        <v>0</v>
      </c>
      <c r="P764" s="9">
        <f>0.17*Table2[[#This Row],[قيمة المحضر]]</f>
        <v>0</v>
      </c>
      <c r="Q764" s="9">
        <f t="shared" ca="1" si="75"/>
        <v>0</v>
      </c>
      <c r="R764" s="3"/>
      <c r="S764" s="3"/>
      <c r="T764" s="9" t="str">
        <f t="shared" si="76"/>
        <v>-</v>
      </c>
      <c r="U764" s="3"/>
      <c r="V764" s="9" t="str">
        <f t="shared" si="77"/>
        <v/>
      </c>
      <c r="W764" s="4"/>
      <c r="X764" s="88"/>
      <c r="Y764" s="1">
        <f t="shared" ca="1" si="70"/>
        <v>46162</v>
      </c>
      <c r="Z764" s="1" cm="1">
        <f t="array" ref="Z764">IF(D764&gt;DATE(2015,5,16),0,
K764*
(
INT((MIN(Y764,DATE(2015,5,16))-D764)/365)
+
CEILING(MOD((MIN(Y764,DATE(2015,5,16))-D764)/365,1),0.25)
)
*
_xlfn.SWITCH(J764,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64" s="1" cm="1">
        <f t="array" aca="1" ref="AA764" ca="1">IF(Y764&lt;DATE(2015,5,17),0,
K764*
(
INT((MIN(Y764,DATE(2018,9,23))-MAX(D764,DATE(2015,5,17)))/365)
+
CEILING(MOD((MIN(Y764,DATE(2018,9,23))-MAX(D764,DATE(2015,5,17)))/365,1),0.25)
)
*
_xlfn.SWITCH(J764,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64" s="1" cm="1">
        <f t="array" aca="1" ref="AB764" ca="1">IF(Y764&lt;DATE(2018,9,24),0,
IF(J764="زراعة",
K764*
(
INT((MIN(Y764,DATE(2023,4,30))-MAX(D764,DATE(2018,9,24)))/365)
+
CEILING(MOD((MIN(Y764,DATE(2023,4,30))-MAX(D764,DATE(2018,9,24)))/365,1),0.25)
)
*1,
K764*
(
DATEDIF(MAX(D764,DATE(2018,9,24)),MIN(Y764,DATE(2023,4,30)),"m")+1
)
*
_xlfn.SWITCH(J764,
"موقف/تندة",IF(D764&lt;DATE(2019,11,30),6,30),
"تشوينات",IF(D764&lt;DATE(2019,11,30),4,20),
"مشاتل",IF(D764&lt;DATE(2019,11,30),2,10),
"كافيتيريا",IF(D764&lt;DATE(2019,11,30),30,150),
"نوادي",IF(D764&lt;DATE(2019,11,30),6,30),
"رسو مراكب",IF(D764&lt;DATE(2019,11,30),2,10),
"مباني",IF(D764&lt;DATE(2018,9,24),2,10),
"عشش",IF(D764&lt;DATE(2019,11,30),2,10),
"كشك (تجاري/صناعي)",IF(D764&lt;DATE(2019,11,30),10,50),
"ردم",20,
0)))</f>
        <v>0</v>
      </c>
      <c r="AC764" s="1" cm="1">
        <f t="array" aca="1" ref="AC764" ca="1">IF(Y764&lt;DATE(2023,5,1),0,
IF(J764="زراعة",
K764*
(
INT((Y764-MAX(DATE(2023,5,1),D764))/365)
+
CEILING(MOD((Y764-MAX(DATE(2023,5,1),D764))/365,1),0.25)
)
*3,
IF(J764="ردم",
K764*20,
K764*
(
DATEDIF(MAX(DATE(2023,5,1),D764),Y764,"m")+1
)
*
_xlfn.SWITCH(J764,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64" s="1">
        <f t="shared" ca="1" si="71"/>
        <v>55</v>
      </c>
    </row>
    <row r="765" spans="1:30" ht="18.75" x14ac:dyDescent="0.25">
      <c r="A765" s="37">
        <v>701</v>
      </c>
      <c r="B765" s="11">
        <v>24</v>
      </c>
      <c r="C765" s="11">
        <v>2024</v>
      </c>
      <c r="D765" s="74" t="s">
        <v>908</v>
      </c>
      <c r="E765" s="11"/>
      <c r="F765" s="3"/>
      <c r="G765" s="63" t="s">
        <v>932</v>
      </c>
      <c r="H765" s="3"/>
      <c r="I765" s="63" t="s">
        <v>50</v>
      </c>
      <c r="J765" s="3" t="s">
        <v>28</v>
      </c>
      <c r="K765" s="3"/>
      <c r="L765" s="63" t="s">
        <v>672</v>
      </c>
      <c r="M765" s="2"/>
      <c r="N765" s="3"/>
      <c r="O765" s="9">
        <f>0.47*Table2[[#This Row],[قيمة المحضر]]</f>
        <v>0</v>
      </c>
      <c r="P765" s="9">
        <f>0.17*Table2[[#This Row],[قيمة المحضر]]</f>
        <v>0</v>
      </c>
      <c r="Q765" s="9">
        <f t="shared" ca="1" si="75"/>
        <v>0</v>
      </c>
      <c r="R765" s="3"/>
      <c r="S765" s="3"/>
      <c r="T765" s="9" t="str">
        <f t="shared" si="76"/>
        <v>-</v>
      </c>
      <c r="U765" s="3"/>
      <c r="V765" s="9" t="str">
        <f t="shared" si="77"/>
        <v/>
      </c>
      <c r="W765" s="4"/>
      <c r="X765" s="88"/>
      <c r="Y765" s="1">
        <f t="shared" ca="1" si="70"/>
        <v>46162</v>
      </c>
      <c r="Z765" s="1" cm="1">
        <f t="array" ref="Z765">IF(D765&gt;DATE(2015,5,16),0,
K765*
(
INT((MIN(Y765,DATE(2015,5,16))-D765)/365)
+
CEILING(MOD((MIN(Y765,DATE(2015,5,16))-D765)/365,1),0.25)
)
*
_xlfn.SWITCH(J765,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65" s="1" cm="1">
        <f t="array" aca="1" ref="AA765" ca="1">IF(Y765&lt;DATE(2015,5,17),0,
K765*
(
INT((MIN(Y765,DATE(2018,9,23))-MAX(D765,DATE(2015,5,17)))/365)
+
CEILING(MOD((MIN(Y765,DATE(2018,9,23))-MAX(D765,DATE(2015,5,17)))/365,1),0.25)
)
*
_xlfn.SWITCH(J765,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65" s="1" cm="1">
        <f t="array" aca="1" ref="AB765" ca="1">IF(Y765&lt;DATE(2018,9,24),0,
IF(J765="زراعة",
K765*
(
INT((MIN(Y765,DATE(2023,4,30))-MAX(D765,DATE(2018,9,24)))/365)
+
CEILING(MOD((MIN(Y765,DATE(2023,4,30))-MAX(D765,DATE(2018,9,24)))/365,1),0.25)
)
*1,
K765*
(
DATEDIF(MAX(D765,DATE(2018,9,24)),MIN(Y765,DATE(2023,4,30)),"m")+1
)
*
_xlfn.SWITCH(J765,
"موقف/تندة",IF(D765&lt;DATE(2019,11,30),6,30),
"تشوينات",IF(D765&lt;DATE(2019,11,30),4,20),
"مشاتل",IF(D765&lt;DATE(2019,11,30),2,10),
"كافيتيريا",IF(D765&lt;DATE(2019,11,30),30,150),
"نوادي",IF(D765&lt;DATE(2019,11,30),6,30),
"رسو مراكب",IF(D765&lt;DATE(2019,11,30),2,10),
"مباني",IF(D765&lt;DATE(2018,9,24),2,10),
"عشش",IF(D765&lt;DATE(2019,11,30),2,10),
"كشك (تجاري/صناعي)",IF(D765&lt;DATE(2019,11,30),10,50),
"ردم",20,
0)))</f>
        <v>0</v>
      </c>
      <c r="AC765" s="1" cm="1">
        <f t="array" aca="1" ref="AC765" ca="1">IF(Y765&lt;DATE(2023,5,1),0,
IF(J765="زراعة",
K765*
(
INT((Y765-MAX(DATE(2023,5,1),D765))/365)
+
CEILING(MOD((Y765-MAX(DATE(2023,5,1),D765))/365,1),0.25)
)
*3,
IF(J765="ردم",
K765*20,
K765*
(
DATEDIF(MAX(DATE(2023,5,1),D765),Y765,"m")+1
)
*
_xlfn.SWITCH(J765,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65" s="1">
        <f t="shared" ca="1" si="71"/>
        <v>55</v>
      </c>
    </row>
    <row r="766" spans="1:30" ht="18.75" x14ac:dyDescent="0.25">
      <c r="A766" s="37">
        <v>702</v>
      </c>
      <c r="B766" s="11">
        <v>25</v>
      </c>
      <c r="C766" s="11">
        <v>2024</v>
      </c>
      <c r="D766" s="74" t="s">
        <v>908</v>
      </c>
      <c r="E766" s="11"/>
      <c r="F766" s="3"/>
      <c r="G766" s="63" t="s">
        <v>933</v>
      </c>
      <c r="H766" s="3"/>
      <c r="I766" s="63" t="s">
        <v>50</v>
      </c>
      <c r="J766" s="3" t="s">
        <v>29</v>
      </c>
      <c r="K766" s="3"/>
      <c r="L766" s="63" t="s">
        <v>672</v>
      </c>
      <c r="M766" s="2"/>
      <c r="N766" s="3"/>
      <c r="O766" s="9">
        <f>0.47*Table2[[#This Row],[قيمة المحضر]]</f>
        <v>0</v>
      </c>
      <c r="P766" s="9">
        <f>0.17*Table2[[#This Row],[قيمة المحضر]]</f>
        <v>0</v>
      </c>
      <c r="Q766" s="9">
        <f t="shared" ca="1" si="75"/>
        <v>0</v>
      </c>
      <c r="R766" s="3"/>
      <c r="S766" s="3"/>
      <c r="T766" s="9" t="str">
        <f t="shared" si="76"/>
        <v>-</v>
      </c>
      <c r="U766" s="3"/>
      <c r="V766" s="9" t="str">
        <f t="shared" si="77"/>
        <v/>
      </c>
      <c r="W766" s="4"/>
      <c r="X766" s="88"/>
      <c r="Y766" s="1">
        <f t="shared" ca="1" si="70"/>
        <v>46162</v>
      </c>
      <c r="Z766" s="1" cm="1">
        <f t="array" ref="Z766">IF(D766&gt;DATE(2015,5,16),0,
K766*
(
INT((MIN(Y766,DATE(2015,5,16))-D766)/365)
+
CEILING(MOD((MIN(Y766,DATE(2015,5,16))-D766)/365,1),0.25)
)
*
_xlfn.SWITCH(J766,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66" s="1" cm="1">
        <f t="array" aca="1" ref="AA766" ca="1">IF(Y766&lt;DATE(2015,5,17),0,
K766*
(
INT((MIN(Y766,DATE(2018,9,23))-MAX(D766,DATE(2015,5,17)))/365)
+
CEILING(MOD((MIN(Y766,DATE(2018,9,23))-MAX(D766,DATE(2015,5,17)))/365,1),0.25)
)
*
_xlfn.SWITCH(J766,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66" s="1" cm="1">
        <f t="array" aca="1" ref="AB766" ca="1">IF(Y766&lt;DATE(2018,9,24),0,
IF(J766="زراعة",
K766*
(
INT((MIN(Y766,DATE(2023,4,30))-MAX(D766,DATE(2018,9,24)))/365)
+
CEILING(MOD((MIN(Y766,DATE(2023,4,30))-MAX(D766,DATE(2018,9,24)))/365,1),0.25)
)
*1,
K766*
(
DATEDIF(MAX(D766,DATE(2018,9,24)),MIN(Y766,DATE(2023,4,30)),"m")+1
)
*
_xlfn.SWITCH(J766,
"موقف/تندة",IF(D766&lt;DATE(2019,11,30),6,30),
"تشوينات",IF(D766&lt;DATE(2019,11,30),4,20),
"مشاتل",IF(D766&lt;DATE(2019,11,30),2,10),
"كافيتيريا",IF(D766&lt;DATE(2019,11,30),30,150),
"نوادي",IF(D766&lt;DATE(2019,11,30),6,30),
"رسو مراكب",IF(D766&lt;DATE(2019,11,30),2,10),
"مباني",IF(D766&lt;DATE(2018,9,24),2,10),
"عشش",IF(D766&lt;DATE(2019,11,30),2,10),
"كشك (تجاري/صناعي)",IF(D766&lt;DATE(2019,11,30),10,50),
"ردم",20,
0)))</f>
        <v>0</v>
      </c>
      <c r="AC766" s="1" cm="1">
        <f t="array" aca="1" ref="AC766" ca="1">IF(Y766&lt;DATE(2023,5,1),0,
IF(J766="زراعة",
K766*
(
INT((Y766-MAX(DATE(2023,5,1),D766))/365)
+
CEILING(MOD((Y766-MAX(DATE(2023,5,1),D766))/365,1),0.25)
)
*3,
IF(J766="ردم",
K766*20,
K766*
(
DATEDIF(MAX(DATE(2023,5,1),D766),Y766,"m")+1
)
*
_xlfn.SWITCH(J766,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66" s="1">
        <f t="shared" ca="1" si="71"/>
        <v>55</v>
      </c>
    </row>
    <row r="767" spans="1:30" ht="18.75" x14ac:dyDescent="0.25">
      <c r="A767" s="37">
        <v>703</v>
      </c>
      <c r="B767" s="11">
        <v>26</v>
      </c>
      <c r="C767" s="11">
        <v>2024</v>
      </c>
      <c r="D767" s="74" t="s">
        <v>908</v>
      </c>
      <c r="E767" s="11"/>
      <c r="F767" s="3"/>
      <c r="G767" s="63" t="s">
        <v>901</v>
      </c>
      <c r="H767" s="3"/>
      <c r="I767" s="63" t="s">
        <v>50</v>
      </c>
      <c r="J767" s="3" t="s">
        <v>28</v>
      </c>
      <c r="K767" s="3"/>
      <c r="L767" s="63" t="s">
        <v>672</v>
      </c>
      <c r="M767" s="2"/>
      <c r="N767" s="3"/>
      <c r="O767" s="9">
        <f>0.47*Table2[[#This Row],[قيمة المحضر]]</f>
        <v>0</v>
      </c>
      <c r="P767" s="9">
        <f>0.17*Table2[[#This Row],[قيمة المحضر]]</f>
        <v>0</v>
      </c>
      <c r="Q767" s="9">
        <f t="shared" ca="1" si="75"/>
        <v>0</v>
      </c>
      <c r="R767" s="3"/>
      <c r="S767" s="3"/>
      <c r="T767" s="9" t="str">
        <f t="shared" si="76"/>
        <v>-</v>
      </c>
      <c r="U767" s="3"/>
      <c r="V767" s="9" t="str">
        <f t="shared" si="77"/>
        <v/>
      </c>
      <c r="W767" s="4"/>
      <c r="X767" s="88"/>
      <c r="Y767" s="1">
        <f t="shared" ca="1" si="70"/>
        <v>46162</v>
      </c>
      <c r="Z767" s="1" cm="1">
        <f t="array" ref="Z767">IF(D767&gt;DATE(2015,5,16),0,
K767*
(
INT((MIN(Y767,DATE(2015,5,16))-D767)/365)
+
CEILING(MOD((MIN(Y767,DATE(2015,5,16))-D767)/365,1),0.25)
)
*
_xlfn.SWITCH(J767,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67" s="1" cm="1">
        <f t="array" aca="1" ref="AA767" ca="1">IF(Y767&lt;DATE(2015,5,17),0,
K767*
(
INT((MIN(Y767,DATE(2018,9,23))-MAX(D767,DATE(2015,5,17)))/365)
+
CEILING(MOD((MIN(Y767,DATE(2018,9,23))-MAX(D767,DATE(2015,5,17)))/365,1),0.25)
)
*
_xlfn.SWITCH(J767,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67" s="1" cm="1">
        <f t="array" aca="1" ref="AB767" ca="1">IF(Y767&lt;DATE(2018,9,24),0,
IF(J767="زراعة",
K767*
(
INT((MIN(Y767,DATE(2023,4,30))-MAX(D767,DATE(2018,9,24)))/365)
+
CEILING(MOD((MIN(Y767,DATE(2023,4,30))-MAX(D767,DATE(2018,9,24)))/365,1),0.25)
)
*1,
K767*
(
DATEDIF(MAX(D767,DATE(2018,9,24)),MIN(Y767,DATE(2023,4,30)),"m")+1
)
*
_xlfn.SWITCH(J767,
"موقف/تندة",IF(D767&lt;DATE(2019,11,30),6,30),
"تشوينات",IF(D767&lt;DATE(2019,11,30),4,20),
"مشاتل",IF(D767&lt;DATE(2019,11,30),2,10),
"كافيتيريا",IF(D767&lt;DATE(2019,11,30),30,150),
"نوادي",IF(D767&lt;DATE(2019,11,30),6,30),
"رسو مراكب",IF(D767&lt;DATE(2019,11,30),2,10),
"مباني",IF(D767&lt;DATE(2018,9,24),2,10),
"عشش",IF(D767&lt;DATE(2019,11,30),2,10),
"كشك (تجاري/صناعي)",IF(D767&lt;DATE(2019,11,30),10,50),
"ردم",20,
0)))</f>
        <v>0</v>
      </c>
      <c r="AC767" s="1" cm="1">
        <f t="array" aca="1" ref="AC767" ca="1">IF(Y767&lt;DATE(2023,5,1),0,
IF(J767="زراعة",
K767*
(
INT((Y767-MAX(DATE(2023,5,1),D767))/365)
+
CEILING(MOD((Y767-MAX(DATE(2023,5,1),D767))/365,1),0.25)
)
*3,
IF(J767="ردم",
K767*20,
K767*
(
DATEDIF(MAX(DATE(2023,5,1),D767),Y767,"m")+1
)
*
_xlfn.SWITCH(J767,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67" s="1">
        <f t="shared" ca="1" si="71"/>
        <v>55</v>
      </c>
    </row>
    <row r="768" spans="1:30" ht="18.75" x14ac:dyDescent="0.25">
      <c r="A768" s="37">
        <v>704</v>
      </c>
      <c r="B768" s="11">
        <v>27</v>
      </c>
      <c r="C768" s="11">
        <v>2024</v>
      </c>
      <c r="D768" s="74" t="s">
        <v>908</v>
      </c>
      <c r="E768" s="11"/>
      <c r="F768" s="3"/>
      <c r="G768" s="63" t="s">
        <v>890</v>
      </c>
      <c r="H768" s="3"/>
      <c r="I768" s="63" t="s">
        <v>50</v>
      </c>
      <c r="J768" s="3" t="s">
        <v>28</v>
      </c>
      <c r="K768" s="3"/>
      <c r="L768" s="63" t="s">
        <v>672</v>
      </c>
      <c r="M768" s="2"/>
      <c r="N768" s="3"/>
      <c r="O768" s="9">
        <f>0.47*Table2[[#This Row],[قيمة المحضر]]</f>
        <v>0</v>
      </c>
      <c r="P768" s="9">
        <f>0.17*Table2[[#This Row],[قيمة المحضر]]</f>
        <v>0</v>
      </c>
      <c r="Q768" s="9">
        <f t="shared" ca="1" si="75"/>
        <v>0</v>
      </c>
      <c r="R768" s="3"/>
      <c r="S768" s="3"/>
      <c r="T768" s="9" t="str">
        <f t="shared" si="76"/>
        <v>-</v>
      </c>
      <c r="U768" s="3"/>
      <c r="V768" s="9" t="str">
        <f t="shared" si="77"/>
        <v/>
      </c>
      <c r="W768" s="4"/>
      <c r="X768" s="88"/>
      <c r="Y768" s="1">
        <f t="shared" ca="1" si="70"/>
        <v>46162</v>
      </c>
      <c r="Z768" s="1" cm="1">
        <f t="array" ref="Z768">IF(D768&gt;DATE(2015,5,16),0,
K768*
(
INT((MIN(Y768,DATE(2015,5,16))-D768)/365)
+
CEILING(MOD((MIN(Y768,DATE(2015,5,16))-D768)/365,1),0.25)
)
*
_xlfn.SWITCH(J768,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68" s="1" cm="1">
        <f t="array" aca="1" ref="AA768" ca="1">IF(Y768&lt;DATE(2015,5,17),0,
K768*
(
INT((MIN(Y768,DATE(2018,9,23))-MAX(D768,DATE(2015,5,17)))/365)
+
CEILING(MOD((MIN(Y768,DATE(2018,9,23))-MAX(D768,DATE(2015,5,17)))/365,1),0.25)
)
*
_xlfn.SWITCH(J768,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68" s="1" cm="1">
        <f t="array" aca="1" ref="AB768" ca="1">IF(Y768&lt;DATE(2018,9,24),0,
IF(J768="زراعة",
K768*
(
INT((MIN(Y768,DATE(2023,4,30))-MAX(D768,DATE(2018,9,24)))/365)
+
CEILING(MOD((MIN(Y768,DATE(2023,4,30))-MAX(D768,DATE(2018,9,24)))/365,1),0.25)
)
*1,
K768*
(
DATEDIF(MAX(D768,DATE(2018,9,24)),MIN(Y768,DATE(2023,4,30)),"m")+1
)
*
_xlfn.SWITCH(J768,
"موقف/تندة",IF(D768&lt;DATE(2019,11,30),6,30),
"تشوينات",IF(D768&lt;DATE(2019,11,30),4,20),
"مشاتل",IF(D768&lt;DATE(2019,11,30),2,10),
"كافيتيريا",IF(D768&lt;DATE(2019,11,30),30,150),
"نوادي",IF(D768&lt;DATE(2019,11,30),6,30),
"رسو مراكب",IF(D768&lt;DATE(2019,11,30),2,10),
"مباني",IF(D768&lt;DATE(2018,9,24),2,10),
"عشش",IF(D768&lt;DATE(2019,11,30),2,10),
"كشك (تجاري/صناعي)",IF(D768&lt;DATE(2019,11,30),10,50),
"ردم",20,
0)))</f>
        <v>0</v>
      </c>
      <c r="AC768" s="1" cm="1">
        <f t="array" aca="1" ref="AC768" ca="1">IF(Y768&lt;DATE(2023,5,1),0,
IF(J768="زراعة",
K768*
(
INT((Y768-MAX(DATE(2023,5,1),D768))/365)
+
CEILING(MOD((Y768-MAX(DATE(2023,5,1),D768))/365,1),0.25)
)
*3,
IF(J768="ردم",
K768*20,
K768*
(
DATEDIF(MAX(DATE(2023,5,1),D768),Y768,"m")+1
)
*
_xlfn.SWITCH(J768,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68" s="1">
        <f t="shared" ca="1" si="71"/>
        <v>55</v>
      </c>
    </row>
    <row r="769" spans="1:30" ht="18.75" x14ac:dyDescent="0.25">
      <c r="A769" s="37">
        <v>705</v>
      </c>
      <c r="B769" s="11">
        <v>28</v>
      </c>
      <c r="C769" s="11">
        <v>2024</v>
      </c>
      <c r="D769" s="74" t="s">
        <v>908</v>
      </c>
      <c r="E769" s="11"/>
      <c r="F769" s="3"/>
      <c r="G769" s="63" t="s">
        <v>934</v>
      </c>
      <c r="H769" s="3"/>
      <c r="I769" s="63" t="s">
        <v>50</v>
      </c>
      <c r="J769" s="3" t="s">
        <v>28</v>
      </c>
      <c r="K769" s="3"/>
      <c r="L769" s="63" t="s">
        <v>672</v>
      </c>
      <c r="M769" s="2"/>
      <c r="N769" s="3"/>
      <c r="O769" s="9">
        <f>0.47*Table2[[#This Row],[قيمة المحضر]]</f>
        <v>0</v>
      </c>
      <c r="P769" s="9">
        <f>0.17*Table2[[#This Row],[قيمة المحضر]]</f>
        <v>0</v>
      </c>
      <c r="Q769" s="9">
        <f t="shared" ca="1" si="75"/>
        <v>0</v>
      </c>
      <c r="R769" s="3"/>
      <c r="S769" s="3"/>
      <c r="T769" s="9" t="str">
        <f t="shared" si="76"/>
        <v>-</v>
      </c>
      <c r="U769" s="3"/>
      <c r="V769" s="9" t="str">
        <f t="shared" si="77"/>
        <v/>
      </c>
      <c r="W769" s="4"/>
      <c r="X769" s="88"/>
      <c r="Y769" s="1">
        <f t="shared" ca="1" si="70"/>
        <v>46162</v>
      </c>
      <c r="Z769" s="1" cm="1">
        <f t="array" ref="Z769">IF(D769&gt;DATE(2015,5,16),0,
K769*
(
INT((MIN(Y769,DATE(2015,5,16))-D769)/365)
+
CEILING(MOD((MIN(Y769,DATE(2015,5,16))-D769)/365,1),0.25)
)
*
_xlfn.SWITCH(J769,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69" s="1" cm="1">
        <f t="array" aca="1" ref="AA769" ca="1">IF(Y769&lt;DATE(2015,5,17),0,
K769*
(
INT((MIN(Y769,DATE(2018,9,23))-MAX(D769,DATE(2015,5,17)))/365)
+
CEILING(MOD((MIN(Y769,DATE(2018,9,23))-MAX(D769,DATE(2015,5,17)))/365,1),0.25)
)
*
_xlfn.SWITCH(J769,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69" s="1" cm="1">
        <f t="array" aca="1" ref="AB769" ca="1">IF(Y769&lt;DATE(2018,9,24),0,
IF(J769="زراعة",
K769*
(
INT((MIN(Y769,DATE(2023,4,30))-MAX(D769,DATE(2018,9,24)))/365)
+
CEILING(MOD((MIN(Y769,DATE(2023,4,30))-MAX(D769,DATE(2018,9,24)))/365,1),0.25)
)
*1,
K769*
(
DATEDIF(MAX(D769,DATE(2018,9,24)),MIN(Y769,DATE(2023,4,30)),"m")+1
)
*
_xlfn.SWITCH(J769,
"موقف/تندة",IF(D769&lt;DATE(2019,11,30),6,30),
"تشوينات",IF(D769&lt;DATE(2019,11,30),4,20),
"مشاتل",IF(D769&lt;DATE(2019,11,30),2,10),
"كافيتيريا",IF(D769&lt;DATE(2019,11,30),30,150),
"نوادي",IF(D769&lt;DATE(2019,11,30),6,30),
"رسو مراكب",IF(D769&lt;DATE(2019,11,30),2,10),
"مباني",IF(D769&lt;DATE(2018,9,24),2,10),
"عشش",IF(D769&lt;DATE(2019,11,30),2,10),
"كشك (تجاري/صناعي)",IF(D769&lt;DATE(2019,11,30),10,50),
"ردم",20,
0)))</f>
        <v>0</v>
      </c>
      <c r="AC769" s="1" cm="1">
        <f t="array" aca="1" ref="AC769" ca="1">IF(Y769&lt;DATE(2023,5,1),0,
IF(J769="زراعة",
K769*
(
INT((Y769-MAX(DATE(2023,5,1),D769))/365)
+
CEILING(MOD((Y769-MAX(DATE(2023,5,1),D769))/365,1),0.25)
)
*3,
IF(J769="ردم",
K769*20,
K769*
(
DATEDIF(MAX(DATE(2023,5,1),D769),Y769,"m")+1
)
*
_xlfn.SWITCH(J769,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69" s="1">
        <f t="shared" ca="1" si="71"/>
        <v>55</v>
      </c>
    </row>
    <row r="770" spans="1:30" ht="18.75" x14ac:dyDescent="0.25">
      <c r="A770" s="37">
        <v>706</v>
      </c>
      <c r="B770" s="11">
        <v>29</v>
      </c>
      <c r="C770" s="11">
        <v>2024</v>
      </c>
      <c r="D770" s="74" t="s">
        <v>908</v>
      </c>
      <c r="E770" s="11"/>
      <c r="F770" s="3"/>
      <c r="G770" s="63" t="s">
        <v>935</v>
      </c>
      <c r="H770" s="3"/>
      <c r="I770" s="63" t="s">
        <v>50</v>
      </c>
      <c r="J770" s="3" t="s">
        <v>28</v>
      </c>
      <c r="K770" s="3"/>
      <c r="L770" s="63" t="s">
        <v>672</v>
      </c>
      <c r="M770" s="2"/>
      <c r="N770" s="3"/>
      <c r="O770" s="9">
        <f>0.47*Table2[[#This Row],[قيمة المحضر]]</f>
        <v>0</v>
      </c>
      <c r="P770" s="9">
        <f>0.17*Table2[[#This Row],[قيمة المحضر]]</f>
        <v>0</v>
      </c>
      <c r="Q770" s="9">
        <f t="shared" ca="1" si="75"/>
        <v>0</v>
      </c>
      <c r="R770" s="3"/>
      <c r="S770" s="3"/>
      <c r="T770" s="9" t="str">
        <f t="shared" si="76"/>
        <v>-</v>
      </c>
      <c r="U770" s="3"/>
      <c r="V770" s="9" t="str">
        <f t="shared" si="77"/>
        <v/>
      </c>
      <c r="W770" s="4"/>
      <c r="X770" s="88"/>
      <c r="Y770" s="1">
        <f t="shared" ca="1" si="70"/>
        <v>46162</v>
      </c>
      <c r="Z770" s="1" cm="1">
        <f t="array" ref="Z770">IF(D770&gt;DATE(2015,5,16),0,
K770*
(
INT((MIN(Y770,DATE(2015,5,16))-D770)/365)
+
CEILING(MOD((MIN(Y770,DATE(2015,5,16))-D770)/365,1),0.25)
)
*
_xlfn.SWITCH(J770,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70" s="1" cm="1">
        <f t="array" aca="1" ref="AA770" ca="1">IF(Y770&lt;DATE(2015,5,17),0,
K770*
(
INT((MIN(Y770,DATE(2018,9,23))-MAX(D770,DATE(2015,5,17)))/365)
+
CEILING(MOD((MIN(Y770,DATE(2018,9,23))-MAX(D770,DATE(2015,5,17)))/365,1),0.25)
)
*
_xlfn.SWITCH(J770,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70" s="1" cm="1">
        <f t="array" aca="1" ref="AB770" ca="1">IF(Y770&lt;DATE(2018,9,24),0,
IF(J770="زراعة",
K770*
(
INT((MIN(Y770,DATE(2023,4,30))-MAX(D770,DATE(2018,9,24)))/365)
+
CEILING(MOD((MIN(Y770,DATE(2023,4,30))-MAX(D770,DATE(2018,9,24)))/365,1),0.25)
)
*1,
K770*
(
DATEDIF(MAX(D770,DATE(2018,9,24)),MIN(Y770,DATE(2023,4,30)),"m")+1
)
*
_xlfn.SWITCH(J770,
"موقف/تندة",IF(D770&lt;DATE(2019,11,30),6,30),
"تشوينات",IF(D770&lt;DATE(2019,11,30),4,20),
"مشاتل",IF(D770&lt;DATE(2019,11,30),2,10),
"كافيتيريا",IF(D770&lt;DATE(2019,11,30),30,150),
"نوادي",IF(D770&lt;DATE(2019,11,30),6,30),
"رسو مراكب",IF(D770&lt;DATE(2019,11,30),2,10),
"مباني",IF(D770&lt;DATE(2018,9,24),2,10),
"عشش",IF(D770&lt;DATE(2019,11,30),2,10),
"كشك (تجاري/صناعي)",IF(D770&lt;DATE(2019,11,30),10,50),
"ردم",20,
0)))</f>
        <v>0</v>
      </c>
      <c r="AC770" s="1" cm="1">
        <f t="array" aca="1" ref="AC770" ca="1">IF(Y770&lt;DATE(2023,5,1),0,
IF(J770="زراعة",
K770*
(
INT((Y770-MAX(DATE(2023,5,1),D770))/365)
+
CEILING(MOD((Y770-MAX(DATE(2023,5,1),D770))/365,1),0.25)
)
*3,
IF(J770="ردم",
K770*20,
K770*
(
DATEDIF(MAX(DATE(2023,5,1),D770),Y770,"m")+1
)
*
_xlfn.SWITCH(J770,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70" s="1">
        <f t="shared" ca="1" si="71"/>
        <v>55</v>
      </c>
    </row>
    <row r="771" spans="1:30" ht="18.75" x14ac:dyDescent="0.25">
      <c r="A771" s="37">
        <v>707</v>
      </c>
      <c r="B771" s="11">
        <v>30</v>
      </c>
      <c r="C771" s="11">
        <v>2024</v>
      </c>
      <c r="D771" s="74" t="s">
        <v>908</v>
      </c>
      <c r="E771" s="11"/>
      <c r="F771" s="3"/>
      <c r="G771" s="63" t="s">
        <v>936</v>
      </c>
      <c r="H771" s="3"/>
      <c r="I771" s="63" t="s">
        <v>50</v>
      </c>
      <c r="J771" s="3" t="s">
        <v>28</v>
      </c>
      <c r="K771" s="3"/>
      <c r="L771" s="63" t="s">
        <v>672</v>
      </c>
      <c r="M771" s="2"/>
      <c r="N771" s="3"/>
      <c r="O771" s="9">
        <f>0.47*Table2[[#This Row],[قيمة المحضر]]</f>
        <v>0</v>
      </c>
      <c r="P771" s="9">
        <f>0.17*Table2[[#This Row],[قيمة المحضر]]</f>
        <v>0</v>
      </c>
      <c r="Q771" s="9">
        <f t="shared" ca="1" si="75"/>
        <v>0</v>
      </c>
      <c r="R771" s="3"/>
      <c r="S771" s="3"/>
      <c r="T771" s="9" t="str">
        <f t="shared" si="76"/>
        <v>-</v>
      </c>
      <c r="U771" s="3"/>
      <c r="V771" s="9" t="str">
        <f t="shared" si="77"/>
        <v/>
      </c>
      <c r="W771" s="4"/>
      <c r="X771" s="88"/>
      <c r="Y771" s="1">
        <f t="shared" ref="Y771:Y834" ca="1" si="78">IF(M771="",TODAY(),M771)</f>
        <v>46162</v>
      </c>
      <c r="Z771" s="1" cm="1">
        <f t="array" ref="Z771">IF(D771&gt;DATE(2015,5,16),0,
K771*
(
INT((MIN(Y771,DATE(2015,5,16))-D771)/365)
+
CEILING(MOD((MIN(Y771,DATE(2015,5,16))-D771)/365,1),0.25)
)
*
_xlfn.SWITCH(J771,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71" s="1" cm="1">
        <f t="array" aca="1" ref="AA771" ca="1">IF(Y771&lt;DATE(2015,5,17),0,
K771*
(
INT((MIN(Y771,DATE(2018,9,23))-MAX(D771,DATE(2015,5,17)))/365)
+
CEILING(MOD((MIN(Y771,DATE(2018,9,23))-MAX(D771,DATE(2015,5,17)))/365,1),0.25)
)
*
_xlfn.SWITCH(J771,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71" s="1" cm="1">
        <f t="array" aca="1" ref="AB771" ca="1">IF(Y771&lt;DATE(2018,9,24),0,
IF(J771="زراعة",
K771*
(
INT((MIN(Y771,DATE(2023,4,30))-MAX(D771,DATE(2018,9,24)))/365)
+
CEILING(MOD((MIN(Y771,DATE(2023,4,30))-MAX(D771,DATE(2018,9,24)))/365,1),0.25)
)
*1,
K771*
(
DATEDIF(MAX(D771,DATE(2018,9,24)),MIN(Y771,DATE(2023,4,30)),"m")+1
)
*
_xlfn.SWITCH(J771,
"موقف/تندة",IF(D771&lt;DATE(2019,11,30),6,30),
"تشوينات",IF(D771&lt;DATE(2019,11,30),4,20),
"مشاتل",IF(D771&lt;DATE(2019,11,30),2,10),
"كافيتيريا",IF(D771&lt;DATE(2019,11,30),30,150),
"نوادي",IF(D771&lt;DATE(2019,11,30),6,30),
"رسو مراكب",IF(D771&lt;DATE(2019,11,30),2,10),
"مباني",IF(D771&lt;DATE(2018,9,24),2,10),
"عشش",IF(D771&lt;DATE(2019,11,30),2,10),
"كشك (تجاري/صناعي)",IF(D771&lt;DATE(2019,11,30),10,50),
"ردم",20,
0)))</f>
        <v>0</v>
      </c>
      <c r="AC771" s="1" cm="1">
        <f t="array" aca="1" ref="AC771" ca="1">IF(Y771&lt;DATE(2023,5,1),0,
IF(J771="زراعة",
K771*
(
INT((Y771-MAX(DATE(2023,5,1),D771))/365)
+
CEILING(MOD((Y771-MAX(DATE(2023,5,1),D771))/365,1),0.25)
)
*3,
IF(J771="ردم",
K771*20,
K771*
(
DATEDIF(MAX(DATE(2023,5,1),D771),Y771,"m")+1
)
*
_xlfn.SWITCH(J771,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71" s="1">
        <f t="shared" ref="AD771:AD834" ca="1" si="79">DATEDIF(MAX(D771,DATE(2018,9,24)),MIN(Y771,DATE(2023,4,30)),"m")</f>
        <v>55</v>
      </c>
    </row>
    <row r="772" spans="1:30" ht="18.75" x14ac:dyDescent="0.25">
      <c r="A772" s="37">
        <v>708</v>
      </c>
      <c r="B772" s="11">
        <v>31</v>
      </c>
      <c r="C772" s="11">
        <v>2024</v>
      </c>
      <c r="D772" s="74" t="s">
        <v>908</v>
      </c>
      <c r="E772" s="11"/>
      <c r="F772" s="3"/>
      <c r="G772" s="63" t="s">
        <v>937</v>
      </c>
      <c r="H772" s="3"/>
      <c r="I772" s="63" t="s">
        <v>50</v>
      </c>
      <c r="J772" s="3" t="s">
        <v>28</v>
      </c>
      <c r="K772" s="3"/>
      <c r="L772" s="63" t="s">
        <v>672</v>
      </c>
      <c r="M772" s="2"/>
      <c r="N772" s="3"/>
      <c r="O772" s="9">
        <f>0.47*Table2[[#This Row],[قيمة المحضر]]</f>
        <v>0</v>
      </c>
      <c r="P772" s="9">
        <f>0.17*Table2[[#This Row],[قيمة المحضر]]</f>
        <v>0</v>
      </c>
      <c r="Q772" s="9">
        <f t="shared" ca="1" si="75"/>
        <v>0</v>
      </c>
      <c r="R772" s="3"/>
      <c r="S772" s="3"/>
      <c r="T772" s="9" t="str">
        <f t="shared" si="76"/>
        <v>-</v>
      </c>
      <c r="U772" s="3"/>
      <c r="V772" s="9" t="str">
        <f t="shared" si="77"/>
        <v/>
      </c>
      <c r="W772" s="4"/>
      <c r="X772" s="88"/>
      <c r="Y772" s="1">
        <f t="shared" ca="1" si="78"/>
        <v>46162</v>
      </c>
      <c r="Z772" s="1" cm="1">
        <f t="array" ref="Z772">IF(D772&gt;DATE(2015,5,16),0,
K772*
(
INT((MIN(Y772,DATE(2015,5,16))-D772)/365)
+
CEILING(MOD((MIN(Y772,DATE(2015,5,16))-D772)/365,1),0.25)
)
*
_xlfn.SWITCH(J772,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72" s="1" cm="1">
        <f t="array" aca="1" ref="AA772" ca="1">IF(Y772&lt;DATE(2015,5,17),0,
K772*
(
INT((MIN(Y772,DATE(2018,9,23))-MAX(D772,DATE(2015,5,17)))/365)
+
CEILING(MOD((MIN(Y772,DATE(2018,9,23))-MAX(D772,DATE(2015,5,17)))/365,1),0.25)
)
*
_xlfn.SWITCH(J772,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72" s="1" cm="1">
        <f t="array" aca="1" ref="AB772" ca="1">IF(Y772&lt;DATE(2018,9,24),0,
IF(J772="زراعة",
K772*
(
INT((MIN(Y772,DATE(2023,4,30))-MAX(D772,DATE(2018,9,24)))/365)
+
CEILING(MOD((MIN(Y772,DATE(2023,4,30))-MAX(D772,DATE(2018,9,24)))/365,1),0.25)
)
*1,
K772*
(
DATEDIF(MAX(D772,DATE(2018,9,24)),MIN(Y772,DATE(2023,4,30)),"m")+1
)
*
_xlfn.SWITCH(J772,
"موقف/تندة",IF(D772&lt;DATE(2019,11,30),6,30),
"تشوينات",IF(D772&lt;DATE(2019,11,30),4,20),
"مشاتل",IF(D772&lt;DATE(2019,11,30),2,10),
"كافيتيريا",IF(D772&lt;DATE(2019,11,30),30,150),
"نوادي",IF(D772&lt;DATE(2019,11,30),6,30),
"رسو مراكب",IF(D772&lt;DATE(2019,11,30),2,10),
"مباني",IF(D772&lt;DATE(2018,9,24),2,10),
"عشش",IF(D772&lt;DATE(2019,11,30),2,10),
"كشك (تجاري/صناعي)",IF(D772&lt;DATE(2019,11,30),10,50),
"ردم",20,
0)))</f>
        <v>0</v>
      </c>
      <c r="AC772" s="1" cm="1">
        <f t="array" aca="1" ref="AC772" ca="1">IF(Y772&lt;DATE(2023,5,1),0,
IF(J772="زراعة",
K772*
(
INT((Y772-MAX(DATE(2023,5,1),D772))/365)
+
CEILING(MOD((Y772-MAX(DATE(2023,5,1),D772))/365,1),0.25)
)
*3,
IF(J772="ردم",
K772*20,
K772*
(
DATEDIF(MAX(DATE(2023,5,1),D772),Y772,"m")+1
)
*
_xlfn.SWITCH(J772,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72" s="1">
        <f t="shared" ca="1" si="79"/>
        <v>55</v>
      </c>
    </row>
    <row r="773" spans="1:30" ht="18.75" x14ac:dyDescent="0.25">
      <c r="A773" s="37">
        <v>709</v>
      </c>
      <c r="B773" s="11">
        <v>32</v>
      </c>
      <c r="C773" s="11">
        <v>2024</v>
      </c>
      <c r="D773" s="74" t="s">
        <v>908</v>
      </c>
      <c r="E773" s="11"/>
      <c r="F773" s="3"/>
      <c r="G773" s="63" t="s">
        <v>938</v>
      </c>
      <c r="H773" s="3"/>
      <c r="I773" s="63" t="s">
        <v>211</v>
      </c>
      <c r="J773" s="3" t="s">
        <v>146</v>
      </c>
      <c r="K773" s="3"/>
      <c r="L773" s="63" t="s">
        <v>368</v>
      </c>
      <c r="M773" s="2"/>
      <c r="N773" s="3"/>
      <c r="O773" s="9">
        <f>0.47*Table2[[#This Row],[قيمة المحضر]]</f>
        <v>0</v>
      </c>
      <c r="P773" s="9">
        <f>0.17*Table2[[#This Row],[قيمة المحضر]]</f>
        <v>0</v>
      </c>
      <c r="Q773" s="9">
        <f t="shared" ca="1" si="75"/>
        <v>0</v>
      </c>
      <c r="R773" s="3"/>
      <c r="S773" s="3"/>
      <c r="T773" s="9" t="str">
        <f t="shared" si="76"/>
        <v>-</v>
      </c>
      <c r="U773" s="3"/>
      <c r="V773" s="9" t="str">
        <f t="shared" si="77"/>
        <v/>
      </c>
      <c r="W773" s="4"/>
      <c r="X773" s="88"/>
      <c r="Y773" s="1">
        <f t="shared" ca="1" si="78"/>
        <v>46162</v>
      </c>
      <c r="Z773" s="1" cm="1">
        <f t="array" ref="Z773">IF(D773&gt;DATE(2015,5,16),0,
K773*
(
INT((MIN(Y773,DATE(2015,5,16))-D773)/365)
+
CEILING(MOD((MIN(Y773,DATE(2015,5,16))-D773)/365,1),0.25)
)
*
_xlfn.SWITCH(J773,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73" s="1" cm="1">
        <f t="array" aca="1" ref="AA773" ca="1">IF(Y773&lt;DATE(2015,5,17),0,
K773*
(
INT((MIN(Y773,DATE(2018,9,23))-MAX(D773,DATE(2015,5,17)))/365)
+
CEILING(MOD((MIN(Y773,DATE(2018,9,23))-MAX(D773,DATE(2015,5,17)))/365,1),0.25)
)
*
_xlfn.SWITCH(J773,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73" s="1" cm="1">
        <f t="array" aca="1" ref="AB773" ca="1">IF(Y773&lt;DATE(2018,9,24),0,
IF(J773="زراعة",
K773*
(
INT((MIN(Y773,DATE(2023,4,30))-MAX(D773,DATE(2018,9,24)))/365)
+
CEILING(MOD((MIN(Y773,DATE(2023,4,30))-MAX(D773,DATE(2018,9,24)))/365,1),0.25)
)
*1,
K773*
(
DATEDIF(MAX(D773,DATE(2018,9,24)),MIN(Y773,DATE(2023,4,30)),"m")+1
)
*
_xlfn.SWITCH(J773,
"موقف/تندة",IF(D773&lt;DATE(2019,11,30),6,30),
"تشوينات",IF(D773&lt;DATE(2019,11,30),4,20),
"مشاتل",IF(D773&lt;DATE(2019,11,30),2,10),
"كافيتيريا",IF(D773&lt;DATE(2019,11,30),30,150),
"نوادي",IF(D773&lt;DATE(2019,11,30),6,30),
"رسو مراكب",IF(D773&lt;DATE(2019,11,30),2,10),
"مباني",IF(D773&lt;DATE(2018,9,24),2,10),
"عشش",IF(D773&lt;DATE(2019,11,30),2,10),
"كشك (تجاري/صناعي)",IF(D773&lt;DATE(2019,11,30),10,50),
"ردم",20,
0)))</f>
        <v>0</v>
      </c>
      <c r="AC773" s="1" cm="1">
        <f t="array" aca="1" ref="AC773" ca="1">IF(Y773&lt;DATE(2023,5,1),0,
IF(J773="زراعة",
K773*
(
INT((Y773-MAX(DATE(2023,5,1),D773))/365)
+
CEILING(MOD((Y773-MAX(DATE(2023,5,1),D773))/365,1),0.25)
)
*3,
IF(J773="ردم",
K773*20,
K773*
(
DATEDIF(MAX(DATE(2023,5,1),D773),Y773,"m")+1
)
*
_xlfn.SWITCH(J773,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73" s="1">
        <f t="shared" ca="1" si="79"/>
        <v>55</v>
      </c>
    </row>
    <row r="774" spans="1:30" ht="18.75" x14ac:dyDescent="0.25">
      <c r="A774" s="37">
        <v>710</v>
      </c>
      <c r="B774" s="11">
        <v>33</v>
      </c>
      <c r="C774" s="11">
        <v>2024</v>
      </c>
      <c r="D774" s="74" t="s">
        <v>908</v>
      </c>
      <c r="E774" s="11"/>
      <c r="F774" s="3"/>
      <c r="G774" s="63" t="s">
        <v>939</v>
      </c>
      <c r="H774" s="3"/>
      <c r="I774" s="63" t="s">
        <v>211</v>
      </c>
      <c r="J774" s="3" t="s">
        <v>146</v>
      </c>
      <c r="K774" s="3"/>
      <c r="L774" s="63" t="s">
        <v>368</v>
      </c>
      <c r="M774" s="2"/>
      <c r="N774" s="3"/>
      <c r="O774" s="9">
        <f>0.47*Table2[[#This Row],[قيمة المحضر]]</f>
        <v>0</v>
      </c>
      <c r="P774" s="9">
        <f>0.17*Table2[[#This Row],[قيمة المحضر]]</f>
        <v>0</v>
      </c>
      <c r="Q774" s="9">
        <f t="shared" ref="Q774:Q802" ca="1" si="80">Z774+AA774+AB774+AC774</f>
        <v>0</v>
      </c>
      <c r="R774" s="3"/>
      <c r="S774" s="3"/>
      <c r="T774" s="9" t="str">
        <f t="shared" ref="T774:T802" si="81">IF(R774="تم الحجز",Q774+O774+N774,"-")</f>
        <v>-</v>
      </c>
      <c r="U774" s="3"/>
      <c r="V774" s="9" t="str">
        <f t="shared" ref="V774:V802" si="82">IF(OR(U774="قائم",U774="قائم و سدد مقابل انتفاع"),"-",
IF(U774="تم رد الشئ لأصله",P774+Q774,
IF(U774="ازالة جبرية",N774+O774+Q774,"")))</f>
        <v/>
      </c>
      <c r="W774" s="4"/>
      <c r="X774" s="88"/>
      <c r="Y774" s="1">
        <f t="shared" ca="1" si="78"/>
        <v>46162</v>
      </c>
      <c r="Z774" s="1" cm="1">
        <f t="array" ref="Z774">IF(D774&gt;DATE(2015,5,16),0,
K774*
(
INT((MIN(Y774,DATE(2015,5,16))-D774)/365)
+
CEILING(MOD((MIN(Y774,DATE(2015,5,16))-D774)/365,1),0.25)
)
*
_xlfn.SWITCH(J774,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74" s="1" cm="1">
        <f t="array" aca="1" ref="AA774" ca="1">IF(Y774&lt;DATE(2015,5,17),0,
K774*
(
INT((MIN(Y774,DATE(2018,9,23))-MAX(D774,DATE(2015,5,17)))/365)
+
CEILING(MOD((MIN(Y774,DATE(2018,9,23))-MAX(D774,DATE(2015,5,17)))/365,1),0.25)
)
*
_xlfn.SWITCH(J774,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74" s="1" cm="1">
        <f t="array" aca="1" ref="AB774" ca="1">IF(Y774&lt;DATE(2018,9,24),0,
IF(J774="زراعة",
K774*
(
INT((MIN(Y774,DATE(2023,4,30))-MAX(D774,DATE(2018,9,24)))/365)
+
CEILING(MOD((MIN(Y774,DATE(2023,4,30))-MAX(D774,DATE(2018,9,24)))/365,1),0.25)
)
*1,
K774*
(
DATEDIF(MAX(D774,DATE(2018,9,24)),MIN(Y774,DATE(2023,4,30)),"m")+1
)
*
_xlfn.SWITCH(J774,
"موقف/تندة",IF(D774&lt;DATE(2019,11,30),6,30),
"تشوينات",IF(D774&lt;DATE(2019,11,30),4,20),
"مشاتل",IF(D774&lt;DATE(2019,11,30),2,10),
"كافيتيريا",IF(D774&lt;DATE(2019,11,30),30,150),
"نوادي",IF(D774&lt;DATE(2019,11,30),6,30),
"رسو مراكب",IF(D774&lt;DATE(2019,11,30),2,10),
"مباني",IF(D774&lt;DATE(2018,9,24),2,10),
"عشش",IF(D774&lt;DATE(2019,11,30),2,10),
"كشك (تجاري/صناعي)",IF(D774&lt;DATE(2019,11,30),10,50),
"ردم",20,
0)))</f>
        <v>0</v>
      </c>
      <c r="AC774" s="1" cm="1">
        <f t="array" aca="1" ref="AC774" ca="1">IF(Y774&lt;DATE(2023,5,1),0,
IF(J774="زراعة",
K774*
(
INT((Y774-MAX(DATE(2023,5,1),D774))/365)
+
CEILING(MOD((Y774-MAX(DATE(2023,5,1),D774))/365,1),0.25)
)
*3,
IF(J774="ردم",
K774*20,
K774*
(
DATEDIF(MAX(DATE(2023,5,1),D774),Y774,"m")+1
)
*
_xlfn.SWITCH(J774,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74" s="1">
        <f t="shared" ca="1" si="79"/>
        <v>55</v>
      </c>
    </row>
    <row r="775" spans="1:30" ht="18.75" x14ac:dyDescent="0.25">
      <c r="A775" s="37">
        <v>711</v>
      </c>
      <c r="B775" s="11">
        <v>34</v>
      </c>
      <c r="C775" s="11">
        <v>2024</v>
      </c>
      <c r="D775" s="74" t="s">
        <v>908</v>
      </c>
      <c r="E775" s="11"/>
      <c r="F775" s="3"/>
      <c r="G775" s="63" t="s">
        <v>940</v>
      </c>
      <c r="H775" s="3"/>
      <c r="I775" s="63" t="s">
        <v>211</v>
      </c>
      <c r="J775" s="3" t="s">
        <v>146</v>
      </c>
      <c r="K775" s="3"/>
      <c r="L775" s="63" t="s">
        <v>368</v>
      </c>
      <c r="M775" s="2"/>
      <c r="N775" s="3"/>
      <c r="O775" s="9">
        <f>0.47*Table2[[#This Row],[قيمة المحضر]]</f>
        <v>0</v>
      </c>
      <c r="P775" s="9">
        <f>0.17*Table2[[#This Row],[قيمة المحضر]]</f>
        <v>0</v>
      </c>
      <c r="Q775" s="9">
        <f t="shared" ca="1" si="80"/>
        <v>0</v>
      </c>
      <c r="R775" s="3"/>
      <c r="S775" s="3"/>
      <c r="T775" s="9" t="str">
        <f t="shared" si="81"/>
        <v>-</v>
      </c>
      <c r="U775" s="3"/>
      <c r="V775" s="9" t="str">
        <f t="shared" si="82"/>
        <v/>
      </c>
      <c r="W775" s="4"/>
      <c r="X775" s="88"/>
      <c r="Y775" s="1">
        <f t="shared" ca="1" si="78"/>
        <v>46162</v>
      </c>
      <c r="Z775" s="1" cm="1">
        <f t="array" ref="Z775">IF(D775&gt;DATE(2015,5,16),0,
K775*
(
INT((MIN(Y775,DATE(2015,5,16))-D775)/365)
+
CEILING(MOD((MIN(Y775,DATE(2015,5,16))-D775)/365,1),0.25)
)
*
_xlfn.SWITCH(J775,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75" s="1" cm="1">
        <f t="array" aca="1" ref="AA775" ca="1">IF(Y775&lt;DATE(2015,5,17),0,
K775*
(
INT((MIN(Y775,DATE(2018,9,23))-MAX(D775,DATE(2015,5,17)))/365)
+
CEILING(MOD((MIN(Y775,DATE(2018,9,23))-MAX(D775,DATE(2015,5,17)))/365,1),0.25)
)
*
_xlfn.SWITCH(J775,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75" s="1" cm="1">
        <f t="array" aca="1" ref="AB775" ca="1">IF(Y775&lt;DATE(2018,9,24),0,
IF(J775="زراعة",
K775*
(
INT((MIN(Y775,DATE(2023,4,30))-MAX(D775,DATE(2018,9,24)))/365)
+
CEILING(MOD((MIN(Y775,DATE(2023,4,30))-MAX(D775,DATE(2018,9,24)))/365,1),0.25)
)
*1,
K775*
(
DATEDIF(MAX(D775,DATE(2018,9,24)),MIN(Y775,DATE(2023,4,30)),"m")+1
)
*
_xlfn.SWITCH(J775,
"موقف/تندة",IF(D775&lt;DATE(2019,11,30),6,30),
"تشوينات",IF(D775&lt;DATE(2019,11,30),4,20),
"مشاتل",IF(D775&lt;DATE(2019,11,30),2,10),
"كافيتيريا",IF(D775&lt;DATE(2019,11,30),30,150),
"نوادي",IF(D775&lt;DATE(2019,11,30),6,30),
"رسو مراكب",IF(D775&lt;DATE(2019,11,30),2,10),
"مباني",IF(D775&lt;DATE(2018,9,24),2,10),
"عشش",IF(D775&lt;DATE(2019,11,30),2,10),
"كشك (تجاري/صناعي)",IF(D775&lt;DATE(2019,11,30),10,50),
"ردم",20,
0)))</f>
        <v>0</v>
      </c>
      <c r="AC775" s="1" cm="1">
        <f t="array" aca="1" ref="AC775" ca="1">IF(Y775&lt;DATE(2023,5,1),0,
IF(J775="زراعة",
K775*
(
INT((Y775-MAX(DATE(2023,5,1),D775))/365)
+
CEILING(MOD((Y775-MAX(DATE(2023,5,1),D775))/365,1),0.25)
)
*3,
IF(J775="ردم",
K775*20,
K775*
(
DATEDIF(MAX(DATE(2023,5,1),D775),Y775,"m")+1
)
*
_xlfn.SWITCH(J775,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75" s="1">
        <f t="shared" ca="1" si="79"/>
        <v>55</v>
      </c>
    </row>
    <row r="776" spans="1:30" ht="18.75" x14ac:dyDescent="0.25">
      <c r="A776" s="37">
        <v>712</v>
      </c>
      <c r="B776" s="11">
        <v>35</v>
      </c>
      <c r="C776" s="11">
        <v>2024</v>
      </c>
      <c r="D776" s="74" t="s">
        <v>908</v>
      </c>
      <c r="E776" s="11"/>
      <c r="F776" s="3"/>
      <c r="G776" s="63" t="s">
        <v>215</v>
      </c>
      <c r="H776" s="3"/>
      <c r="I776" s="63" t="s">
        <v>211</v>
      </c>
      <c r="J776" s="3" t="s">
        <v>146</v>
      </c>
      <c r="K776" s="3"/>
      <c r="L776" s="63" t="s">
        <v>368</v>
      </c>
      <c r="M776" s="2"/>
      <c r="N776" s="3"/>
      <c r="O776" s="9">
        <f>0.47*Table2[[#This Row],[قيمة المحضر]]</f>
        <v>0</v>
      </c>
      <c r="P776" s="9">
        <f>0.17*Table2[[#This Row],[قيمة المحضر]]</f>
        <v>0</v>
      </c>
      <c r="Q776" s="9">
        <f t="shared" ca="1" si="80"/>
        <v>0</v>
      </c>
      <c r="R776" s="3"/>
      <c r="S776" s="3"/>
      <c r="T776" s="9" t="str">
        <f t="shared" si="81"/>
        <v>-</v>
      </c>
      <c r="U776" s="3"/>
      <c r="V776" s="9" t="str">
        <f t="shared" si="82"/>
        <v/>
      </c>
      <c r="W776" s="4"/>
      <c r="X776" s="88"/>
      <c r="Y776" s="1">
        <f t="shared" ca="1" si="78"/>
        <v>46162</v>
      </c>
      <c r="Z776" s="1" cm="1">
        <f t="array" ref="Z776">IF(D776&gt;DATE(2015,5,16),0,
K776*
(
INT((MIN(Y776,DATE(2015,5,16))-D776)/365)
+
CEILING(MOD((MIN(Y776,DATE(2015,5,16))-D776)/365,1),0.25)
)
*
_xlfn.SWITCH(J776,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76" s="1" cm="1">
        <f t="array" aca="1" ref="AA776" ca="1">IF(Y776&lt;DATE(2015,5,17),0,
K776*
(
INT((MIN(Y776,DATE(2018,9,23))-MAX(D776,DATE(2015,5,17)))/365)
+
CEILING(MOD((MIN(Y776,DATE(2018,9,23))-MAX(D776,DATE(2015,5,17)))/365,1),0.25)
)
*
_xlfn.SWITCH(J776,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76" s="1" cm="1">
        <f t="array" aca="1" ref="AB776" ca="1">IF(Y776&lt;DATE(2018,9,24),0,
IF(J776="زراعة",
K776*
(
INT((MIN(Y776,DATE(2023,4,30))-MAX(D776,DATE(2018,9,24)))/365)
+
CEILING(MOD((MIN(Y776,DATE(2023,4,30))-MAX(D776,DATE(2018,9,24)))/365,1),0.25)
)
*1,
K776*
(
DATEDIF(MAX(D776,DATE(2018,9,24)),MIN(Y776,DATE(2023,4,30)),"m")+1
)
*
_xlfn.SWITCH(J776,
"موقف/تندة",IF(D776&lt;DATE(2019,11,30),6,30),
"تشوينات",IF(D776&lt;DATE(2019,11,30),4,20),
"مشاتل",IF(D776&lt;DATE(2019,11,30),2,10),
"كافيتيريا",IF(D776&lt;DATE(2019,11,30),30,150),
"نوادي",IF(D776&lt;DATE(2019,11,30),6,30),
"رسو مراكب",IF(D776&lt;DATE(2019,11,30),2,10),
"مباني",IF(D776&lt;DATE(2018,9,24),2,10),
"عشش",IF(D776&lt;DATE(2019,11,30),2,10),
"كشك (تجاري/صناعي)",IF(D776&lt;DATE(2019,11,30),10,50),
"ردم",20,
0)))</f>
        <v>0</v>
      </c>
      <c r="AC776" s="1" cm="1">
        <f t="array" aca="1" ref="AC776" ca="1">IF(Y776&lt;DATE(2023,5,1),0,
IF(J776="زراعة",
K776*
(
INT((Y776-MAX(DATE(2023,5,1),D776))/365)
+
CEILING(MOD((Y776-MAX(DATE(2023,5,1),D776))/365,1),0.25)
)
*3,
IF(J776="ردم",
K776*20,
K776*
(
DATEDIF(MAX(DATE(2023,5,1),D776),Y776,"m")+1
)
*
_xlfn.SWITCH(J776,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76" s="1">
        <f t="shared" ca="1" si="79"/>
        <v>55</v>
      </c>
    </row>
    <row r="777" spans="1:30" ht="18.75" x14ac:dyDescent="0.25">
      <c r="A777" s="37">
        <v>713</v>
      </c>
      <c r="B777" s="11">
        <v>36</v>
      </c>
      <c r="C777" s="11">
        <v>2024</v>
      </c>
      <c r="D777" s="74" t="s">
        <v>908</v>
      </c>
      <c r="E777" s="11"/>
      <c r="F777" s="3"/>
      <c r="G777" s="63" t="s">
        <v>209</v>
      </c>
      <c r="H777" s="3"/>
      <c r="I777" s="63" t="s">
        <v>211</v>
      </c>
      <c r="J777" s="3" t="s">
        <v>146</v>
      </c>
      <c r="K777" s="3"/>
      <c r="L777" s="63" t="s">
        <v>368</v>
      </c>
      <c r="M777" s="2"/>
      <c r="N777" s="3"/>
      <c r="O777" s="9">
        <f>0.47*Table2[[#This Row],[قيمة المحضر]]</f>
        <v>0</v>
      </c>
      <c r="P777" s="9">
        <f>0.17*Table2[[#This Row],[قيمة المحضر]]</f>
        <v>0</v>
      </c>
      <c r="Q777" s="9">
        <f t="shared" ca="1" si="80"/>
        <v>0</v>
      </c>
      <c r="R777" s="3"/>
      <c r="S777" s="3"/>
      <c r="T777" s="9" t="str">
        <f t="shared" si="81"/>
        <v>-</v>
      </c>
      <c r="U777" s="3"/>
      <c r="V777" s="9" t="str">
        <f t="shared" si="82"/>
        <v/>
      </c>
      <c r="W777" s="4"/>
      <c r="X777" s="88"/>
      <c r="Y777" s="1">
        <f t="shared" ca="1" si="78"/>
        <v>46162</v>
      </c>
      <c r="Z777" s="1" cm="1">
        <f t="array" ref="Z777">IF(D777&gt;DATE(2015,5,16),0,
K777*
(
INT((MIN(Y777,DATE(2015,5,16))-D777)/365)
+
CEILING(MOD((MIN(Y777,DATE(2015,5,16))-D777)/365,1),0.25)
)
*
_xlfn.SWITCH(J777,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77" s="1" cm="1">
        <f t="array" aca="1" ref="AA777" ca="1">IF(Y777&lt;DATE(2015,5,17),0,
K777*
(
INT((MIN(Y777,DATE(2018,9,23))-MAX(D777,DATE(2015,5,17)))/365)
+
CEILING(MOD((MIN(Y777,DATE(2018,9,23))-MAX(D777,DATE(2015,5,17)))/365,1),0.25)
)
*
_xlfn.SWITCH(J777,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77" s="1" cm="1">
        <f t="array" aca="1" ref="AB777" ca="1">IF(Y777&lt;DATE(2018,9,24),0,
IF(J777="زراعة",
K777*
(
INT((MIN(Y777,DATE(2023,4,30))-MAX(D777,DATE(2018,9,24)))/365)
+
CEILING(MOD((MIN(Y777,DATE(2023,4,30))-MAX(D777,DATE(2018,9,24)))/365,1),0.25)
)
*1,
K777*
(
DATEDIF(MAX(D777,DATE(2018,9,24)),MIN(Y777,DATE(2023,4,30)),"m")+1
)
*
_xlfn.SWITCH(J777,
"موقف/تندة",IF(D777&lt;DATE(2019,11,30),6,30),
"تشوينات",IF(D777&lt;DATE(2019,11,30),4,20),
"مشاتل",IF(D777&lt;DATE(2019,11,30),2,10),
"كافيتيريا",IF(D777&lt;DATE(2019,11,30),30,150),
"نوادي",IF(D777&lt;DATE(2019,11,30),6,30),
"رسو مراكب",IF(D777&lt;DATE(2019,11,30),2,10),
"مباني",IF(D777&lt;DATE(2018,9,24),2,10),
"عشش",IF(D777&lt;DATE(2019,11,30),2,10),
"كشك (تجاري/صناعي)",IF(D777&lt;DATE(2019,11,30),10,50),
"ردم",20,
0)))</f>
        <v>0</v>
      </c>
      <c r="AC777" s="1" cm="1">
        <f t="array" aca="1" ref="AC777" ca="1">IF(Y777&lt;DATE(2023,5,1),0,
IF(J777="زراعة",
K777*
(
INT((Y777-MAX(DATE(2023,5,1),D777))/365)
+
CEILING(MOD((Y777-MAX(DATE(2023,5,1),D777))/365,1),0.25)
)
*3,
IF(J777="ردم",
K777*20,
K777*
(
DATEDIF(MAX(DATE(2023,5,1),D777),Y777,"m")+1
)
*
_xlfn.SWITCH(J777,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77" s="1">
        <f t="shared" ca="1" si="79"/>
        <v>55</v>
      </c>
    </row>
    <row r="778" spans="1:30" ht="18.75" x14ac:dyDescent="0.25">
      <c r="A778" s="37">
        <v>714</v>
      </c>
      <c r="B778" s="11">
        <v>37</v>
      </c>
      <c r="C778" s="11">
        <v>2024</v>
      </c>
      <c r="D778" s="74" t="s">
        <v>909</v>
      </c>
      <c r="E778" s="11"/>
      <c r="F778" s="3"/>
      <c r="G778" s="63" t="s">
        <v>941</v>
      </c>
      <c r="H778" s="3"/>
      <c r="I778" s="63" t="s">
        <v>211</v>
      </c>
      <c r="J778" s="3" t="s">
        <v>146</v>
      </c>
      <c r="K778" s="3"/>
      <c r="L778" s="63" t="s">
        <v>368</v>
      </c>
      <c r="M778" s="2"/>
      <c r="N778" s="3"/>
      <c r="O778" s="9">
        <f>0.47*Table2[[#This Row],[قيمة المحضر]]</f>
        <v>0</v>
      </c>
      <c r="P778" s="9">
        <f>0.17*Table2[[#This Row],[قيمة المحضر]]</f>
        <v>0</v>
      </c>
      <c r="Q778" s="9">
        <f t="shared" ca="1" si="80"/>
        <v>0</v>
      </c>
      <c r="R778" s="3"/>
      <c r="S778" s="3"/>
      <c r="T778" s="9" t="str">
        <f t="shared" si="81"/>
        <v>-</v>
      </c>
      <c r="U778" s="3"/>
      <c r="V778" s="9" t="str">
        <f t="shared" si="82"/>
        <v/>
      </c>
      <c r="W778" s="4"/>
      <c r="X778" s="88"/>
      <c r="Y778" s="1">
        <f t="shared" ca="1" si="78"/>
        <v>46162</v>
      </c>
      <c r="Z778" s="1" cm="1">
        <f t="array" ref="Z778">IF(D778&gt;DATE(2015,5,16),0,
K778*
(
INT((MIN(Y778,DATE(2015,5,16))-D778)/365)
+
CEILING(MOD((MIN(Y778,DATE(2015,5,16))-D778)/365,1),0.25)
)
*
_xlfn.SWITCH(J778,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78" s="1" cm="1">
        <f t="array" aca="1" ref="AA778" ca="1">IF(Y778&lt;DATE(2015,5,17),0,
K778*
(
INT((MIN(Y778,DATE(2018,9,23))-MAX(D778,DATE(2015,5,17)))/365)
+
CEILING(MOD((MIN(Y778,DATE(2018,9,23))-MAX(D778,DATE(2015,5,17)))/365,1),0.25)
)
*
_xlfn.SWITCH(J778,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78" s="1" cm="1">
        <f t="array" aca="1" ref="AB778" ca="1">IF(Y778&lt;DATE(2018,9,24),0,
IF(J778="زراعة",
K778*
(
INT((MIN(Y778,DATE(2023,4,30))-MAX(D778,DATE(2018,9,24)))/365)
+
CEILING(MOD((MIN(Y778,DATE(2023,4,30))-MAX(D778,DATE(2018,9,24)))/365,1),0.25)
)
*1,
K778*
(
DATEDIF(MAX(D778,DATE(2018,9,24)),MIN(Y778,DATE(2023,4,30)),"m")+1
)
*
_xlfn.SWITCH(J778,
"موقف/تندة",IF(D778&lt;DATE(2019,11,30),6,30),
"تشوينات",IF(D778&lt;DATE(2019,11,30),4,20),
"مشاتل",IF(D778&lt;DATE(2019,11,30),2,10),
"كافيتيريا",IF(D778&lt;DATE(2019,11,30),30,150),
"نوادي",IF(D778&lt;DATE(2019,11,30),6,30),
"رسو مراكب",IF(D778&lt;DATE(2019,11,30),2,10),
"مباني",IF(D778&lt;DATE(2018,9,24),2,10),
"عشش",IF(D778&lt;DATE(2019,11,30),2,10),
"كشك (تجاري/صناعي)",IF(D778&lt;DATE(2019,11,30),10,50),
"ردم",20,
0)))</f>
        <v>0</v>
      </c>
      <c r="AC778" s="1" cm="1">
        <f t="array" aca="1" ref="AC778" ca="1">IF(Y778&lt;DATE(2023,5,1),0,
IF(J778="زراعة",
K778*
(
INT((Y778-MAX(DATE(2023,5,1),D778))/365)
+
CEILING(MOD((Y778-MAX(DATE(2023,5,1),D778))/365,1),0.25)
)
*3,
IF(J778="ردم",
K778*20,
K778*
(
DATEDIF(MAX(DATE(2023,5,1),D778),Y778,"m")+1
)
*
_xlfn.SWITCH(J778,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78" s="1">
        <f t="shared" ca="1" si="79"/>
        <v>55</v>
      </c>
    </row>
    <row r="779" spans="1:30" ht="18.75" x14ac:dyDescent="0.25">
      <c r="A779" s="37">
        <v>715</v>
      </c>
      <c r="B779" s="11">
        <v>38</v>
      </c>
      <c r="C779" s="11">
        <v>2024</v>
      </c>
      <c r="D779" s="74" t="s">
        <v>909</v>
      </c>
      <c r="E779" s="11"/>
      <c r="F779" s="3"/>
      <c r="G779" s="70" t="s">
        <v>204</v>
      </c>
      <c r="H779" s="3"/>
      <c r="I779" s="63" t="s">
        <v>211</v>
      </c>
      <c r="J779" s="3" t="s">
        <v>146</v>
      </c>
      <c r="K779" s="3"/>
      <c r="L779" s="63" t="s">
        <v>368</v>
      </c>
      <c r="M779" s="2"/>
      <c r="N779" s="3"/>
      <c r="O779" s="9">
        <f>0.47*Table2[[#This Row],[قيمة المحضر]]</f>
        <v>0</v>
      </c>
      <c r="P779" s="9">
        <f>0.17*Table2[[#This Row],[قيمة المحضر]]</f>
        <v>0</v>
      </c>
      <c r="Q779" s="9">
        <f t="shared" ca="1" si="80"/>
        <v>0</v>
      </c>
      <c r="R779" s="3"/>
      <c r="S779" s="3"/>
      <c r="T779" s="9" t="str">
        <f t="shared" si="81"/>
        <v>-</v>
      </c>
      <c r="U779" s="3"/>
      <c r="V779" s="9" t="str">
        <f t="shared" si="82"/>
        <v/>
      </c>
      <c r="W779" s="4"/>
      <c r="X779" s="88"/>
      <c r="Y779" s="1">
        <f t="shared" ca="1" si="78"/>
        <v>46162</v>
      </c>
      <c r="Z779" s="1" cm="1">
        <f t="array" ref="Z779">IF(D779&gt;DATE(2015,5,16),0,
K779*
(
INT((MIN(Y779,DATE(2015,5,16))-D779)/365)
+
CEILING(MOD((MIN(Y779,DATE(2015,5,16))-D779)/365,1),0.25)
)
*
_xlfn.SWITCH(J779,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79" s="1" cm="1">
        <f t="array" aca="1" ref="AA779" ca="1">IF(Y779&lt;DATE(2015,5,17),0,
K779*
(
INT((MIN(Y779,DATE(2018,9,23))-MAX(D779,DATE(2015,5,17)))/365)
+
CEILING(MOD((MIN(Y779,DATE(2018,9,23))-MAX(D779,DATE(2015,5,17)))/365,1),0.25)
)
*
_xlfn.SWITCH(J779,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79" s="1" cm="1">
        <f t="array" aca="1" ref="AB779" ca="1">IF(Y779&lt;DATE(2018,9,24),0,
IF(J779="زراعة",
K779*
(
INT((MIN(Y779,DATE(2023,4,30))-MAX(D779,DATE(2018,9,24)))/365)
+
CEILING(MOD((MIN(Y779,DATE(2023,4,30))-MAX(D779,DATE(2018,9,24)))/365,1),0.25)
)
*1,
K779*
(
DATEDIF(MAX(D779,DATE(2018,9,24)),MIN(Y779,DATE(2023,4,30)),"m")+1
)
*
_xlfn.SWITCH(J779,
"موقف/تندة",IF(D779&lt;DATE(2019,11,30),6,30),
"تشوينات",IF(D779&lt;DATE(2019,11,30),4,20),
"مشاتل",IF(D779&lt;DATE(2019,11,30),2,10),
"كافيتيريا",IF(D779&lt;DATE(2019,11,30),30,150),
"نوادي",IF(D779&lt;DATE(2019,11,30),6,30),
"رسو مراكب",IF(D779&lt;DATE(2019,11,30),2,10),
"مباني",IF(D779&lt;DATE(2018,9,24),2,10),
"عشش",IF(D779&lt;DATE(2019,11,30),2,10),
"كشك (تجاري/صناعي)",IF(D779&lt;DATE(2019,11,30),10,50),
"ردم",20,
0)))</f>
        <v>0</v>
      </c>
      <c r="AC779" s="1" cm="1">
        <f t="array" aca="1" ref="AC779" ca="1">IF(Y779&lt;DATE(2023,5,1),0,
IF(J779="زراعة",
K779*
(
INT((Y779-MAX(DATE(2023,5,1),D779))/365)
+
CEILING(MOD((Y779-MAX(DATE(2023,5,1),D779))/365,1),0.25)
)
*3,
IF(J779="ردم",
K779*20,
K779*
(
DATEDIF(MAX(DATE(2023,5,1),D779),Y779,"m")+1
)
*
_xlfn.SWITCH(J779,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79" s="1">
        <f t="shared" ca="1" si="79"/>
        <v>55</v>
      </c>
    </row>
    <row r="780" spans="1:30" ht="18.75" x14ac:dyDescent="0.25">
      <c r="A780" s="37">
        <v>716</v>
      </c>
      <c r="B780" s="11">
        <v>39</v>
      </c>
      <c r="C780" s="11">
        <v>2024</v>
      </c>
      <c r="D780" s="74" t="s">
        <v>909</v>
      </c>
      <c r="E780" s="11"/>
      <c r="F780" s="3"/>
      <c r="G780" s="70" t="s">
        <v>207</v>
      </c>
      <c r="H780" s="3"/>
      <c r="I780" s="63" t="s">
        <v>211</v>
      </c>
      <c r="J780" s="3" t="s">
        <v>146</v>
      </c>
      <c r="K780" s="3"/>
      <c r="L780" s="63" t="s">
        <v>368</v>
      </c>
      <c r="M780" s="2"/>
      <c r="N780" s="3"/>
      <c r="O780" s="9">
        <f>0.47*Table2[[#This Row],[قيمة المحضر]]</f>
        <v>0</v>
      </c>
      <c r="P780" s="9">
        <f>0.17*Table2[[#This Row],[قيمة المحضر]]</f>
        <v>0</v>
      </c>
      <c r="Q780" s="9">
        <f t="shared" ca="1" si="80"/>
        <v>0</v>
      </c>
      <c r="R780" s="3"/>
      <c r="S780" s="3"/>
      <c r="T780" s="9" t="str">
        <f t="shared" si="81"/>
        <v>-</v>
      </c>
      <c r="U780" s="3"/>
      <c r="V780" s="9" t="str">
        <f t="shared" si="82"/>
        <v/>
      </c>
      <c r="W780" s="4"/>
      <c r="X780" s="88"/>
      <c r="Y780" s="1">
        <f t="shared" ca="1" si="78"/>
        <v>46162</v>
      </c>
      <c r="Z780" s="1" cm="1">
        <f t="array" ref="Z780">IF(D780&gt;DATE(2015,5,16),0,
K780*
(
INT((MIN(Y780,DATE(2015,5,16))-D780)/365)
+
CEILING(MOD((MIN(Y780,DATE(2015,5,16))-D780)/365,1),0.25)
)
*
_xlfn.SWITCH(J780,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80" s="1" cm="1">
        <f t="array" aca="1" ref="AA780" ca="1">IF(Y780&lt;DATE(2015,5,17),0,
K780*
(
INT((MIN(Y780,DATE(2018,9,23))-MAX(D780,DATE(2015,5,17)))/365)
+
CEILING(MOD((MIN(Y780,DATE(2018,9,23))-MAX(D780,DATE(2015,5,17)))/365,1),0.25)
)
*
_xlfn.SWITCH(J780,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80" s="1" cm="1">
        <f t="array" aca="1" ref="AB780" ca="1">IF(Y780&lt;DATE(2018,9,24),0,
IF(J780="زراعة",
K780*
(
INT((MIN(Y780,DATE(2023,4,30))-MAX(D780,DATE(2018,9,24)))/365)
+
CEILING(MOD((MIN(Y780,DATE(2023,4,30))-MAX(D780,DATE(2018,9,24)))/365,1),0.25)
)
*1,
K780*
(
DATEDIF(MAX(D780,DATE(2018,9,24)),MIN(Y780,DATE(2023,4,30)),"m")+1
)
*
_xlfn.SWITCH(J780,
"موقف/تندة",IF(D780&lt;DATE(2019,11,30),6,30),
"تشوينات",IF(D780&lt;DATE(2019,11,30),4,20),
"مشاتل",IF(D780&lt;DATE(2019,11,30),2,10),
"كافيتيريا",IF(D780&lt;DATE(2019,11,30),30,150),
"نوادي",IF(D780&lt;DATE(2019,11,30),6,30),
"رسو مراكب",IF(D780&lt;DATE(2019,11,30),2,10),
"مباني",IF(D780&lt;DATE(2018,9,24),2,10),
"عشش",IF(D780&lt;DATE(2019,11,30),2,10),
"كشك (تجاري/صناعي)",IF(D780&lt;DATE(2019,11,30),10,50),
"ردم",20,
0)))</f>
        <v>0</v>
      </c>
      <c r="AC780" s="1" cm="1">
        <f t="array" aca="1" ref="AC780" ca="1">IF(Y780&lt;DATE(2023,5,1),0,
IF(J780="زراعة",
K780*
(
INT((Y780-MAX(DATE(2023,5,1),D780))/365)
+
CEILING(MOD((Y780-MAX(DATE(2023,5,1),D780))/365,1),0.25)
)
*3,
IF(J780="ردم",
K780*20,
K780*
(
DATEDIF(MAX(DATE(2023,5,1),D780),Y780,"m")+1
)
*
_xlfn.SWITCH(J780,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80" s="1">
        <f t="shared" ca="1" si="79"/>
        <v>55</v>
      </c>
    </row>
    <row r="781" spans="1:30" ht="18.75" x14ac:dyDescent="0.25">
      <c r="A781" s="37">
        <v>717</v>
      </c>
      <c r="B781" s="11">
        <v>40</v>
      </c>
      <c r="C781" s="11">
        <v>2024</v>
      </c>
      <c r="D781" s="74" t="s">
        <v>909</v>
      </c>
      <c r="E781" s="11"/>
      <c r="F781" s="3"/>
      <c r="G781" s="70" t="s">
        <v>200</v>
      </c>
      <c r="H781" s="3"/>
      <c r="I781" s="63" t="s">
        <v>211</v>
      </c>
      <c r="J781" s="3" t="s">
        <v>146</v>
      </c>
      <c r="K781" s="3"/>
      <c r="L781" s="63" t="s">
        <v>368</v>
      </c>
      <c r="M781" s="2"/>
      <c r="N781" s="3"/>
      <c r="O781" s="9">
        <f>0.47*Table2[[#This Row],[قيمة المحضر]]</f>
        <v>0</v>
      </c>
      <c r="P781" s="9">
        <f>0.17*Table2[[#This Row],[قيمة المحضر]]</f>
        <v>0</v>
      </c>
      <c r="Q781" s="9">
        <f t="shared" ca="1" si="80"/>
        <v>0</v>
      </c>
      <c r="R781" s="3"/>
      <c r="S781" s="3"/>
      <c r="T781" s="9" t="str">
        <f t="shared" si="81"/>
        <v>-</v>
      </c>
      <c r="U781" s="3"/>
      <c r="V781" s="9" t="str">
        <f t="shared" si="82"/>
        <v/>
      </c>
      <c r="W781" s="4"/>
      <c r="X781" s="88"/>
      <c r="Y781" s="1">
        <f t="shared" ca="1" si="78"/>
        <v>46162</v>
      </c>
      <c r="Z781" s="1" cm="1">
        <f t="array" ref="Z781">IF(D781&gt;DATE(2015,5,16),0,
K781*
(
INT((MIN(Y781,DATE(2015,5,16))-D781)/365)
+
CEILING(MOD((MIN(Y781,DATE(2015,5,16))-D781)/365,1),0.25)
)
*
_xlfn.SWITCH(J781,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81" s="1" cm="1">
        <f t="array" aca="1" ref="AA781" ca="1">IF(Y781&lt;DATE(2015,5,17),0,
K781*
(
INT((MIN(Y781,DATE(2018,9,23))-MAX(D781,DATE(2015,5,17)))/365)
+
CEILING(MOD((MIN(Y781,DATE(2018,9,23))-MAX(D781,DATE(2015,5,17)))/365,1),0.25)
)
*
_xlfn.SWITCH(J781,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81" s="1" cm="1">
        <f t="array" aca="1" ref="AB781" ca="1">IF(Y781&lt;DATE(2018,9,24),0,
IF(J781="زراعة",
K781*
(
INT((MIN(Y781,DATE(2023,4,30))-MAX(D781,DATE(2018,9,24)))/365)
+
CEILING(MOD((MIN(Y781,DATE(2023,4,30))-MAX(D781,DATE(2018,9,24)))/365,1),0.25)
)
*1,
K781*
(
DATEDIF(MAX(D781,DATE(2018,9,24)),MIN(Y781,DATE(2023,4,30)),"m")+1
)
*
_xlfn.SWITCH(J781,
"موقف/تندة",IF(D781&lt;DATE(2019,11,30),6,30),
"تشوينات",IF(D781&lt;DATE(2019,11,30),4,20),
"مشاتل",IF(D781&lt;DATE(2019,11,30),2,10),
"كافيتيريا",IF(D781&lt;DATE(2019,11,30),30,150),
"نوادي",IF(D781&lt;DATE(2019,11,30),6,30),
"رسو مراكب",IF(D781&lt;DATE(2019,11,30),2,10),
"مباني",IF(D781&lt;DATE(2018,9,24),2,10),
"عشش",IF(D781&lt;DATE(2019,11,30),2,10),
"كشك (تجاري/صناعي)",IF(D781&lt;DATE(2019,11,30),10,50),
"ردم",20,
0)))</f>
        <v>0</v>
      </c>
      <c r="AC781" s="1" cm="1">
        <f t="array" aca="1" ref="AC781" ca="1">IF(Y781&lt;DATE(2023,5,1),0,
IF(J781="زراعة",
K781*
(
INT((Y781-MAX(DATE(2023,5,1),D781))/365)
+
CEILING(MOD((Y781-MAX(DATE(2023,5,1),D781))/365,1),0.25)
)
*3,
IF(J781="ردم",
K781*20,
K781*
(
DATEDIF(MAX(DATE(2023,5,1),D781),Y781,"m")+1
)
*
_xlfn.SWITCH(J781,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81" s="1">
        <f t="shared" ca="1" si="79"/>
        <v>55</v>
      </c>
    </row>
    <row r="782" spans="1:30" ht="18.75" x14ac:dyDescent="0.25">
      <c r="A782" s="37">
        <v>718</v>
      </c>
      <c r="B782" s="11">
        <v>41</v>
      </c>
      <c r="C782" s="11">
        <v>2024</v>
      </c>
      <c r="D782" s="74" t="s">
        <v>909</v>
      </c>
      <c r="E782" s="11"/>
      <c r="F782" s="3"/>
      <c r="G782" s="70" t="s">
        <v>942</v>
      </c>
      <c r="H782" s="3"/>
      <c r="I782" s="63" t="s">
        <v>211</v>
      </c>
      <c r="J782" s="3" t="s">
        <v>146</v>
      </c>
      <c r="K782" s="3"/>
      <c r="L782" s="63" t="s">
        <v>368</v>
      </c>
      <c r="M782" s="2"/>
      <c r="N782" s="3"/>
      <c r="O782" s="9">
        <f>0.47*Table2[[#This Row],[قيمة المحضر]]</f>
        <v>0</v>
      </c>
      <c r="P782" s="9">
        <f>0.17*Table2[[#This Row],[قيمة المحضر]]</f>
        <v>0</v>
      </c>
      <c r="Q782" s="9">
        <f t="shared" ca="1" si="80"/>
        <v>0</v>
      </c>
      <c r="R782" s="3"/>
      <c r="S782" s="3"/>
      <c r="T782" s="9" t="str">
        <f t="shared" si="81"/>
        <v>-</v>
      </c>
      <c r="U782" s="3"/>
      <c r="V782" s="9" t="str">
        <f t="shared" si="82"/>
        <v/>
      </c>
      <c r="W782" s="4"/>
      <c r="X782" s="88"/>
      <c r="Y782" s="1">
        <f t="shared" ca="1" si="78"/>
        <v>46162</v>
      </c>
      <c r="Z782" s="1" cm="1">
        <f t="array" ref="Z782">IF(D782&gt;DATE(2015,5,16),0,
K782*
(
INT((MIN(Y782,DATE(2015,5,16))-D782)/365)
+
CEILING(MOD((MIN(Y782,DATE(2015,5,16))-D782)/365,1),0.25)
)
*
_xlfn.SWITCH(J782,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82" s="1" cm="1">
        <f t="array" aca="1" ref="AA782" ca="1">IF(Y782&lt;DATE(2015,5,17),0,
K782*
(
INT((MIN(Y782,DATE(2018,9,23))-MAX(D782,DATE(2015,5,17)))/365)
+
CEILING(MOD((MIN(Y782,DATE(2018,9,23))-MAX(D782,DATE(2015,5,17)))/365,1),0.25)
)
*
_xlfn.SWITCH(J782,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82" s="1" cm="1">
        <f t="array" aca="1" ref="AB782" ca="1">IF(Y782&lt;DATE(2018,9,24),0,
IF(J782="زراعة",
K782*
(
INT((MIN(Y782,DATE(2023,4,30))-MAX(D782,DATE(2018,9,24)))/365)
+
CEILING(MOD((MIN(Y782,DATE(2023,4,30))-MAX(D782,DATE(2018,9,24)))/365,1),0.25)
)
*1,
K782*
(
DATEDIF(MAX(D782,DATE(2018,9,24)),MIN(Y782,DATE(2023,4,30)),"m")+1
)
*
_xlfn.SWITCH(J782,
"موقف/تندة",IF(D782&lt;DATE(2019,11,30),6,30),
"تشوينات",IF(D782&lt;DATE(2019,11,30),4,20),
"مشاتل",IF(D782&lt;DATE(2019,11,30),2,10),
"كافيتيريا",IF(D782&lt;DATE(2019,11,30),30,150),
"نوادي",IF(D782&lt;DATE(2019,11,30),6,30),
"رسو مراكب",IF(D782&lt;DATE(2019,11,30),2,10),
"مباني",IF(D782&lt;DATE(2018,9,24),2,10),
"عشش",IF(D782&lt;DATE(2019,11,30),2,10),
"كشك (تجاري/صناعي)",IF(D782&lt;DATE(2019,11,30),10,50),
"ردم",20,
0)))</f>
        <v>0</v>
      </c>
      <c r="AC782" s="1" cm="1">
        <f t="array" aca="1" ref="AC782" ca="1">IF(Y782&lt;DATE(2023,5,1),0,
IF(J782="زراعة",
K782*
(
INT((Y782-MAX(DATE(2023,5,1),D782))/365)
+
CEILING(MOD((Y782-MAX(DATE(2023,5,1),D782))/365,1),0.25)
)
*3,
IF(J782="ردم",
K782*20,
K782*
(
DATEDIF(MAX(DATE(2023,5,1),D782),Y782,"m")+1
)
*
_xlfn.SWITCH(J782,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82" s="1">
        <f t="shared" ca="1" si="79"/>
        <v>55</v>
      </c>
    </row>
    <row r="783" spans="1:30" ht="18.75" x14ac:dyDescent="0.25">
      <c r="A783" s="37">
        <v>719</v>
      </c>
      <c r="B783" s="11">
        <v>42</v>
      </c>
      <c r="C783" s="11">
        <v>2024</v>
      </c>
      <c r="D783" s="74" t="s">
        <v>909</v>
      </c>
      <c r="E783" s="11"/>
      <c r="F783" s="3"/>
      <c r="G783" s="70" t="s">
        <v>943</v>
      </c>
      <c r="H783" s="3"/>
      <c r="I783" s="70" t="s">
        <v>105</v>
      </c>
      <c r="J783" s="3" t="s">
        <v>146</v>
      </c>
      <c r="K783" s="3"/>
      <c r="L783" s="63" t="s">
        <v>368</v>
      </c>
      <c r="M783" s="2"/>
      <c r="N783" s="3"/>
      <c r="O783" s="9">
        <f>0.47*Table2[[#This Row],[قيمة المحضر]]</f>
        <v>0</v>
      </c>
      <c r="P783" s="9">
        <f>0.17*Table2[[#This Row],[قيمة المحضر]]</f>
        <v>0</v>
      </c>
      <c r="Q783" s="9">
        <f t="shared" ca="1" si="80"/>
        <v>0</v>
      </c>
      <c r="R783" s="3"/>
      <c r="S783" s="3"/>
      <c r="T783" s="9" t="str">
        <f t="shared" si="81"/>
        <v>-</v>
      </c>
      <c r="U783" s="3"/>
      <c r="V783" s="9" t="str">
        <f t="shared" si="82"/>
        <v/>
      </c>
      <c r="W783" s="4"/>
      <c r="X783" s="88"/>
      <c r="Y783" s="1">
        <f t="shared" ca="1" si="78"/>
        <v>46162</v>
      </c>
      <c r="Z783" s="1" cm="1">
        <f t="array" ref="Z783">IF(D783&gt;DATE(2015,5,16),0,
K783*
(
INT((MIN(Y783,DATE(2015,5,16))-D783)/365)
+
CEILING(MOD((MIN(Y783,DATE(2015,5,16))-D783)/365,1),0.25)
)
*
_xlfn.SWITCH(J783,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83" s="1" cm="1">
        <f t="array" aca="1" ref="AA783" ca="1">IF(Y783&lt;DATE(2015,5,17),0,
K783*
(
INT((MIN(Y783,DATE(2018,9,23))-MAX(D783,DATE(2015,5,17)))/365)
+
CEILING(MOD((MIN(Y783,DATE(2018,9,23))-MAX(D783,DATE(2015,5,17)))/365,1),0.25)
)
*
_xlfn.SWITCH(J783,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83" s="1" cm="1">
        <f t="array" aca="1" ref="AB783" ca="1">IF(Y783&lt;DATE(2018,9,24),0,
IF(J783="زراعة",
K783*
(
INT((MIN(Y783,DATE(2023,4,30))-MAX(D783,DATE(2018,9,24)))/365)
+
CEILING(MOD((MIN(Y783,DATE(2023,4,30))-MAX(D783,DATE(2018,9,24)))/365,1),0.25)
)
*1,
K783*
(
DATEDIF(MAX(D783,DATE(2018,9,24)),MIN(Y783,DATE(2023,4,30)),"m")+1
)
*
_xlfn.SWITCH(J783,
"موقف/تندة",IF(D783&lt;DATE(2019,11,30),6,30),
"تشوينات",IF(D783&lt;DATE(2019,11,30),4,20),
"مشاتل",IF(D783&lt;DATE(2019,11,30),2,10),
"كافيتيريا",IF(D783&lt;DATE(2019,11,30),30,150),
"نوادي",IF(D783&lt;DATE(2019,11,30),6,30),
"رسو مراكب",IF(D783&lt;DATE(2019,11,30),2,10),
"مباني",IF(D783&lt;DATE(2018,9,24),2,10),
"عشش",IF(D783&lt;DATE(2019,11,30),2,10),
"كشك (تجاري/صناعي)",IF(D783&lt;DATE(2019,11,30),10,50),
"ردم",20,
0)))</f>
        <v>0</v>
      </c>
      <c r="AC783" s="1" cm="1">
        <f t="array" aca="1" ref="AC783" ca="1">IF(Y783&lt;DATE(2023,5,1),0,
IF(J783="زراعة",
K783*
(
INT((Y783-MAX(DATE(2023,5,1),D783))/365)
+
CEILING(MOD((Y783-MAX(DATE(2023,5,1),D783))/365,1),0.25)
)
*3,
IF(J783="ردم",
K783*20,
K783*
(
DATEDIF(MAX(DATE(2023,5,1),D783),Y783,"m")+1
)
*
_xlfn.SWITCH(J783,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83" s="1">
        <f t="shared" ca="1" si="79"/>
        <v>55</v>
      </c>
    </row>
    <row r="784" spans="1:30" ht="18.75" x14ac:dyDescent="0.25">
      <c r="A784" s="37">
        <v>720</v>
      </c>
      <c r="B784" s="11">
        <v>43</v>
      </c>
      <c r="C784" s="11">
        <v>2024</v>
      </c>
      <c r="D784" s="74" t="s">
        <v>909</v>
      </c>
      <c r="E784" s="11"/>
      <c r="F784" s="3"/>
      <c r="G784" s="70" t="s">
        <v>944</v>
      </c>
      <c r="H784" s="3"/>
      <c r="I784" s="70" t="s">
        <v>211</v>
      </c>
      <c r="J784" s="3" t="s">
        <v>28</v>
      </c>
      <c r="K784" s="3"/>
      <c r="L784" s="63" t="s">
        <v>368</v>
      </c>
      <c r="M784" s="2"/>
      <c r="N784" s="3"/>
      <c r="O784" s="9">
        <f>0.47*Table2[[#This Row],[قيمة المحضر]]</f>
        <v>0</v>
      </c>
      <c r="P784" s="9">
        <f>0.17*Table2[[#This Row],[قيمة المحضر]]</f>
        <v>0</v>
      </c>
      <c r="Q784" s="9">
        <f t="shared" ca="1" si="80"/>
        <v>0</v>
      </c>
      <c r="R784" s="3"/>
      <c r="S784" s="3"/>
      <c r="T784" s="9" t="str">
        <f t="shared" si="81"/>
        <v>-</v>
      </c>
      <c r="U784" s="3"/>
      <c r="V784" s="9" t="str">
        <f t="shared" si="82"/>
        <v/>
      </c>
      <c r="W784" s="4"/>
      <c r="X784" s="88"/>
      <c r="Y784" s="1">
        <f t="shared" ca="1" si="78"/>
        <v>46162</v>
      </c>
      <c r="Z784" s="1" cm="1">
        <f t="array" ref="Z784">IF(D784&gt;DATE(2015,5,16),0,
K784*
(
INT((MIN(Y784,DATE(2015,5,16))-D784)/365)
+
CEILING(MOD((MIN(Y784,DATE(2015,5,16))-D784)/365,1),0.25)
)
*
_xlfn.SWITCH(J784,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84" s="1" cm="1">
        <f t="array" aca="1" ref="AA784" ca="1">IF(Y784&lt;DATE(2015,5,17),0,
K784*
(
INT((MIN(Y784,DATE(2018,9,23))-MAX(D784,DATE(2015,5,17)))/365)
+
CEILING(MOD((MIN(Y784,DATE(2018,9,23))-MAX(D784,DATE(2015,5,17)))/365,1),0.25)
)
*
_xlfn.SWITCH(J784,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84" s="1" cm="1">
        <f t="array" aca="1" ref="AB784" ca="1">IF(Y784&lt;DATE(2018,9,24),0,
IF(J784="زراعة",
K784*
(
INT((MIN(Y784,DATE(2023,4,30))-MAX(D784,DATE(2018,9,24)))/365)
+
CEILING(MOD((MIN(Y784,DATE(2023,4,30))-MAX(D784,DATE(2018,9,24)))/365,1),0.25)
)
*1,
K784*
(
DATEDIF(MAX(D784,DATE(2018,9,24)),MIN(Y784,DATE(2023,4,30)),"m")+1
)
*
_xlfn.SWITCH(J784,
"موقف/تندة",IF(D784&lt;DATE(2019,11,30),6,30),
"تشوينات",IF(D784&lt;DATE(2019,11,30),4,20),
"مشاتل",IF(D784&lt;DATE(2019,11,30),2,10),
"كافيتيريا",IF(D784&lt;DATE(2019,11,30),30,150),
"نوادي",IF(D784&lt;DATE(2019,11,30),6,30),
"رسو مراكب",IF(D784&lt;DATE(2019,11,30),2,10),
"مباني",IF(D784&lt;DATE(2018,9,24),2,10),
"عشش",IF(D784&lt;DATE(2019,11,30),2,10),
"كشك (تجاري/صناعي)",IF(D784&lt;DATE(2019,11,30),10,50),
"ردم",20,
0)))</f>
        <v>0</v>
      </c>
      <c r="AC784" s="1" cm="1">
        <f t="array" aca="1" ref="AC784" ca="1">IF(Y784&lt;DATE(2023,5,1),0,
IF(J784="زراعة",
K784*
(
INT((Y784-MAX(DATE(2023,5,1),D784))/365)
+
CEILING(MOD((Y784-MAX(DATE(2023,5,1),D784))/365,1),0.25)
)
*3,
IF(J784="ردم",
K784*20,
K784*
(
DATEDIF(MAX(DATE(2023,5,1),D784),Y784,"m")+1
)
*
_xlfn.SWITCH(J784,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84" s="1">
        <f t="shared" ca="1" si="79"/>
        <v>55</v>
      </c>
    </row>
    <row r="785" spans="1:30" ht="18.75" x14ac:dyDescent="0.25">
      <c r="A785" s="37">
        <v>721</v>
      </c>
      <c r="B785" s="11">
        <v>44</v>
      </c>
      <c r="C785" s="11">
        <v>2024</v>
      </c>
      <c r="D785" s="74" t="s">
        <v>909</v>
      </c>
      <c r="E785" s="11"/>
      <c r="F785" s="3"/>
      <c r="G785" s="70" t="s">
        <v>201</v>
      </c>
      <c r="H785" s="3"/>
      <c r="I785" s="70" t="s">
        <v>211</v>
      </c>
      <c r="J785" s="3" t="s">
        <v>146</v>
      </c>
      <c r="K785" s="3"/>
      <c r="L785" s="63" t="s">
        <v>368</v>
      </c>
      <c r="M785" s="2"/>
      <c r="N785" s="3"/>
      <c r="O785" s="9">
        <f>0.47*Table2[[#This Row],[قيمة المحضر]]</f>
        <v>0</v>
      </c>
      <c r="P785" s="9">
        <f>0.17*Table2[[#This Row],[قيمة المحضر]]</f>
        <v>0</v>
      </c>
      <c r="Q785" s="9">
        <f t="shared" ca="1" si="80"/>
        <v>0</v>
      </c>
      <c r="R785" s="3"/>
      <c r="S785" s="3"/>
      <c r="T785" s="9" t="str">
        <f t="shared" si="81"/>
        <v>-</v>
      </c>
      <c r="U785" s="3"/>
      <c r="V785" s="9" t="str">
        <f t="shared" si="82"/>
        <v/>
      </c>
      <c r="W785" s="4"/>
      <c r="X785" s="88"/>
      <c r="Y785" s="1">
        <f t="shared" ca="1" si="78"/>
        <v>46162</v>
      </c>
      <c r="Z785" s="1" cm="1">
        <f t="array" ref="Z785">IF(D785&gt;DATE(2015,5,16),0,
K785*
(
INT((MIN(Y785,DATE(2015,5,16))-D785)/365)
+
CEILING(MOD((MIN(Y785,DATE(2015,5,16))-D785)/365,1),0.25)
)
*
_xlfn.SWITCH(J785,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85" s="1" cm="1">
        <f t="array" aca="1" ref="AA785" ca="1">IF(Y785&lt;DATE(2015,5,17),0,
K785*
(
INT((MIN(Y785,DATE(2018,9,23))-MAX(D785,DATE(2015,5,17)))/365)
+
CEILING(MOD((MIN(Y785,DATE(2018,9,23))-MAX(D785,DATE(2015,5,17)))/365,1),0.25)
)
*
_xlfn.SWITCH(J785,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85" s="1" cm="1">
        <f t="array" aca="1" ref="AB785" ca="1">IF(Y785&lt;DATE(2018,9,24),0,
IF(J785="زراعة",
K785*
(
INT((MIN(Y785,DATE(2023,4,30))-MAX(D785,DATE(2018,9,24)))/365)
+
CEILING(MOD((MIN(Y785,DATE(2023,4,30))-MAX(D785,DATE(2018,9,24)))/365,1),0.25)
)
*1,
K785*
(
DATEDIF(MAX(D785,DATE(2018,9,24)),MIN(Y785,DATE(2023,4,30)),"m")+1
)
*
_xlfn.SWITCH(J785,
"موقف/تندة",IF(D785&lt;DATE(2019,11,30),6,30),
"تشوينات",IF(D785&lt;DATE(2019,11,30),4,20),
"مشاتل",IF(D785&lt;DATE(2019,11,30),2,10),
"كافيتيريا",IF(D785&lt;DATE(2019,11,30),30,150),
"نوادي",IF(D785&lt;DATE(2019,11,30),6,30),
"رسو مراكب",IF(D785&lt;DATE(2019,11,30),2,10),
"مباني",IF(D785&lt;DATE(2018,9,24),2,10),
"عشش",IF(D785&lt;DATE(2019,11,30),2,10),
"كشك (تجاري/صناعي)",IF(D785&lt;DATE(2019,11,30),10,50),
"ردم",20,
0)))</f>
        <v>0</v>
      </c>
      <c r="AC785" s="1" cm="1">
        <f t="array" aca="1" ref="AC785" ca="1">IF(Y785&lt;DATE(2023,5,1),0,
IF(J785="زراعة",
K785*
(
INT((Y785-MAX(DATE(2023,5,1),D785))/365)
+
CEILING(MOD((Y785-MAX(DATE(2023,5,1),D785))/365,1),0.25)
)
*3,
IF(J785="ردم",
K785*20,
K785*
(
DATEDIF(MAX(DATE(2023,5,1),D785),Y785,"m")+1
)
*
_xlfn.SWITCH(J785,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85" s="1">
        <f t="shared" ca="1" si="79"/>
        <v>55</v>
      </c>
    </row>
    <row r="786" spans="1:30" ht="18.75" x14ac:dyDescent="0.25">
      <c r="A786" s="37">
        <v>722</v>
      </c>
      <c r="B786" s="11">
        <v>45</v>
      </c>
      <c r="C786" s="11">
        <v>2024</v>
      </c>
      <c r="D786" s="74" t="s">
        <v>909</v>
      </c>
      <c r="E786" s="11"/>
      <c r="F786" s="3"/>
      <c r="G786" s="70" t="s">
        <v>945</v>
      </c>
      <c r="H786" s="3"/>
      <c r="I786" s="70" t="s">
        <v>50</v>
      </c>
      <c r="J786" s="3" t="s">
        <v>27</v>
      </c>
      <c r="K786" s="3"/>
      <c r="L786" s="70" t="s">
        <v>672</v>
      </c>
      <c r="M786" s="2"/>
      <c r="N786" s="3"/>
      <c r="O786" s="9">
        <f>0.47*Table2[[#This Row],[قيمة المحضر]]</f>
        <v>0</v>
      </c>
      <c r="P786" s="9">
        <f>0.17*Table2[[#This Row],[قيمة المحضر]]</f>
        <v>0</v>
      </c>
      <c r="Q786" s="9">
        <f t="shared" ca="1" si="80"/>
        <v>0</v>
      </c>
      <c r="R786" s="3"/>
      <c r="S786" s="3"/>
      <c r="T786" s="9" t="str">
        <f t="shared" si="81"/>
        <v>-</v>
      </c>
      <c r="U786" s="3"/>
      <c r="V786" s="9" t="str">
        <f t="shared" si="82"/>
        <v/>
      </c>
      <c r="W786" s="4"/>
      <c r="X786" s="88"/>
      <c r="Y786" s="1">
        <f t="shared" ca="1" si="78"/>
        <v>46162</v>
      </c>
      <c r="Z786" s="1" cm="1">
        <f t="array" ref="Z786">IF(D786&gt;DATE(2015,5,16),0,
K786*
(
INT((MIN(Y786,DATE(2015,5,16))-D786)/365)
+
CEILING(MOD((MIN(Y786,DATE(2015,5,16))-D786)/365,1),0.25)
)
*
_xlfn.SWITCH(J786,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86" s="1" cm="1">
        <f t="array" aca="1" ref="AA786" ca="1">IF(Y786&lt;DATE(2015,5,17),0,
K786*
(
INT((MIN(Y786,DATE(2018,9,23))-MAX(D786,DATE(2015,5,17)))/365)
+
CEILING(MOD((MIN(Y786,DATE(2018,9,23))-MAX(D786,DATE(2015,5,17)))/365,1),0.25)
)
*
_xlfn.SWITCH(J786,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86" s="1" cm="1">
        <f t="array" aca="1" ref="AB786" ca="1">IF(Y786&lt;DATE(2018,9,24),0,
IF(J786="زراعة",
K786*
(
INT((MIN(Y786,DATE(2023,4,30))-MAX(D786,DATE(2018,9,24)))/365)
+
CEILING(MOD((MIN(Y786,DATE(2023,4,30))-MAX(D786,DATE(2018,9,24)))/365,1),0.25)
)
*1,
K786*
(
DATEDIF(MAX(D786,DATE(2018,9,24)),MIN(Y786,DATE(2023,4,30)),"m")+1
)
*
_xlfn.SWITCH(J786,
"موقف/تندة",IF(D786&lt;DATE(2019,11,30),6,30),
"تشوينات",IF(D786&lt;DATE(2019,11,30),4,20),
"مشاتل",IF(D786&lt;DATE(2019,11,30),2,10),
"كافيتيريا",IF(D786&lt;DATE(2019,11,30),30,150),
"نوادي",IF(D786&lt;DATE(2019,11,30),6,30),
"رسو مراكب",IF(D786&lt;DATE(2019,11,30),2,10),
"مباني",IF(D786&lt;DATE(2018,9,24),2,10),
"عشش",IF(D786&lt;DATE(2019,11,30),2,10),
"كشك (تجاري/صناعي)",IF(D786&lt;DATE(2019,11,30),10,50),
"ردم",20,
0)))</f>
        <v>0</v>
      </c>
      <c r="AC786" s="1" cm="1">
        <f t="array" aca="1" ref="AC786" ca="1">IF(Y786&lt;DATE(2023,5,1),0,
IF(J786="زراعة",
K786*
(
INT((Y786-MAX(DATE(2023,5,1),D786))/365)
+
CEILING(MOD((Y786-MAX(DATE(2023,5,1),D786))/365,1),0.25)
)
*3,
IF(J786="ردم",
K786*20,
K786*
(
DATEDIF(MAX(DATE(2023,5,1),D786),Y786,"m")+1
)
*
_xlfn.SWITCH(J786,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86" s="1">
        <f t="shared" ca="1" si="79"/>
        <v>55</v>
      </c>
    </row>
    <row r="787" spans="1:30" ht="18.75" x14ac:dyDescent="0.25">
      <c r="A787" s="37">
        <v>723</v>
      </c>
      <c r="B787" s="11">
        <v>46</v>
      </c>
      <c r="C787" s="11">
        <v>2024</v>
      </c>
      <c r="D787" s="74" t="s">
        <v>910</v>
      </c>
      <c r="E787" s="11"/>
      <c r="F787" s="3"/>
      <c r="G787" s="70" t="s">
        <v>946</v>
      </c>
      <c r="H787" s="3"/>
      <c r="I787" s="70" t="s">
        <v>33</v>
      </c>
      <c r="J787" s="3" t="s">
        <v>27</v>
      </c>
      <c r="K787" s="3"/>
      <c r="L787" s="70" t="s">
        <v>88</v>
      </c>
      <c r="M787" s="2"/>
      <c r="N787" s="3"/>
      <c r="O787" s="9">
        <f>0.47*Table2[[#This Row],[قيمة المحضر]]</f>
        <v>0</v>
      </c>
      <c r="P787" s="9">
        <f>0.17*Table2[[#This Row],[قيمة المحضر]]</f>
        <v>0</v>
      </c>
      <c r="Q787" s="9">
        <f t="shared" ca="1" si="80"/>
        <v>0</v>
      </c>
      <c r="R787" s="3"/>
      <c r="S787" s="3"/>
      <c r="T787" s="9" t="str">
        <f t="shared" si="81"/>
        <v>-</v>
      </c>
      <c r="U787" s="3"/>
      <c r="V787" s="9" t="str">
        <f t="shared" si="82"/>
        <v/>
      </c>
      <c r="W787" s="4"/>
      <c r="X787" s="88"/>
      <c r="Y787" s="1">
        <f t="shared" ca="1" si="78"/>
        <v>46162</v>
      </c>
      <c r="Z787" s="1" cm="1">
        <f t="array" ref="Z787">IF(D787&gt;DATE(2015,5,16),0,
K787*
(
INT((MIN(Y787,DATE(2015,5,16))-D787)/365)
+
CEILING(MOD((MIN(Y787,DATE(2015,5,16))-D787)/365,1),0.25)
)
*
_xlfn.SWITCH(J787,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87" s="1" cm="1">
        <f t="array" aca="1" ref="AA787" ca="1">IF(Y787&lt;DATE(2015,5,17),0,
K787*
(
INT((MIN(Y787,DATE(2018,9,23))-MAX(D787,DATE(2015,5,17)))/365)
+
CEILING(MOD((MIN(Y787,DATE(2018,9,23))-MAX(D787,DATE(2015,5,17)))/365,1),0.25)
)
*
_xlfn.SWITCH(J787,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87" s="1" cm="1">
        <f t="array" aca="1" ref="AB787" ca="1">IF(Y787&lt;DATE(2018,9,24),0,
IF(J787="زراعة",
K787*
(
INT((MIN(Y787,DATE(2023,4,30))-MAX(D787,DATE(2018,9,24)))/365)
+
CEILING(MOD((MIN(Y787,DATE(2023,4,30))-MAX(D787,DATE(2018,9,24)))/365,1),0.25)
)
*1,
K787*
(
DATEDIF(MAX(D787,DATE(2018,9,24)),MIN(Y787,DATE(2023,4,30)),"m")+1
)
*
_xlfn.SWITCH(J787,
"موقف/تندة",IF(D787&lt;DATE(2019,11,30),6,30),
"تشوينات",IF(D787&lt;DATE(2019,11,30),4,20),
"مشاتل",IF(D787&lt;DATE(2019,11,30),2,10),
"كافيتيريا",IF(D787&lt;DATE(2019,11,30),30,150),
"نوادي",IF(D787&lt;DATE(2019,11,30),6,30),
"رسو مراكب",IF(D787&lt;DATE(2019,11,30),2,10),
"مباني",IF(D787&lt;DATE(2018,9,24),2,10),
"عشش",IF(D787&lt;DATE(2019,11,30),2,10),
"كشك (تجاري/صناعي)",IF(D787&lt;DATE(2019,11,30),10,50),
"ردم",20,
0)))</f>
        <v>0</v>
      </c>
      <c r="AC787" s="1" cm="1">
        <f t="array" aca="1" ref="AC787" ca="1">IF(Y787&lt;DATE(2023,5,1),0,
IF(J787="زراعة",
K787*
(
INT((Y787-MAX(DATE(2023,5,1),D787))/365)
+
CEILING(MOD((Y787-MAX(DATE(2023,5,1),D787))/365,1),0.25)
)
*3,
IF(J787="ردم",
K787*20,
K787*
(
DATEDIF(MAX(DATE(2023,5,1),D787),Y787,"m")+1
)
*
_xlfn.SWITCH(J787,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87" s="1">
        <f t="shared" ca="1" si="79"/>
        <v>55</v>
      </c>
    </row>
    <row r="788" spans="1:30" ht="18.75" x14ac:dyDescent="0.25">
      <c r="A788" s="37">
        <v>724</v>
      </c>
      <c r="B788" s="90">
        <v>47</v>
      </c>
      <c r="C788" s="11">
        <v>2024</v>
      </c>
      <c r="D788" s="74" t="s">
        <v>910</v>
      </c>
      <c r="E788" s="11"/>
      <c r="F788" s="3"/>
      <c r="G788" s="70" t="s">
        <v>839</v>
      </c>
      <c r="H788" s="3"/>
      <c r="I788" s="70" t="s">
        <v>33</v>
      </c>
      <c r="J788" s="3" t="s">
        <v>77</v>
      </c>
      <c r="K788" s="3"/>
      <c r="L788" s="70" t="s">
        <v>88</v>
      </c>
      <c r="M788" s="2"/>
      <c r="N788" s="3"/>
      <c r="O788" s="9">
        <f>0.47*Table2[[#This Row],[قيمة المحضر]]</f>
        <v>0</v>
      </c>
      <c r="P788" s="9">
        <f>0.17*Table2[[#This Row],[قيمة المحضر]]</f>
        <v>0</v>
      </c>
      <c r="Q788" s="9">
        <f t="shared" ca="1" si="80"/>
        <v>0</v>
      </c>
      <c r="R788" s="3"/>
      <c r="S788" s="3"/>
      <c r="T788" s="9" t="str">
        <f t="shared" si="81"/>
        <v>-</v>
      </c>
      <c r="U788" s="3"/>
      <c r="V788" s="9" t="str">
        <f t="shared" si="82"/>
        <v/>
      </c>
      <c r="W788" s="4"/>
      <c r="X788" s="88"/>
      <c r="Y788" s="1">
        <f t="shared" ca="1" si="78"/>
        <v>46162</v>
      </c>
      <c r="Z788" s="1" cm="1">
        <f t="array" ref="Z788">IF(D788&gt;DATE(2015,5,16),0,
K788*
(
INT((MIN(Y788,DATE(2015,5,16))-D788)/365)
+
CEILING(MOD((MIN(Y788,DATE(2015,5,16))-D788)/365,1),0.25)
)
*
_xlfn.SWITCH(J788,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88" s="1" cm="1">
        <f t="array" aca="1" ref="AA788" ca="1">IF(Y788&lt;DATE(2015,5,17),0,
K788*
(
INT((MIN(Y788,DATE(2018,9,23))-MAX(D788,DATE(2015,5,17)))/365)
+
CEILING(MOD((MIN(Y788,DATE(2018,9,23))-MAX(D788,DATE(2015,5,17)))/365,1),0.25)
)
*
_xlfn.SWITCH(J788,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88" s="1" cm="1">
        <f t="array" aca="1" ref="AB788" ca="1">IF(Y788&lt;DATE(2018,9,24),0,
IF(J788="زراعة",
K788*
(
INT((MIN(Y788,DATE(2023,4,30))-MAX(D788,DATE(2018,9,24)))/365)
+
CEILING(MOD((MIN(Y788,DATE(2023,4,30))-MAX(D788,DATE(2018,9,24)))/365,1),0.25)
)
*1,
K788*
(
DATEDIF(MAX(D788,DATE(2018,9,24)),MIN(Y788,DATE(2023,4,30)),"m")+1
)
*
_xlfn.SWITCH(J788,
"موقف/تندة",IF(D788&lt;DATE(2019,11,30),6,30),
"تشوينات",IF(D788&lt;DATE(2019,11,30),4,20),
"مشاتل",IF(D788&lt;DATE(2019,11,30),2,10),
"كافيتيريا",IF(D788&lt;DATE(2019,11,30),30,150),
"نوادي",IF(D788&lt;DATE(2019,11,30),6,30),
"رسو مراكب",IF(D788&lt;DATE(2019,11,30),2,10),
"مباني",IF(D788&lt;DATE(2018,9,24),2,10),
"عشش",IF(D788&lt;DATE(2019,11,30),2,10),
"كشك (تجاري/صناعي)",IF(D788&lt;DATE(2019,11,30),10,50),
"ردم",20,
0)))</f>
        <v>0</v>
      </c>
      <c r="AC788" s="1" cm="1">
        <f t="array" aca="1" ref="AC788" ca="1">IF(Y788&lt;DATE(2023,5,1),0,
IF(J788="زراعة",
K788*
(
INT((Y788-MAX(DATE(2023,5,1),D788))/365)
+
CEILING(MOD((Y788-MAX(DATE(2023,5,1),D788))/365,1),0.25)
)
*3,
IF(J788="ردم",
K788*20,
K788*
(
DATEDIF(MAX(DATE(2023,5,1),D788),Y788,"m")+1
)
*
_xlfn.SWITCH(J788,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88" s="1">
        <f t="shared" ca="1" si="79"/>
        <v>55</v>
      </c>
    </row>
    <row r="789" spans="1:30" ht="18.75" x14ac:dyDescent="0.25">
      <c r="A789" s="37">
        <v>724</v>
      </c>
      <c r="B789" s="90">
        <v>47</v>
      </c>
      <c r="C789" s="11">
        <v>2024</v>
      </c>
      <c r="D789" s="74" t="s">
        <v>910</v>
      </c>
      <c r="E789" s="11"/>
      <c r="F789" s="3"/>
      <c r="G789" s="70" t="s">
        <v>839</v>
      </c>
      <c r="H789" s="3"/>
      <c r="I789" s="70" t="s">
        <v>33</v>
      </c>
      <c r="J789" s="3" t="s">
        <v>438</v>
      </c>
      <c r="K789" s="3"/>
      <c r="L789" s="70" t="s">
        <v>88</v>
      </c>
      <c r="M789" s="2"/>
      <c r="N789" s="3"/>
      <c r="O789" s="9">
        <f>0.47*Table2[[#This Row],[قيمة المحضر]]</f>
        <v>0</v>
      </c>
      <c r="P789" s="9">
        <f>0.17*Table2[[#This Row],[قيمة المحضر]]</f>
        <v>0</v>
      </c>
      <c r="Q789" s="9">
        <f t="shared" ca="1" si="80"/>
        <v>0</v>
      </c>
      <c r="R789" s="3"/>
      <c r="S789" s="3"/>
      <c r="T789" s="9" t="str">
        <f t="shared" si="81"/>
        <v>-</v>
      </c>
      <c r="U789" s="3"/>
      <c r="V789" s="9" t="str">
        <f t="shared" si="82"/>
        <v/>
      </c>
      <c r="W789" s="4"/>
      <c r="X789" s="88"/>
      <c r="Y789" s="1">
        <f t="shared" ca="1" si="78"/>
        <v>46162</v>
      </c>
      <c r="Z789" s="1" cm="1">
        <f t="array" ref="Z789">IF(D789&gt;DATE(2015,5,16),0,
K789*
(
INT((MIN(Y789,DATE(2015,5,16))-D789)/365)
+
CEILING(MOD((MIN(Y789,DATE(2015,5,16))-D789)/365,1),0.25)
)
*
_xlfn.SWITCH(J789,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89" s="1" cm="1">
        <f t="array" aca="1" ref="AA789" ca="1">IF(Y789&lt;DATE(2015,5,17),0,
K789*
(
INT((MIN(Y789,DATE(2018,9,23))-MAX(D789,DATE(2015,5,17)))/365)
+
CEILING(MOD((MIN(Y789,DATE(2018,9,23))-MAX(D789,DATE(2015,5,17)))/365,1),0.25)
)
*
_xlfn.SWITCH(J789,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89" s="1" cm="1">
        <f t="array" aca="1" ref="AB789" ca="1">IF(Y789&lt;DATE(2018,9,24),0,
IF(J789="زراعة",
K789*
(
INT((MIN(Y789,DATE(2023,4,30))-MAX(D789,DATE(2018,9,24)))/365)
+
CEILING(MOD((MIN(Y789,DATE(2023,4,30))-MAX(D789,DATE(2018,9,24)))/365,1),0.25)
)
*1,
K789*
(
DATEDIF(MAX(D789,DATE(2018,9,24)),MIN(Y789,DATE(2023,4,30)),"m")+1
)
*
_xlfn.SWITCH(J789,
"موقف/تندة",IF(D789&lt;DATE(2019,11,30),6,30),
"تشوينات",IF(D789&lt;DATE(2019,11,30),4,20),
"مشاتل",IF(D789&lt;DATE(2019,11,30),2,10),
"كافيتيريا",IF(D789&lt;DATE(2019,11,30),30,150),
"نوادي",IF(D789&lt;DATE(2019,11,30),6,30),
"رسو مراكب",IF(D789&lt;DATE(2019,11,30),2,10),
"مباني",IF(D789&lt;DATE(2018,9,24),2,10),
"عشش",IF(D789&lt;DATE(2019,11,30),2,10),
"كشك (تجاري/صناعي)",IF(D789&lt;DATE(2019,11,30),10,50),
"ردم",20,
0)))</f>
        <v>0</v>
      </c>
      <c r="AC789" s="1" cm="1">
        <f t="array" aca="1" ref="AC789" ca="1">IF(Y789&lt;DATE(2023,5,1),0,
IF(J789="زراعة",
K789*
(
INT((Y789-MAX(DATE(2023,5,1),D789))/365)
+
CEILING(MOD((Y789-MAX(DATE(2023,5,1),D789))/365,1),0.25)
)
*3,
IF(J789="ردم",
K789*20,
K789*
(
DATEDIF(MAX(DATE(2023,5,1),D789),Y789,"m")+1
)
*
_xlfn.SWITCH(J789,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89" s="1">
        <f t="shared" ca="1" si="79"/>
        <v>55</v>
      </c>
    </row>
    <row r="790" spans="1:30" ht="18.75" x14ac:dyDescent="0.25">
      <c r="A790" s="37">
        <v>725</v>
      </c>
      <c r="B790" s="11">
        <v>48</v>
      </c>
      <c r="C790" s="11">
        <v>2024</v>
      </c>
      <c r="D790" s="74" t="s">
        <v>910</v>
      </c>
      <c r="E790" s="11"/>
      <c r="F790" s="3"/>
      <c r="G790" s="70" t="s">
        <v>947</v>
      </c>
      <c r="H790" s="3"/>
      <c r="I790" s="70" t="s">
        <v>142</v>
      </c>
      <c r="J790" s="3" t="s">
        <v>438</v>
      </c>
      <c r="K790" s="3"/>
      <c r="L790" s="70" t="s">
        <v>88</v>
      </c>
      <c r="M790" s="2"/>
      <c r="N790" s="3"/>
      <c r="O790" s="9">
        <f>0.47*Table2[[#This Row],[قيمة المحضر]]</f>
        <v>0</v>
      </c>
      <c r="P790" s="9">
        <f>0.17*Table2[[#This Row],[قيمة المحضر]]</f>
        <v>0</v>
      </c>
      <c r="Q790" s="9">
        <f t="shared" ca="1" si="80"/>
        <v>0</v>
      </c>
      <c r="R790" s="3"/>
      <c r="S790" s="3"/>
      <c r="T790" s="9" t="str">
        <f t="shared" si="81"/>
        <v>-</v>
      </c>
      <c r="U790" s="3"/>
      <c r="V790" s="9" t="str">
        <f t="shared" si="82"/>
        <v/>
      </c>
      <c r="W790" s="4"/>
      <c r="X790" s="88"/>
      <c r="Y790" s="1">
        <f t="shared" ca="1" si="78"/>
        <v>46162</v>
      </c>
      <c r="Z790" s="1" cm="1">
        <f t="array" ref="Z790">IF(D790&gt;DATE(2015,5,16),0,
K790*
(
INT((MIN(Y790,DATE(2015,5,16))-D790)/365)
+
CEILING(MOD((MIN(Y790,DATE(2015,5,16))-D790)/365,1),0.25)
)
*
_xlfn.SWITCH(J790,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90" s="1" cm="1">
        <f t="array" aca="1" ref="AA790" ca="1">IF(Y790&lt;DATE(2015,5,17),0,
K790*
(
INT((MIN(Y790,DATE(2018,9,23))-MAX(D790,DATE(2015,5,17)))/365)
+
CEILING(MOD((MIN(Y790,DATE(2018,9,23))-MAX(D790,DATE(2015,5,17)))/365,1),0.25)
)
*
_xlfn.SWITCH(J790,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90" s="1" cm="1">
        <f t="array" aca="1" ref="AB790" ca="1">IF(Y790&lt;DATE(2018,9,24),0,
IF(J790="زراعة",
K790*
(
INT((MIN(Y790,DATE(2023,4,30))-MAX(D790,DATE(2018,9,24)))/365)
+
CEILING(MOD((MIN(Y790,DATE(2023,4,30))-MAX(D790,DATE(2018,9,24)))/365,1),0.25)
)
*1,
K790*
(
DATEDIF(MAX(D790,DATE(2018,9,24)),MIN(Y790,DATE(2023,4,30)),"m")+1
)
*
_xlfn.SWITCH(J790,
"موقف/تندة",IF(D790&lt;DATE(2019,11,30),6,30),
"تشوينات",IF(D790&lt;DATE(2019,11,30),4,20),
"مشاتل",IF(D790&lt;DATE(2019,11,30),2,10),
"كافيتيريا",IF(D790&lt;DATE(2019,11,30),30,150),
"نوادي",IF(D790&lt;DATE(2019,11,30),6,30),
"رسو مراكب",IF(D790&lt;DATE(2019,11,30),2,10),
"مباني",IF(D790&lt;DATE(2018,9,24),2,10),
"عشش",IF(D790&lt;DATE(2019,11,30),2,10),
"كشك (تجاري/صناعي)",IF(D790&lt;DATE(2019,11,30),10,50),
"ردم",20,
0)))</f>
        <v>0</v>
      </c>
      <c r="AC790" s="1" cm="1">
        <f t="array" aca="1" ref="AC790" ca="1">IF(Y790&lt;DATE(2023,5,1),0,
IF(J790="زراعة",
K790*
(
INT((Y790-MAX(DATE(2023,5,1),D790))/365)
+
CEILING(MOD((Y790-MAX(DATE(2023,5,1),D790))/365,1),0.25)
)
*3,
IF(J790="ردم",
K790*20,
K790*
(
DATEDIF(MAX(DATE(2023,5,1),D790),Y790,"m")+1
)
*
_xlfn.SWITCH(J790,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90" s="1">
        <f t="shared" ca="1" si="79"/>
        <v>55</v>
      </c>
    </row>
    <row r="791" spans="1:30" ht="18.75" x14ac:dyDescent="0.25">
      <c r="A791" s="37">
        <v>726</v>
      </c>
      <c r="B791" s="11">
        <v>49</v>
      </c>
      <c r="C791" s="11">
        <v>2024</v>
      </c>
      <c r="D791" s="74" t="s">
        <v>910</v>
      </c>
      <c r="E791" s="11"/>
      <c r="F791" s="3"/>
      <c r="G791" s="70" t="s">
        <v>856</v>
      </c>
      <c r="H791" s="3"/>
      <c r="I791" s="70" t="s">
        <v>33</v>
      </c>
      <c r="J791" s="3" t="s">
        <v>438</v>
      </c>
      <c r="K791" s="3"/>
      <c r="L791" s="70" t="s">
        <v>88</v>
      </c>
      <c r="M791" s="2"/>
      <c r="N791" s="3"/>
      <c r="O791" s="9">
        <f>0.47*Table2[[#This Row],[قيمة المحضر]]</f>
        <v>0</v>
      </c>
      <c r="P791" s="9">
        <f>0.17*Table2[[#This Row],[قيمة المحضر]]</f>
        <v>0</v>
      </c>
      <c r="Q791" s="9">
        <f t="shared" ca="1" si="80"/>
        <v>0</v>
      </c>
      <c r="R791" s="3"/>
      <c r="S791" s="3"/>
      <c r="T791" s="9" t="str">
        <f t="shared" si="81"/>
        <v>-</v>
      </c>
      <c r="U791" s="3"/>
      <c r="V791" s="9" t="str">
        <f t="shared" si="82"/>
        <v/>
      </c>
      <c r="W791" s="4"/>
      <c r="X791" s="88"/>
      <c r="Y791" s="1">
        <f t="shared" ca="1" si="78"/>
        <v>46162</v>
      </c>
      <c r="Z791" s="1" cm="1">
        <f t="array" ref="Z791">IF(D791&gt;DATE(2015,5,16),0,
K791*
(
INT((MIN(Y791,DATE(2015,5,16))-D791)/365)
+
CEILING(MOD((MIN(Y791,DATE(2015,5,16))-D791)/365,1),0.25)
)
*
_xlfn.SWITCH(J791,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91" s="1" cm="1">
        <f t="array" aca="1" ref="AA791" ca="1">IF(Y791&lt;DATE(2015,5,17),0,
K791*
(
INT((MIN(Y791,DATE(2018,9,23))-MAX(D791,DATE(2015,5,17)))/365)
+
CEILING(MOD((MIN(Y791,DATE(2018,9,23))-MAX(D791,DATE(2015,5,17)))/365,1),0.25)
)
*
_xlfn.SWITCH(J791,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91" s="1" cm="1">
        <f t="array" aca="1" ref="AB791" ca="1">IF(Y791&lt;DATE(2018,9,24),0,
IF(J791="زراعة",
K791*
(
INT((MIN(Y791,DATE(2023,4,30))-MAX(D791,DATE(2018,9,24)))/365)
+
CEILING(MOD((MIN(Y791,DATE(2023,4,30))-MAX(D791,DATE(2018,9,24)))/365,1),0.25)
)
*1,
K791*
(
DATEDIF(MAX(D791,DATE(2018,9,24)),MIN(Y791,DATE(2023,4,30)),"m")+1
)
*
_xlfn.SWITCH(J791,
"موقف/تندة",IF(D791&lt;DATE(2019,11,30),6,30),
"تشوينات",IF(D791&lt;DATE(2019,11,30),4,20),
"مشاتل",IF(D791&lt;DATE(2019,11,30),2,10),
"كافيتيريا",IF(D791&lt;DATE(2019,11,30),30,150),
"نوادي",IF(D791&lt;DATE(2019,11,30),6,30),
"رسو مراكب",IF(D791&lt;DATE(2019,11,30),2,10),
"مباني",IF(D791&lt;DATE(2018,9,24),2,10),
"عشش",IF(D791&lt;DATE(2019,11,30),2,10),
"كشك (تجاري/صناعي)",IF(D791&lt;DATE(2019,11,30),10,50),
"ردم",20,
0)))</f>
        <v>0</v>
      </c>
      <c r="AC791" s="1" cm="1">
        <f t="array" aca="1" ref="AC791" ca="1">IF(Y791&lt;DATE(2023,5,1),0,
IF(J791="زراعة",
K791*
(
INT((Y791-MAX(DATE(2023,5,1),D791))/365)
+
CEILING(MOD((Y791-MAX(DATE(2023,5,1),D791))/365,1),0.25)
)
*3,
IF(J791="ردم",
K791*20,
K791*
(
DATEDIF(MAX(DATE(2023,5,1),D791),Y791,"m")+1
)
*
_xlfn.SWITCH(J791,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91" s="1">
        <f t="shared" ca="1" si="79"/>
        <v>55</v>
      </c>
    </row>
    <row r="792" spans="1:30" ht="18.75" x14ac:dyDescent="0.25">
      <c r="A792" s="37">
        <v>727</v>
      </c>
      <c r="B792" s="11">
        <v>50</v>
      </c>
      <c r="C792" s="11">
        <v>2024</v>
      </c>
      <c r="D792" s="74" t="s">
        <v>910</v>
      </c>
      <c r="E792" s="11"/>
      <c r="F792" s="3"/>
      <c r="G792" s="70" t="s">
        <v>856</v>
      </c>
      <c r="H792" s="3"/>
      <c r="I792" s="70" t="s">
        <v>33</v>
      </c>
      <c r="J792" s="3" t="s">
        <v>438</v>
      </c>
      <c r="K792" s="3"/>
      <c r="L792" s="70" t="s">
        <v>88</v>
      </c>
      <c r="M792" s="2"/>
      <c r="N792" s="3"/>
      <c r="O792" s="9">
        <f>0.47*Table2[[#This Row],[قيمة المحضر]]</f>
        <v>0</v>
      </c>
      <c r="P792" s="9">
        <f>0.17*Table2[[#This Row],[قيمة المحضر]]</f>
        <v>0</v>
      </c>
      <c r="Q792" s="9">
        <f t="shared" ca="1" si="80"/>
        <v>0</v>
      </c>
      <c r="R792" s="3"/>
      <c r="S792" s="3"/>
      <c r="T792" s="9" t="str">
        <f t="shared" si="81"/>
        <v>-</v>
      </c>
      <c r="U792" s="3"/>
      <c r="V792" s="9" t="str">
        <f t="shared" si="82"/>
        <v/>
      </c>
      <c r="W792" s="4"/>
      <c r="X792" s="88"/>
      <c r="Y792" s="1">
        <f t="shared" ca="1" si="78"/>
        <v>46162</v>
      </c>
      <c r="Z792" s="1" cm="1">
        <f t="array" ref="Z792">IF(D792&gt;DATE(2015,5,16),0,
K792*
(
INT((MIN(Y792,DATE(2015,5,16))-D792)/365)
+
CEILING(MOD((MIN(Y792,DATE(2015,5,16))-D792)/365,1),0.25)
)
*
_xlfn.SWITCH(J792,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92" s="1" cm="1">
        <f t="array" aca="1" ref="AA792" ca="1">IF(Y792&lt;DATE(2015,5,17),0,
K792*
(
INT((MIN(Y792,DATE(2018,9,23))-MAX(D792,DATE(2015,5,17)))/365)
+
CEILING(MOD((MIN(Y792,DATE(2018,9,23))-MAX(D792,DATE(2015,5,17)))/365,1),0.25)
)
*
_xlfn.SWITCH(J792,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92" s="1" cm="1">
        <f t="array" aca="1" ref="AB792" ca="1">IF(Y792&lt;DATE(2018,9,24),0,
IF(J792="زراعة",
K792*
(
INT((MIN(Y792,DATE(2023,4,30))-MAX(D792,DATE(2018,9,24)))/365)
+
CEILING(MOD((MIN(Y792,DATE(2023,4,30))-MAX(D792,DATE(2018,9,24)))/365,1),0.25)
)
*1,
K792*
(
DATEDIF(MAX(D792,DATE(2018,9,24)),MIN(Y792,DATE(2023,4,30)),"m")+1
)
*
_xlfn.SWITCH(J792,
"موقف/تندة",IF(D792&lt;DATE(2019,11,30),6,30),
"تشوينات",IF(D792&lt;DATE(2019,11,30),4,20),
"مشاتل",IF(D792&lt;DATE(2019,11,30),2,10),
"كافيتيريا",IF(D792&lt;DATE(2019,11,30),30,150),
"نوادي",IF(D792&lt;DATE(2019,11,30),6,30),
"رسو مراكب",IF(D792&lt;DATE(2019,11,30),2,10),
"مباني",IF(D792&lt;DATE(2018,9,24),2,10),
"عشش",IF(D792&lt;DATE(2019,11,30),2,10),
"كشك (تجاري/صناعي)",IF(D792&lt;DATE(2019,11,30),10,50),
"ردم",20,
0)))</f>
        <v>0</v>
      </c>
      <c r="AC792" s="1" cm="1">
        <f t="array" aca="1" ref="AC792" ca="1">IF(Y792&lt;DATE(2023,5,1),0,
IF(J792="زراعة",
K792*
(
INT((Y792-MAX(DATE(2023,5,1),D792))/365)
+
CEILING(MOD((Y792-MAX(DATE(2023,5,1),D792))/365,1),0.25)
)
*3,
IF(J792="ردم",
K792*20,
K792*
(
DATEDIF(MAX(DATE(2023,5,1),D792),Y792,"m")+1
)
*
_xlfn.SWITCH(J792,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92" s="1">
        <f t="shared" ca="1" si="79"/>
        <v>55</v>
      </c>
    </row>
    <row r="793" spans="1:30" ht="18.75" x14ac:dyDescent="0.25">
      <c r="A793" s="37">
        <v>728</v>
      </c>
      <c r="B793" s="11">
        <v>51</v>
      </c>
      <c r="C793" s="11">
        <v>2024</v>
      </c>
      <c r="D793" s="74" t="s">
        <v>910</v>
      </c>
      <c r="E793" s="11"/>
      <c r="F793" s="3"/>
      <c r="G793" s="70" t="s">
        <v>858</v>
      </c>
      <c r="H793" s="3"/>
      <c r="I793" s="70" t="s">
        <v>33</v>
      </c>
      <c r="J793" s="3" t="s">
        <v>28</v>
      </c>
      <c r="K793" s="3"/>
      <c r="L793" s="70" t="s">
        <v>88</v>
      </c>
      <c r="M793" s="2"/>
      <c r="N793" s="3"/>
      <c r="O793" s="9">
        <f>0.47*Table2[[#This Row],[قيمة المحضر]]</f>
        <v>0</v>
      </c>
      <c r="P793" s="9">
        <f>0.17*Table2[[#This Row],[قيمة المحضر]]</f>
        <v>0</v>
      </c>
      <c r="Q793" s="9">
        <f t="shared" ca="1" si="80"/>
        <v>0</v>
      </c>
      <c r="R793" s="3"/>
      <c r="S793" s="3"/>
      <c r="T793" s="9" t="str">
        <f t="shared" si="81"/>
        <v>-</v>
      </c>
      <c r="U793" s="3"/>
      <c r="V793" s="9" t="str">
        <f t="shared" si="82"/>
        <v/>
      </c>
      <c r="W793" s="4"/>
      <c r="X793" s="88"/>
      <c r="Y793" s="1">
        <f t="shared" ca="1" si="78"/>
        <v>46162</v>
      </c>
      <c r="Z793" s="1" cm="1">
        <f t="array" ref="Z793">IF(D793&gt;DATE(2015,5,16),0,
K793*
(
INT((MIN(Y793,DATE(2015,5,16))-D793)/365)
+
CEILING(MOD((MIN(Y793,DATE(2015,5,16))-D793)/365,1),0.25)
)
*
_xlfn.SWITCH(J793,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93" s="1" cm="1">
        <f t="array" aca="1" ref="AA793" ca="1">IF(Y793&lt;DATE(2015,5,17),0,
K793*
(
INT((MIN(Y793,DATE(2018,9,23))-MAX(D793,DATE(2015,5,17)))/365)
+
CEILING(MOD((MIN(Y793,DATE(2018,9,23))-MAX(D793,DATE(2015,5,17)))/365,1),0.25)
)
*
_xlfn.SWITCH(J793,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93" s="1" cm="1">
        <f t="array" aca="1" ref="AB793" ca="1">IF(Y793&lt;DATE(2018,9,24),0,
IF(J793="زراعة",
K793*
(
INT((MIN(Y793,DATE(2023,4,30))-MAX(D793,DATE(2018,9,24)))/365)
+
CEILING(MOD((MIN(Y793,DATE(2023,4,30))-MAX(D793,DATE(2018,9,24)))/365,1),0.25)
)
*1,
K793*
(
DATEDIF(MAX(D793,DATE(2018,9,24)),MIN(Y793,DATE(2023,4,30)),"m")+1
)
*
_xlfn.SWITCH(J793,
"موقف/تندة",IF(D793&lt;DATE(2019,11,30),6,30),
"تشوينات",IF(D793&lt;DATE(2019,11,30),4,20),
"مشاتل",IF(D793&lt;DATE(2019,11,30),2,10),
"كافيتيريا",IF(D793&lt;DATE(2019,11,30),30,150),
"نوادي",IF(D793&lt;DATE(2019,11,30),6,30),
"رسو مراكب",IF(D793&lt;DATE(2019,11,30),2,10),
"مباني",IF(D793&lt;DATE(2018,9,24),2,10),
"عشش",IF(D793&lt;DATE(2019,11,30),2,10),
"كشك (تجاري/صناعي)",IF(D793&lt;DATE(2019,11,30),10,50),
"ردم",20,
0)))</f>
        <v>0</v>
      </c>
      <c r="AC793" s="1" cm="1">
        <f t="array" aca="1" ref="AC793" ca="1">IF(Y793&lt;DATE(2023,5,1),0,
IF(J793="زراعة",
K793*
(
INT((Y793-MAX(DATE(2023,5,1),D793))/365)
+
CEILING(MOD((Y793-MAX(DATE(2023,5,1),D793))/365,1),0.25)
)
*3,
IF(J793="ردم",
K793*20,
K793*
(
DATEDIF(MAX(DATE(2023,5,1),D793),Y793,"m")+1
)
*
_xlfn.SWITCH(J793,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93" s="1">
        <f t="shared" ca="1" si="79"/>
        <v>55</v>
      </c>
    </row>
    <row r="794" spans="1:30" ht="18.75" x14ac:dyDescent="0.25">
      <c r="A794" s="37">
        <v>729</v>
      </c>
      <c r="B794" s="11">
        <v>52</v>
      </c>
      <c r="C794" s="11">
        <v>2024</v>
      </c>
      <c r="D794" s="74" t="s">
        <v>910</v>
      </c>
      <c r="E794" s="11"/>
      <c r="F794" s="3"/>
      <c r="G794" s="70" t="s">
        <v>948</v>
      </c>
      <c r="H794" s="3"/>
      <c r="I794" s="70" t="s">
        <v>50</v>
      </c>
      <c r="J794" s="3" t="s">
        <v>27</v>
      </c>
      <c r="K794" s="3"/>
      <c r="L794" s="11" t="s">
        <v>672</v>
      </c>
      <c r="M794" s="2"/>
      <c r="N794" s="3"/>
      <c r="O794" s="9">
        <f>0.47*Table2[[#This Row],[قيمة المحضر]]</f>
        <v>0</v>
      </c>
      <c r="P794" s="9">
        <f>0.17*Table2[[#This Row],[قيمة المحضر]]</f>
        <v>0</v>
      </c>
      <c r="Q794" s="9">
        <f t="shared" ca="1" si="80"/>
        <v>0</v>
      </c>
      <c r="R794" s="3"/>
      <c r="S794" s="3"/>
      <c r="T794" s="9" t="str">
        <f t="shared" si="81"/>
        <v>-</v>
      </c>
      <c r="U794" s="3"/>
      <c r="V794" s="9" t="str">
        <f t="shared" si="82"/>
        <v/>
      </c>
      <c r="W794" s="4"/>
      <c r="X794" s="88"/>
      <c r="Y794" s="1">
        <f t="shared" ca="1" si="78"/>
        <v>46162</v>
      </c>
      <c r="Z794" s="1" cm="1">
        <f t="array" ref="Z794">IF(D794&gt;DATE(2015,5,16),0,
K794*
(
INT((MIN(Y794,DATE(2015,5,16))-D794)/365)
+
CEILING(MOD((MIN(Y794,DATE(2015,5,16))-D794)/365,1),0.25)
)
*
_xlfn.SWITCH(J794,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94" s="1" cm="1">
        <f t="array" aca="1" ref="AA794" ca="1">IF(Y794&lt;DATE(2015,5,17),0,
K794*
(
INT((MIN(Y794,DATE(2018,9,23))-MAX(D794,DATE(2015,5,17)))/365)
+
CEILING(MOD((MIN(Y794,DATE(2018,9,23))-MAX(D794,DATE(2015,5,17)))/365,1),0.25)
)
*
_xlfn.SWITCH(J794,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94" s="1" cm="1">
        <f t="array" aca="1" ref="AB794" ca="1">IF(Y794&lt;DATE(2018,9,24),0,
IF(J794="زراعة",
K794*
(
INT((MIN(Y794,DATE(2023,4,30))-MAX(D794,DATE(2018,9,24)))/365)
+
CEILING(MOD((MIN(Y794,DATE(2023,4,30))-MAX(D794,DATE(2018,9,24)))/365,1),0.25)
)
*1,
K794*
(
DATEDIF(MAX(D794,DATE(2018,9,24)),MIN(Y794,DATE(2023,4,30)),"m")+1
)
*
_xlfn.SWITCH(J794,
"موقف/تندة",IF(D794&lt;DATE(2019,11,30),6,30),
"تشوينات",IF(D794&lt;DATE(2019,11,30),4,20),
"مشاتل",IF(D794&lt;DATE(2019,11,30),2,10),
"كافيتيريا",IF(D794&lt;DATE(2019,11,30),30,150),
"نوادي",IF(D794&lt;DATE(2019,11,30),6,30),
"رسو مراكب",IF(D794&lt;DATE(2019,11,30),2,10),
"مباني",IF(D794&lt;DATE(2018,9,24),2,10),
"عشش",IF(D794&lt;DATE(2019,11,30),2,10),
"كشك (تجاري/صناعي)",IF(D794&lt;DATE(2019,11,30),10,50),
"ردم",20,
0)))</f>
        <v>0</v>
      </c>
      <c r="AC794" s="1" cm="1">
        <f t="array" aca="1" ref="AC794" ca="1">IF(Y794&lt;DATE(2023,5,1),0,
IF(J794="زراعة",
K794*
(
INT((Y794-MAX(DATE(2023,5,1),D794))/365)
+
CEILING(MOD((Y794-MAX(DATE(2023,5,1),D794))/365,1),0.25)
)
*3,
IF(J794="ردم",
K794*20,
K794*
(
DATEDIF(MAX(DATE(2023,5,1),D794),Y794,"m")+1
)
*
_xlfn.SWITCH(J794,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94" s="1">
        <f t="shared" ca="1" si="79"/>
        <v>55</v>
      </c>
    </row>
    <row r="795" spans="1:30" ht="18.75" x14ac:dyDescent="0.25">
      <c r="A795" s="37">
        <v>730</v>
      </c>
      <c r="B795" s="11">
        <v>53</v>
      </c>
      <c r="C795" s="11">
        <v>2024</v>
      </c>
      <c r="D795" s="74" t="s">
        <v>910</v>
      </c>
      <c r="E795" s="11"/>
      <c r="F795" s="3"/>
      <c r="G795" s="70" t="s">
        <v>949</v>
      </c>
      <c r="H795" s="3"/>
      <c r="I795" s="70" t="s">
        <v>50</v>
      </c>
      <c r="J795" s="3" t="s">
        <v>27</v>
      </c>
      <c r="K795" s="3"/>
      <c r="L795" s="11" t="s">
        <v>672</v>
      </c>
      <c r="M795" s="2"/>
      <c r="N795" s="3"/>
      <c r="O795" s="9">
        <f>0.47*Table2[[#This Row],[قيمة المحضر]]</f>
        <v>0</v>
      </c>
      <c r="P795" s="9">
        <f>0.17*Table2[[#This Row],[قيمة المحضر]]</f>
        <v>0</v>
      </c>
      <c r="Q795" s="9">
        <f t="shared" ca="1" si="80"/>
        <v>0</v>
      </c>
      <c r="R795" s="3"/>
      <c r="S795" s="3"/>
      <c r="T795" s="9" t="str">
        <f t="shared" si="81"/>
        <v>-</v>
      </c>
      <c r="U795" s="3"/>
      <c r="V795" s="9" t="str">
        <f t="shared" si="82"/>
        <v/>
      </c>
      <c r="W795" s="4"/>
      <c r="X795" s="88"/>
      <c r="Y795" s="1">
        <f t="shared" ca="1" si="78"/>
        <v>46162</v>
      </c>
      <c r="Z795" s="1" cm="1">
        <f t="array" ref="Z795">IF(D795&gt;DATE(2015,5,16),0,
K795*
(
INT((MIN(Y795,DATE(2015,5,16))-D795)/365)
+
CEILING(MOD((MIN(Y795,DATE(2015,5,16))-D795)/365,1),0.25)
)
*
_xlfn.SWITCH(J795,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95" s="1" cm="1">
        <f t="array" aca="1" ref="AA795" ca="1">IF(Y795&lt;DATE(2015,5,17),0,
K795*
(
INT((MIN(Y795,DATE(2018,9,23))-MAX(D795,DATE(2015,5,17)))/365)
+
CEILING(MOD((MIN(Y795,DATE(2018,9,23))-MAX(D795,DATE(2015,5,17)))/365,1),0.25)
)
*
_xlfn.SWITCH(J795,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95" s="1" cm="1">
        <f t="array" aca="1" ref="AB795" ca="1">IF(Y795&lt;DATE(2018,9,24),0,
IF(J795="زراعة",
K795*
(
INT((MIN(Y795,DATE(2023,4,30))-MAX(D795,DATE(2018,9,24)))/365)
+
CEILING(MOD((MIN(Y795,DATE(2023,4,30))-MAX(D795,DATE(2018,9,24)))/365,1),0.25)
)
*1,
K795*
(
DATEDIF(MAX(D795,DATE(2018,9,24)),MIN(Y795,DATE(2023,4,30)),"m")+1
)
*
_xlfn.SWITCH(J795,
"موقف/تندة",IF(D795&lt;DATE(2019,11,30),6,30),
"تشوينات",IF(D795&lt;DATE(2019,11,30),4,20),
"مشاتل",IF(D795&lt;DATE(2019,11,30),2,10),
"كافيتيريا",IF(D795&lt;DATE(2019,11,30),30,150),
"نوادي",IF(D795&lt;DATE(2019,11,30),6,30),
"رسو مراكب",IF(D795&lt;DATE(2019,11,30),2,10),
"مباني",IF(D795&lt;DATE(2018,9,24),2,10),
"عشش",IF(D795&lt;DATE(2019,11,30),2,10),
"كشك (تجاري/صناعي)",IF(D795&lt;DATE(2019,11,30),10,50),
"ردم",20,
0)))</f>
        <v>0</v>
      </c>
      <c r="AC795" s="1" cm="1">
        <f t="array" aca="1" ref="AC795" ca="1">IF(Y795&lt;DATE(2023,5,1),0,
IF(J795="زراعة",
K795*
(
INT((Y795-MAX(DATE(2023,5,1),D795))/365)
+
CEILING(MOD((Y795-MAX(DATE(2023,5,1),D795))/365,1),0.25)
)
*3,
IF(J795="ردم",
K795*20,
K795*
(
DATEDIF(MAX(DATE(2023,5,1),D795),Y795,"m")+1
)
*
_xlfn.SWITCH(J795,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95" s="1">
        <f t="shared" ca="1" si="79"/>
        <v>55</v>
      </c>
    </row>
    <row r="796" spans="1:30" ht="18.75" x14ac:dyDescent="0.25">
      <c r="A796" s="37">
        <v>731</v>
      </c>
      <c r="B796" s="11">
        <v>54</v>
      </c>
      <c r="C796" s="11">
        <v>2024</v>
      </c>
      <c r="D796" s="74" t="s">
        <v>910</v>
      </c>
      <c r="E796" s="11"/>
      <c r="F796" s="3"/>
      <c r="G796" s="70" t="s">
        <v>950</v>
      </c>
      <c r="H796" s="3"/>
      <c r="I796" s="70" t="s">
        <v>50</v>
      </c>
      <c r="J796" s="3" t="s">
        <v>27</v>
      </c>
      <c r="K796" s="3"/>
      <c r="L796" s="11" t="s">
        <v>672</v>
      </c>
      <c r="M796" s="2"/>
      <c r="N796" s="3"/>
      <c r="O796" s="9">
        <f>0.47*Table2[[#This Row],[قيمة المحضر]]</f>
        <v>0</v>
      </c>
      <c r="P796" s="9">
        <f>0.17*Table2[[#This Row],[قيمة المحضر]]</f>
        <v>0</v>
      </c>
      <c r="Q796" s="9">
        <f t="shared" ca="1" si="80"/>
        <v>0</v>
      </c>
      <c r="R796" s="3"/>
      <c r="S796" s="3"/>
      <c r="T796" s="9" t="str">
        <f t="shared" si="81"/>
        <v>-</v>
      </c>
      <c r="U796" s="3"/>
      <c r="V796" s="9" t="str">
        <f t="shared" si="82"/>
        <v/>
      </c>
      <c r="W796" s="4"/>
      <c r="X796" s="88"/>
      <c r="Y796" s="1">
        <f t="shared" ca="1" si="78"/>
        <v>46162</v>
      </c>
      <c r="Z796" s="1" cm="1">
        <f t="array" ref="Z796">IF(D796&gt;DATE(2015,5,16),0,
K796*
(
INT((MIN(Y796,DATE(2015,5,16))-D796)/365)
+
CEILING(MOD((MIN(Y796,DATE(2015,5,16))-D796)/365,1),0.25)
)
*
_xlfn.SWITCH(J796,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96" s="1" cm="1">
        <f t="array" aca="1" ref="AA796" ca="1">IF(Y796&lt;DATE(2015,5,17),0,
K796*
(
INT((MIN(Y796,DATE(2018,9,23))-MAX(D796,DATE(2015,5,17)))/365)
+
CEILING(MOD((MIN(Y796,DATE(2018,9,23))-MAX(D796,DATE(2015,5,17)))/365,1),0.25)
)
*
_xlfn.SWITCH(J796,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96" s="1" cm="1">
        <f t="array" aca="1" ref="AB796" ca="1">IF(Y796&lt;DATE(2018,9,24),0,
IF(J796="زراعة",
K796*
(
INT((MIN(Y796,DATE(2023,4,30))-MAX(D796,DATE(2018,9,24)))/365)
+
CEILING(MOD((MIN(Y796,DATE(2023,4,30))-MAX(D796,DATE(2018,9,24)))/365,1),0.25)
)
*1,
K796*
(
DATEDIF(MAX(D796,DATE(2018,9,24)),MIN(Y796,DATE(2023,4,30)),"m")+1
)
*
_xlfn.SWITCH(J796,
"موقف/تندة",IF(D796&lt;DATE(2019,11,30),6,30),
"تشوينات",IF(D796&lt;DATE(2019,11,30),4,20),
"مشاتل",IF(D796&lt;DATE(2019,11,30),2,10),
"كافيتيريا",IF(D796&lt;DATE(2019,11,30),30,150),
"نوادي",IF(D796&lt;DATE(2019,11,30),6,30),
"رسو مراكب",IF(D796&lt;DATE(2019,11,30),2,10),
"مباني",IF(D796&lt;DATE(2018,9,24),2,10),
"عشش",IF(D796&lt;DATE(2019,11,30),2,10),
"كشك (تجاري/صناعي)",IF(D796&lt;DATE(2019,11,30),10,50),
"ردم",20,
0)))</f>
        <v>0</v>
      </c>
      <c r="AC796" s="1" cm="1">
        <f t="array" aca="1" ref="AC796" ca="1">IF(Y796&lt;DATE(2023,5,1),0,
IF(J796="زراعة",
K796*
(
INT((Y796-MAX(DATE(2023,5,1),D796))/365)
+
CEILING(MOD((Y796-MAX(DATE(2023,5,1),D796))/365,1),0.25)
)
*3,
IF(J796="ردم",
K796*20,
K796*
(
DATEDIF(MAX(DATE(2023,5,1),D796),Y796,"m")+1
)
*
_xlfn.SWITCH(J796,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96" s="1">
        <f t="shared" ca="1" si="79"/>
        <v>55</v>
      </c>
    </row>
    <row r="797" spans="1:30" ht="18.75" x14ac:dyDescent="0.25">
      <c r="A797" s="37">
        <v>732</v>
      </c>
      <c r="B797" s="11">
        <v>55</v>
      </c>
      <c r="C797" s="11">
        <v>2024</v>
      </c>
      <c r="D797" s="74" t="s">
        <v>910</v>
      </c>
      <c r="E797" s="11"/>
      <c r="F797" s="3"/>
      <c r="G797" s="70" t="s">
        <v>951</v>
      </c>
      <c r="H797" s="3"/>
      <c r="I797" s="70" t="s">
        <v>50</v>
      </c>
      <c r="J797" s="3" t="s">
        <v>27</v>
      </c>
      <c r="K797" s="3"/>
      <c r="L797" s="11" t="s">
        <v>672</v>
      </c>
      <c r="M797" s="2"/>
      <c r="N797" s="3"/>
      <c r="O797" s="9">
        <f>0.47*Table2[[#This Row],[قيمة المحضر]]</f>
        <v>0</v>
      </c>
      <c r="P797" s="9">
        <f>0.17*Table2[[#This Row],[قيمة المحضر]]</f>
        <v>0</v>
      </c>
      <c r="Q797" s="9">
        <f t="shared" ca="1" si="80"/>
        <v>0</v>
      </c>
      <c r="R797" s="3"/>
      <c r="S797" s="3"/>
      <c r="T797" s="9" t="str">
        <f t="shared" si="81"/>
        <v>-</v>
      </c>
      <c r="U797" s="3"/>
      <c r="V797" s="9" t="str">
        <f t="shared" si="82"/>
        <v/>
      </c>
      <c r="W797" s="4"/>
      <c r="X797" s="88"/>
      <c r="Y797" s="1">
        <f t="shared" ca="1" si="78"/>
        <v>46162</v>
      </c>
      <c r="Z797" s="1" cm="1">
        <f t="array" ref="Z797">IF(D797&gt;DATE(2015,5,16),0,
K797*
(
INT((MIN(Y797,DATE(2015,5,16))-D797)/365)
+
CEILING(MOD((MIN(Y797,DATE(2015,5,16))-D797)/365,1),0.25)
)
*
_xlfn.SWITCH(J797,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97" s="1" cm="1">
        <f t="array" aca="1" ref="AA797" ca="1">IF(Y797&lt;DATE(2015,5,17),0,
K797*
(
INT((MIN(Y797,DATE(2018,9,23))-MAX(D797,DATE(2015,5,17)))/365)
+
CEILING(MOD((MIN(Y797,DATE(2018,9,23))-MAX(D797,DATE(2015,5,17)))/365,1),0.25)
)
*
_xlfn.SWITCH(J797,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97" s="1" cm="1">
        <f t="array" aca="1" ref="AB797" ca="1">IF(Y797&lt;DATE(2018,9,24),0,
IF(J797="زراعة",
K797*
(
INT((MIN(Y797,DATE(2023,4,30))-MAX(D797,DATE(2018,9,24)))/365)
+
CEILING(MOD((MIN(Y797,DATE(2023,4,30))-MAX(D797,DATE(2018,9,24)))/365,1),0.25)
)
*1,
K797*
(
DATEDIF(MAX(D797,DATE(2018,9,24)),MIN(Y797,DATE(2023,4,30)),"m")+1
)
*
_xlfn.SWITCH(J797,
"موقف/تندة",IF(D797&lt;DATE(2019,11,30),6,30),
"تشوينات",IF(D797&lt;DATE(2019,11,30),4,20),
"مشاتل",IF(D797&lt;DATE(2019,11,30),2,10),
"كافيتيريا",IF(D797&lt;DATE(2019,11,30),30,150),
"نوادي",IF(D797&lt;DATE(2019,11,30),6,30),
"رسو مراكب",IF(D797&lt;DATE(2019,11,30),2,10),
"مباني",IF(D797&lt;DATE(2018,9,24),2,10),
"عشش",IF(D797&lt;DATE(2019,11,30),2,10),
"كشك (تجاري/صناعي)",IF(D797&lt;DATE(2019,11,30),10,50),
"ردم",20,
0)))</f>
        <v>0</v>
      </c>
      <c r="AC797" s="1" cm="1">
        <f t="array" aca="1" ref="AC797" ca="1">IF(Y797&lt;DATE(2023,5,1),0,
IF(J797="زراعة",
K797*
(
INT((Y797-MAX(DATE(2023,5,1),D797))/365)
+
CEILING(MOD((Y797-MAX(DATE(2023,5,1),D797))/365,1),0.25)
)
*3,
IF(J797="ردم",
K797*20,
K797*
(
DATEDIF(MAX(DATE(2023,5,1),D797),Y797,"m")+1
)
*
_xlfn.SWITCH(J797,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97" s="1">
        <f t="shared" ca="1" si="79"/>
        <v>55</v>
      </c>
    </row>
    <row r="798" spans="1:30" ht="18.75" x14ac:dyDescent="0.25">
      <c r="A798" s="37">
        <v>733</v>
      </c>
      <c r="B798" s="11">
        <v>56</v>
      </c>
      <c r="C798" s="11">
        <v>2024</v>
      </c>
      <c r="D798" s="74" t="s">
        <v>910</v>
      </c>
      <c r="E798" s="11"/>
      <c r="F798" s="3"/>
      <c r="G798" s="70" t="s">
        <v>952</v>
      </c>
      <c r="H798" s="3"/>
      <c r="I798" s="70" t="s">
        <v>50</v>
      </c>
      <c r="J798" s="3" t="s">
        <v>27</v>
      </c>
      <c r="K798" s="3"/>
      <c r="L798" s="11" t="s">
        <v>672</v>
      </c>
      <c r="M798" s="2"/>
      <c r="N798" s="3"/>
      <c r="O798" s="9">
        <f>0.47*Table2[[#This Row],[قيمة المحضر]]</f>
        <v>0</v>
      </c>
      <c r="P798" s="9">
        <f>0.17*Table2[[#This Row],[قيمة المحضر]]</f>
        <v>0</v>
      </c>
      <c r="Q798" s="9">
        <f t="shared" ca="1" si="80"/>
        <v>0</v>
      </c>
      <c r="R798" s="3"/>
      <c r="S798" s="3"/>
      <c r="T798" s="9" t="str">
        <f t="shared" si="81"/>
        <v>-</v>
      </c>
      <c r="U798" s="3"/>
      <c r="V798" s="9" t="str">
        <f t="shared" si="82"/>
        <v/>
      </c>
      <c r="W798" s="4"/>
      <c r="X798" s="88"/>
      <c r="Y798" s="1">
        <f t="shared" ca="1" si="78"/>
        <v>46162</v>
      </c>
      <c r="Z798" s="1" cm="1">
        <f t="array" ref="Z798">IF(D798&gt;DATE(2015,5,16),0,
K798*
(
INT((MIN(Y798,DATE(2015,5,16))-D798)/365)
+
CEILING(MOD((MIN(Y798,DATE(2015,5,16))-D798)/365,1),0.25)
)
*
_xlfn.SWITCH(J798,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98" s="1" cm="1">
        <f t="array" aca="1" ref="AA798" ca="1">IF(Y798&lt;DATE(2015,5,17),0,
K798*
(
INT((MIN(Y798,DATE(2018,9,23))-MAX(D798,DATE(2015,5,17)))/365)
+
CEILING(MOD((MIN(Y798,DATE(2018,9,23))-MAX(D798,DATE(2015,5,17)))/365,1),0.25)
)
*
_xlfn.SWITCH(J798,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98" s="1" cm="1">
        <f t="array" aca="1" ref="AB798" ca="1">IF(Y798&lt;DATE(2018,9,24),0,
IF(J798="زراعة",
K798*
(
INT((MIN(Y798,DATE(2023,4,30))-MAX(D798,DATE(2018,9,24)))/365)
+
CEILING(MOD((MIN(Y798,DATE(2023,4,30))-MAX(D798,DATE(2018,9,24)))/365,1),0.25)
)
*1,
K798*
(
DATEDIF(MAX(D798,DATE(2018,9,24)),MIN(Y798,DATE(2023,4,30)),"m")+1
)
*
_xlfn.SWITCH(J798,
"موقف/تندة",IF(D798&lt;DATE(2019,11,30),6,30),
"تشوينات",IF(D798&lt;DATE(2019,11,30),4,20),
"مشاتل",IF(D798&lt;DATE(2019,11,30),2,10),
"كافيتيريا",IF(D798&lt;DATE(2019,11,30),30,150),
"نوادي",IF(D798&lt;DATE(2019,11,30),6,30),
"رسو مراكب",IF(D798&lt;DATE(2019,11,30),2,10),
"مباني",IF(D798&lt;DATE(2018,9,24),2,10),
"عشش",IF(D798&lt;DATE(2019,11,30),2,10),
"كشك (تجاري/صناعي)",IF(D798&lt;DATE(2019,11,30),10,50),
"ردم",20,
0)))</f>
        <v>0</v>
      </c>
      <c r="AC798" s="1" cm="1">
        <f t="array" aca="1" ref="AC798" ca="1">IF(Y798&lt;DATE(2023,5,1),0,
IF(J798="زراعة",
K798*
(
INT((Y798-MAX(DATE(2023,5,1),D798))/365)
+
CEILING(MOD((Y798-MAX(DATE(2023,5,1),D798))/365,1),0.25)
)
*3,
IF(J798="ردم",
K798*20,
K798*
(
DATEDIF(MAX(DATE(2023,5,1),D798),Y798,"m")+1
)
*
_xlfn.SWITCH(J798,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98" s="1">
        <f t="shared" ca="1" si="79"/>
        <v>55</v>
      </c>
    </row>
    <row r="799" spans="1:30" ht="18.75" x14ac:dyDescent="0.25">
      <c r="A799" s="37">
        <v>734</v>
      </c>
      <c r="B799" s="11">
        <v>57</v>
      </c>
      <c r="C799" s="11">
        <v>2024</v>
      </c>
      <c r="D799" s="74" t="s">
        <v>910</v>
      </c>
      <c r="E799" s="11"/>
      <c r="F799" s="3"/>
      <c r="G799" s="70" t="s">
        <v>953</v>
      </c>
      <c r="H799" s="3"/>
      <c r="I799" s="70" t="s">
        <v>50</v>
      </c>
      <c r="J799" s="3" t="s">
        <v>27</v>
      </c>
      <c r="K799" s="3"/>
      <c r="L799" s="11" t="s">
        <v>672</v>
      </c>
      <c r="M799" s="2"/>
      <c r="N799" s="3"/>
      <c r="O799" s="9">
        <f>0.47*Table2[[#This Row],[قيمة المحضر]]</f>
        <v>0</v>
      </c>
      <c r="P799" s="9">
        <f>0.17*Table2[[#This Row],[قيمة المحضر]]</f>
        <v>0</v>
      </c>
      <c r="Q799" s="9">
        <f t="shared" ca="1" si="80"/>
        <v>0</v>
      </c>
      <c r="R799" s="3"/>
      <c r="S799" s="3"/>
      <c r="T799" s="9" t="str">
        <f t="shared" si="81"/>
        <v>-</v>
      </c>
      <c r="U799" s="3"/>
      <c r="V799" s="9" t="str">
        <f t="shared" si="82"/>
        <v/>
      </c>
      <c r="W799" s="4"/>
      <c r="X799" s="88"/>
      <c r="Y799" s="1">
        <f t="shared" ca="1" si="78"/>
        <v>46162</v>
      </c>
      <c r="Z799" s="1" cm="1">
        <f t="array" ref="Z799">IF(D799&gt;DATE(2015,5,16),0,
K799*
(
INT((MIN(Y799,DATE(2015,5,16))-D799)/365)
+
CEILING(MOD((MIN(Y799,DATE(2015,5,16))-D799)/365,1),0.25)
)
*
_xlfn.SWITCH(J799,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799" s="1" cm="1">
        <f t="array" aca="1" ref="AA799" ca="1">IF(Y799&lt;DATE(2015,5,17),0,
K799*
(
INT((MIN(Y799,DATE(2018,9,23))-MAX(D799,DATE(2015,5,17)))/365)
+
CEILING(MOD((MIN(Y799,DATE(2018,9,23))-MAX(D799,DATE(2015,5,17)))/365,1),0.25)
)
*
_xlfn.SWITCH(J799,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799" s="1" cm="1">
        <f t="array" aca="1" ref="AB799" ca="1">IF(Y799&lt;DATE(2018,9,24),0,
IF(J799="زراعة",
K799*
(
INT((MIN(Y799,DATE(2023,4,30))-MAX(D799,DATE(2018,9,24)))/365)
+
CEILING(MOD((MIN(Y799,DATE(2023,4,30))-MAX(D799,DATE(2018,9,24)))/365,1),0.25)
)
*1,
K799*
(
DATEDIF(MAX(D799,DATE(2018,9,24)),MIN(Y799,DATE(2023,4,30)),"m")+1
)
*
_xlfn.SWITCH(J799,
"موقف/تندة",IF(D799&lt;DATE(2019,11,30),6,30),
"تشوينات",IF(D799&lt;DATE(2019,11,30),4,20),
"مشاتل",IF(D799&lt;DATE(2019,11,30),2,10),
"كافيتيريا",IF(D799&lt;DATE(2019,11,30),30,150),
"نوادي",IF(D799&lt;DATE(2019,11,30),6,30),
"رسو مراكب",IF(D799&lt;DATE(2019,11,30),2,10),
"مباني",IF(D799&lt;DATE(2018,9,24),2,10),
"عشش",IF(D799&lt;DATE(2019,11,30),2,10),
"كشك (تجاري/صناعي)",IF(D799&lt;DATE(2019,11,30),10,50),
"ردم",20,
0)))</f>
        <v>0</v>
      </c>
      <c r="AC799" s="1" cm="1">
        <f t="array" aca="1" ref="AC799" ca="1">IF(Y799&lt;DATE(2023,5,1),0,
IF(J799="زراعة",
K799*
(
INT((Y799-MAX(DATE(2023,5,1),D799))/365)
+
CEILING(MOD((Y799-MAX(DATE(2023,5,1),D799))/365,1),0.25)
)
*3,
IF(J799="ردم",
K799*20,
K799*
(
DATEDIF(MAX(DATE(2023,5,1),D799),Y799,"m")+1
)
*
_xlfn.SWITCH(J799,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799" s="1">
        <f t="shared" ca="1" si="79"/>
        <v>55</v>
      </c>
    </row>
    <row r="800" spans="1:30" ht="18.75" x14ac:dyDescent="0.25">
      <c r="A800" s="37">
        <v>735</v>
      </c>
      <c r="B800" s="11">
        <v>58</v>
      </c>
      <c r="C800" s="11">
        <v>2024</v>
      </c>
      <c r="D800" s="74" t="s">
        <v>910</v>
      </c>
      <c r="E800" s="11"/>
      <c r="F800" s="3"/>
      <c r="G800" s="70" t="s">
        <v>954</v>
      </c>
      <c r="H800" s="3"/>
      <c r="I800" s="70" t="s">
        <v>50</v>
      </c>
      <c r="J800" s="3" t="s">
        <v>27</v>
      </c>
      <c r="K800" s="3"/>
      <c r="L800" s="11" t="s">
        <v>672</v>
      </c>
      <c r="M800" s="2"/>
      <c r="N800" s="3"/>
      <c r="O800" s="9">
        <f>0.47*Table2[[#This Row],[قيمة المحضر]]</f>
        <v>0</v>
      </c>
      <c r="P800" s="9">
        <f>0.17*Table2[[#This Row],[قيمة المحضر]]</f>
        <v>0</v>
      </c>
      <c r="Q800" s="9">
        <f t="shared" ca="1" si="80"/>
        <v>0</v>
      </c>
      <c r="R800" s="3"/>
      <c r="S800" s="3"/>
      <c r="T800" s="9" t="str">
        <f t="shared" si="81"/>
        <v>-</v>
      </c>
      <c r="U800" s="3"/>
      <c r="V800" s="9" t="str">
        <f t="shared" si="82"/>
        <v/>
      </c>
      <c r="W800" s="4"/>
      <c r="X800" s="88"/>
      <c r="Y800" s="1">
        <f t="shared" ca="1" si="78"/>
        <v>46162</v>
      </c>
      <c r="Z800" s="1" cm="1">
        <f t="array" ref="Z800">IF(D800&gt;DATE(2015,5,16),0,
K800*
(
INT((MIN(Y800,DATE(2015,5,16))-D800)/365)
+
CEILING(MOD((MIN(Y800,DATE(2015,5,16))-D800)/365,1),0.25)
)
*
_xlfn.SWITCH(J800,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00" s="1" cm="1">
        <f t="array" aca="1" ref="AA800" ca="1">IF(Y800&lt;DATE(2015,5,17),0,
K800*
(
INT((MIN(Y800,DATE(2018,9,23))-MAX(D800,DATE(2015,5,17)))/365)
+
CEILING(MOD((MIN(Y800,DATE(2018,9,23))-MAX(D800,DATE(2015,5,17)))/365,1),0.25)
)
*
_xlfn.SWITCH(J800,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00" s="1" cm="1">
        <f t="array" aca="1" ref="AB800" ca="1">IF(Y800&lt;DATE(2018,9,24),0,
IF(J800="زراعة",
K800*
(
INT((MIN(Y800,DATE(2023,4,30))-MAX(D800,DATE(2018,9,24)))/365)
+
CEILING(MOD((MIN(Y800,DATE(2023,4,30))-MAX(D800,DATE(2018,9,24)))/365,1),0.25)
)
*1,
K800*
(
DATEDIF(MAX(D800,DATE(2018,9,24)),MIN(Y800,DATE(2023,4,30)),"m")+1
)
*
_xlfn.SWITCH(J800,
"موقف/تندة",IF(D800&lt;DATE(2019,11,30),6,30),
"تشوينات",IF(D800&lt;DATE(2019,11,30),4,20),
"مشاتل",IF(D800&lt;DATE(2019,11,30),2,10),
"كافيتيريا",IF(D800&lt;DATE(2019,11,30),30,150),
"نوادي",IF(D800&lt;DATE(2019,11,30),6,30),
"رسو مراكب",IF(D800&lt;DATE(2019,11,30),2,10),
"مباني",IF(D800&lt;DATE(2018,9,24),2,10),
"عشش",IF(D800&lt;DATE(2019,11,30),2,10),
"كشك (تجاري/صناعي)",IF(D800&lt;DATE(2019,11,30),10,50),
"ردم",20,
0)))</f>
        <v>0</v>
      </c>
      <c r="AC800" s="1" cm="1">
        <f t="array" aca="1" ref="AC800" ca="1">IF(Y800&lt;DATE(2023,5,1),0,
IF(J800="زراعة",
K800*
(
INT((Y800-MAX(DATE(2023,5,1),D800))/365)
+
CEILING(MOD((Y800-MAX(DATE(2023,5,1),D800))/365,1),0.25)
)
*3,
IF(J800="ردم",
K800*20,
K800*
(
DATEDIF(MAX(DATE(2023,5,1),D800),Y800,"m")+1
)
*
_xlfn.SWITCH(J800,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00" s="1">
        <f t="shared" ca="1" si="79"/>
        <v>55</v>
      </c>
    </row>
    <row r="801" spans="1:30" ht="18.75" x14ac:dyDescent="0.25">
      <c r="A801" s="37">
        <v>736</v>
      </c>
      <c r="B801" s="11">
        <v>59</v>
      </c>
      <c r="C801" s="11">
        <v>2024</v>
      </c>
      <c r="D801" s="74" t="s">
        <v>910</v>
      </c>
      <c r="E801" s="11"/>
      <c r="F801" s="3"/>
      <c r="G801" s="70" t="s">
        <v>236</v>
      </c>
      <c r="H801" s="3"/>
      <c r="I801" s="70" t="s">
        <v>33</v>
      </c>
      <c r="J801" s="3" t="s">
        <v>29</v>
      </c>
      <c r="K801" s="3"/>
      <c r="L801" s="11" t="s">
        <v>88</v>
      </c>
      <c r="M801" s="2"/>
      <c r="N801" s="3"/>
      <c r="O801" s="9">
        <f>0.47*Table2[[#This Row],[قيمة المحضر]]</f>
        <v>0</v>
      </c>
      <c r="P801" s="9">
        <f>0.17*Table2[[#This Row],[قيمة المحضر]]</f>
        <v>0</v>
      </c>
      <c r="Q801" s="9">
        <f t="shared" ca="1" si="80"/>
        <v>0</v>
      </c>
      <c r="R801" s="3"/>
      <c r="S801" s="3"/>
      <c r="T801" s="9" t="str">
        <f t="shared" si="81"/>
        <v>-</v>
      </c>
      <c r="U801" s="3"/>
      <c r="V801" s="9" t="str">
        <f t="shared" si="82"/>
        <v/>
      </c>
      <c r="W801" s="4"/>
      <c r="X801" s="88"/>
      <c r="Y801" s="1">
        <f t="shared" ca="1" si="78"/>
        <v>46162</v>
      </c>
      <c r="Z801" s="1" cm="1">
        <f t="array" ref="Z801">IF(D801&gt;DATE(2015,5,16),0,
K801*
(
INT((MIN(Y801,DATE(2015,5,16))-D801)/365)
+
CEILING(MOD((MIN(Y801,DATE(2015,5,16))-D801)/365,1),0.25)
)
*
_xlfn.SWITCH(J801,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01" s="1" cm="1">
        <f t="array" aca="1" ref="AA801" ca="1">IF(Y801&lt;DATE(2015,5,17),0,
K801*
(
INT((MIN(Y801,DATE(2018,9,23))-MAX(D801,DATE(2015,5,17)))/365)
+
CEILING(MOD((MIN(Y801,DATE(2018,9,23))-MAX(D801,DATE(2015,5,17)))/365,1),0.25)
)
*
_xlfn.SWITCH(J801,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01" s="1" cm="1">
        <f t="array" aca="1" ref="AB801" ca="1">IF(Y801&lt;DATE(2018,9,24),0,
IF(J801="زراعة",
K801*
(
INT((MIN(Y801,DATE(2023,4,30))-MAX(D801,DATE(2018,9,24)))/365)
+
CEILING(MOD((MIN(Y801,DATE(2023,4,30))-MAX(D801,DATE(2018,9,24)))/365,1),0.25)
)
*1,
K801*
(
DATEDIF(MAX(D801,DATE(2018,9,24)),MIN(Y801,DATE(2023,4,30)),"m")+1
)
*
_xlfn.SWITCH(J801,
"موقف/تندة",IF(D801&lt;DATE(2019,11,30),6,30),
"تشوينات",IF(D801&lt;DATE(2019,11,30),4,20),
"مشاتل",IF(D801&lt;DATE(2019,11,30),2,10),
"كافيتيريا",IF(D801&lt;DATE(2019,11,30),30,150),
"نوادي",IF(D801&lt;DATE(2019,11,30),6,30),
"رسو مراكب",IF(D801&lt;DATE(2019,11,30),2,10),
"مباني",IF(D801&lt;DATE(2018,9,24),2,10),
"عشش",IF(D801&lt;DATE(2019,11,30),2,10),
"كشك (تجاري/صناعي)",IF(D801&lt;DATE(2019,11,30),10,50),
"ردم",20,
0)))</f>
        <v>0</v>
      </c>
      <c r="AC801" s="1" cm="1">
        <f t="array" aca="1" ref="AC801" ca="1">IF(Y801&lt;DATE(2023,5,1),0,
IF(J801="زراعة",
K801*
(
INT((Y801-MAX(DATE(2023,5,1),D801))/365)
+
CEILING(MOD((Y801-MAX(DATE(2023,5,1),D801))/365,1),0.25)
)
*3,
IF(J801="ردم",
K801*20,
K801*
(
DATEDIF(MAX(DATE(2023,5,1),D801),Y801,"m")+1
)
*
_xlfn.SWITCH(J801,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01" s="1">
        <f t="shared" ca="1" si="79"/>
        <v>55</v>
      </c>
    </row>
    <row r="802" spans="1:30" ht="18.75" x14ac:dyDescent="0.25">
      <c r="A802" s="37">
        <v>737</v>
      </c>
      <c r="B802" s="11">
        <v>60</v>
      </c>
      <c r="C802" s="11">
        <v>2024</v>
      </c>
      <c r="D802" s="74" t="s">
        <v>910</v>
      </c>
      <c r="E802" s="11"/>
      <c r="F802" s="3"/>
      <c r="G802" s="70" t="s">
        <v>955</v>
      </c>
      <c r="H802" s="3"/>
      <c r="I802" s="70" t="s">
        <v>33</v>
      </c>
      <c r="J802" s="3" t="s">
        <v>438</v>
      </c>
      <c r="K802" s="6"/>
      <c r="L802" s="11" t="s">
        <v>88</v>
      </c>
      <c r="M802" s="7"/>
      <c r="N802" s="6"/>
      <c r="O802" s="72">
        <f>0.47*Table2[[#This Row],[قيمة المحضر]]</f>
        <v>0</v>
      </c>
      <c r="P802" s="72">
        <f>0.17*Table2[[#This Row],[قيمة المحضر]]</f>
        <v>0</v>
      </c>
      <c r="Q802" s="72">
        <f t="shared" ca="1" si="80"/>
        <v>0</v>
      </c>
      <c r="R802" s="6"/>
      <c r="S802" s="6"/>
      <c r="T802" s="72" t="str">
        <f t="shared" si="81"/>
        <v>-</v>
      </c>
      <c r="U802" s="6"/>
      <c r="V802" s="72" t="str">
        <f t="shared" si="82"/>
        <v/>
      </c>
      <c r="W802" s="73"/>
      <c r="X802" s="91"/>
      <c r="Y802" s="1">
        <f t="shared" ca="1" si="78"/>
        <v>46162</v>
      </c>
      <c r="Z802" s="1" cm="1">
        <f t="array" ref="Z802">IF(D802&gt;DATE(2015,5,16),0,
K802*
(
INT((MIN(Y802,DATE(2015,5,16))-D802)/365)
+
CEILING(MOD((MIN(Y802,DATE(2015,5,16))-D802)/365,1),0.25)
)
*
_xlfn.SWITCH(J802,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02" s="1" cm="1">
        <f t="array" aca="1" ref="AA802" ca="1">IF(Y802&lt;DATE(2015,5,17),0,
K802*
(
INT((MIN(Y802,DATE(2018,9,23))-MAX(D802,DATE(2015,5,17)))/365)
+
CEILING(MOD((MIN(Y802,DATE(2018,9,23))-MAX(D802,DATE(2015,5,17)))/365,1),0.25)
)
*
_xlfn.SWITCH(J802,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02" s="1" cm="1">
        <f t="array" aca="1" ref="AB802" ca="1">IF(Y802&lt;DATE(2018,9,24),0,
IF(J802="زراعة",
K802*
(
INT((MIN(Y802,DATE(2023,4,30))-MAX(D802,DATE(2018,9,24)))/365)
+
CEILING(MOD((MIN(Y802,DATE(2023,4,30))-MAX(D802,DATE(2018,9,24)))/365,1),0.25)
)
*1,
K802*
(
DATEDIF(MAX(D802,DATE(2018,9,24)),MIN(Y802,DATE(2023,4,30)),"m")+1
)
*
_xlfn.SWITCH(J802,
"موقف/تندة",IF(D802&lt;DATE(2019,11,30),6,30),
"تشوينات",IF(D802&lt;DATE(2019,11,30),4,20),
"مشاتل",IF(D802&lt;DATE(2019,11,30),2,10),
"كافيتيريا",IF(D802&lt;DATE(2019,11,30),30,150),
"نوادي",IF(D802&lt;DATE(2019,11,30),6,30),
"رسو مراكب",IF(D802&lt;DATE(2019,11,30),2,10),
"مباني",IF(D802&lt;DATE(2018,9,24),2,10),
"عشش",IF(D802&lt;DATE(2019,11,30),2,10),
"كشك (تجاري/صناعي)",IF(D802&lt;DATE(2019,11,30),10,50),
"ردم",20,
0)))</f>
        <v>0</v>
      </c>
      <c r="AC802" s="1" cm="1">
        <f t="array" aca="1" ref="AC802" ca="1">IF(Y802&lt;DATE(2023,5,1),0,
IF(J802="زراعة",
K802*
(
INT((Y802-MAX(DATE(2023,5,1),D802))/365)
+
CEILING(MOD((Y802-MAX(DATE(2023,5,1),D802))/365,1),0.25)
)
*3,
IF(J802="ردم",
K802*20,
K802*
(
DATEDIF(MAX(DATE(2023,5,1),D802),Y802,"m")+1
)
*
_xlfn.SWITCH(J802,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02" s="1">
        <f t="shared" ca="1" si="79"/>
        <v>55</v>
      </c>
    </row>
    <row r="803" spans="1:30" ht="19.5" thickBot="1" x14ac:dyDescent="0.3">
      <c r="A803" s="39">
        <v>738</v>
      </c>
      <c r="B803" s="42">
        <v>61</v>
      </c>
      <c r="C803" s="42">
        <v>2024</v>
      </c>
      <c r="D803" s="93" t="s">
        <v>910</v>
      </c>
      <c r="E803" s="42"/>
      <c r="F803" s="40"/>
      <c r="G803" s="65" t="s">
        <v>956</v>
      </c>
      <c r="H803" s="40"/>
      <c r="I803" s="65" t="s">
        <v>373</v>
      </c>
      <c r="J803" s="40" t="s">
        <v>77</v>
      </c>
      <c r="K803" s="40"/>
      <c r="L803" s="65" t="s">
        <v>88</v>
      </c>
      <c r="M803" s="41"/>
      <c r="N803" s="40"/>
      <c r="O803" s="43">
        <f>0.47*Table2[[#This Row],[قيمة المحضر]]</f>
        <v>0</v>
      </c>
      <c r="P803" s="43">
        <f>0.17*Table2[[#This Row],[قيمة المحضر]]</f>
        <v>0</v>
      </c>
      <c r="Q803" s="43">
        <f ca="1">Z803+AA803+AB803+AC803</f>
        <v>0</v>
      </c>
      <c r="R803" s="40"/>
      <c r="S803" s="40"/>
      <c r="T803" s="43" t="str">
        <f>IF(R803="تم الحجز",Q803+O803+N803,"-")</f>
        <v>-</v>
      </c>
      <c r="U803" s="40"/>
      <c r="V803" s="43" t="str">
        <f>IF(OR(U803="قائم",U803="قائم و سدد مقابل انتفاع"),"-",
IF(U803="تم رد الشئ لأصله",P803+Q803,
IF(U803="ازالة جبرية",N803+O803+Q803,"")))</f>
        <v/>
      </c>
      <c r="W803" s="44"/>
      <c r="X803" s="89"/>
      <c r="Y803" s="1">
        <f t="shared" ca="1" si="78"/>
        <v>46162</v>
      </c>
      <c r="Z803" s="1" cm="1">
        <f t="array" ref="Z803">IF(D803&gt;DATE(2015,5,16),0,
K803*
(
INT((MIN(Y803,DATE(2015,5,16))-D803)/365)
+
CEILING(MOD((MIN(Y803,DATE(2015,5,16))-D803)/365,1),0.25)
)
*
_xlfn.SWITCH(J803,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03" s="1" cm="1">
        <f t="array" aca="1" ref="AA803" ca="1">IF(Y803&lt;DATE(2015,5,17),0,
K803*
(
INT((MIN(Y803,DATE(2018,9,23))-MAX(D803,DATE(2015,5,17)))/365)
+
CEILING(MOD((MIN(Y803,DATE(2018,9,23))-MAX(D803,DATE(2015,5,17)))/365,1),0.25)
)
*
_xlfn.SWITCH(J803,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03" s="1" cm="1">
        <f t="array" aca="1" ref="AB803" ca="1">IF(Y803&lt;DATE(2018,9,24),0,
IF(J803="زراعة",
K803*
(
INT((MIN(Y803,DATE(2023,4,30))-MAX(D803,DATE(2018,9,24)))/365)
+
CEILING(MOD((MIN(Y803,DATE(2023,4,30))-MAX(D803,DATE(2018,9,24)))/365,1),0.25)
)
*1,
K803*
(
DATEDIF(MAX(D803,DATE(2018,9,24)),MIN(Y803,DATE(2023,4,30)),"m")+1
)
*
_xlfn.SWITCH(J803,
"موقف/تندة",IF(D803&lt;DATE(2019,11,30),6,30),
"تشوينات",IF(D803&lt;DATE(2019,11,30),4,20),
"مشاتل",IF(D803&lt;DATE(2019,11,30),2,10),
"كافيتيريا",IF(D803&lt;DATE(2019,11,30),30,150),
"نوادي",IF(D803&lt;DATE(2019,11,30),6,30),
"رسو مراكب",IF(D803&lt;DATE(2019,11,30),2,10),
"مباني",IF(D803&lt;DATE(2018,9,24),2,10),
"عشش",IF(D803&lt;DATE(2019,11,30),2,10),
"كشك (تجاري/صناعي)",IF(D803&lt;DATE(2019,11,30),10,50),
"ردم",20,
0)))</f>
        <v>0</v>
      </c>
      <c r="AC803" s="1" cm="1">
        <f t="array" aca="1" ref="AC803" ca="1">IF(Y803&lt;DATE(2023,5,1),0,
IF(J803="زراعة",
K803*
(
INT((Y803-MAX(DATE(2023,5,1),D803))/365)
+
CEILING(MOD((Y803-MAX(DATE(2023,5,1),D803))/365,1),0.25)
)
*3,
IF(J803="ردم",
K803*20,
K803*
(
DATEDIF(MAX(DATE(2023,5,1),D803),Y803,"m")+1
)
*
_xlfn.SWITCH(J803,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03" s="1">
        <f t="shared" ca="1" si="79"/>
        <v>55</v>
      </c>
    </row>
    <row r="804" spans="1:30" ht="18.75" x14ac:dyDescent="0.25">
      <c r="A804" s="30">
        <v>739</v>
      </c>
      <c r="B804" s="61">
        <v>1</v>
      </c>
      <c r="C804" s="61">
        <v>2025</v>
      </c>
      <c r="D804" s="62" t="s">
        <v>957</v>
      </c>
      <c r="E804" s="33"/>
      <c r="F804" s="31"/>
      <c r="G804" s="61" t="s">
        <v>981</v>
      </c>
      <c r="H804" s="31"/>
      <c r="I804" s="61" t="s">
        <v>372</v>
      </c>
      <c r="J804" s="31" t="s">
        <v>27</v>
      </c>
      <c r="K804" s="31"/>
      <c r="L804" s="31" t="s">
        <v>191</v>
      </c>
      <c r="M804" s="32"/>
      <c r="N804" s="31"/>
      <c r="O804" s="34">
        <f>0.47*Table2[[#This Row],[قيمة المحضر]]</f>
        <v>0</v>
      </c>
      <c r="P804" s="34">
        <f>0.17*Table2[[#This Row],[قيمة المحضر]]</f>
        <v>0</v>
      </c>
      <c r="Q804" s="34">
        <f t="shared" ref="Q804:Q867" ca="1" si="83">Z804+AA804+AB804+AC804</f>
        <v>0</v>
      </c>
      <c r="R804" s="31"/>
      <c r="S804" s="31"/>
      <c r="T804" s="34" t="str">
        <f t="shared" ref="T804:T867" si="84">IF(R804="تم الحجز",Q804+O804+N804,"-")</f>
        <v>-</v>
      </c>
      <c r="U804" s="31"/>
      <c r="V804" s="34" t="str">
        <f t="shared" ref="V804:V867" si="85">IF(OR(U804="قائم",U804="قائم و سدد مقابل انتفاع"),"-",
IF(U804="تم رد الشئ لأصله",P804+Q804,
IF(U804="ازالة جبرية",N804+O804+Q804,"")))</f>
        <v/>
      </c>
      <c r="W804" s="35"/>
      <c r="X804" s="36"/>
      <c r="Y804" s="1">
        <f t="shared" ca="1" si="78"/>
        <v>46162</v>
      </c>
      <c r="Z804" s="1" cm="1">
        <f t="array" ref="Z804">IF(D804&gt;DATE(2015,5,16),0,
K804*
(
INT((MIN(Y804,DATE(2015,5,16))-D804)/365)
+
CEILING(MOD((MIN(Y804,DATE(2015,5,16))-D804)/365,1),0.25)
)
*
_xlfn.SWITCH(J804,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04" s="1" cm="1">
        <f t="array" aca="1" ref="AA804" ca="1">IF(Y804&lt;DATE(2015,5,17),0,
K804*
(
INT((MIN(Y804,DATE(2018,9,23))-MAX(D804,DATE(2015,5,17)))/365)
+
CEILING(MOD((MIN(Y804,DATE(2018,9,23))-MAX(D804,DATE(2015,5,17)))/365,1),0.25)
)
*
_xlfn.SWITCH(J804,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04" s="1" cm="1">
        <f t="array" aca="1" ref="AB804" ca="1">IF(Y804&lt;DATE(2018,9,24),0,
IF(J804="زراعة",
K804*
(
INT((MIN(Y804,DATE(2023,4,30))-MAX(D804,DATE(2018,9,24)))/365)
+
CEILING(MOD((MIN(Y804,DATE(2023,4,30))-MAX(D804,DATE(2018,9,24)))/365,1),0.25)
)
*1,
K804*
(
DATEDIF(MAX(D804,DATE(2018,9,24)),MIN(Y804,DATE(2023,4,30)),"m")+1
)
*
_xlfn.SWITCH(J804,
"موقف/تندة",IF(D804&lt;DATE(2019,11,30),6,30),
"تشوينات",IF(D804&lt;DATE(2019,11,30),4,20),
"مشاتل",IF(D804&lt;DATE(2019,11,30),2,10),
"كافيتيريا",IF(D804&lt;DATE(2019,11,30),30,150),
"نوادي",IF(D804&lt;DATE(2019,11,30),6,30),
"رسو مراكب",IF(D804&lt;DATE(2019,11,30),2,10),
"مباني",IF(D804&lt;DATE(2018,9,24),2,10),
"عشش",IF(D804&lt;DATE(2019,11,30),2,10),
"كشك (تجاري/صناعي)",IF(D804&lt;DATE(2019,11,30),10,50),
"ردم",20,
0)))</f>
        <v>0</v>
      </c>
      <c r="AC804" s="1" cm="1">
        <f t="array" aca="1" ref="AC804" ca="1">IF(Y804&lt;DATE(2023,5,1),0,
IF(J804="زراعة",
K804*
(
INT((Y804-MAX(DATE(2023,5,1),D804))/365)
+
CEILING(MOD((Y804-MAX(DATE(2023,5,1),D804))/365,1),0.25)
)
*3,
IF(J804="ردم",
K804*20,
K804*
(
DATEDIF(MAX(DATE(2023,5,1),D804),Y804,"m")+1
)
*
_xlfn.SWITCH(J804,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04" s="1">
        <f t="shared" ca="1" si="79"/>
        <v>55</v>
      </c>
    </row>
    <row r="805" spans="1:30" ht="18.75" x14ac:dyDescent="0.25">
      <c r="A805" s="37">
        <v>740</v>
      </c>
      <c r="B805" s="63">
        <v>2</v>
      </c>
      <c r="C805" s="63">
        <v>2025</v>
      </c>
      <c r="D805" s="64" t="s">
        <v>958</v>
      </c>
      <c r="E805" s="11"/>
      <c r="F805" s="3"/>
      <c r="G805" s="63" t="s">
        <v>982</v>
      </c>
      <c r="H805" s="3"/>
      <c r="I805" s="63" t="s">
        <v>372</v>
      </c>
      <c r="J805" s="3" t="s">
        <v>27</v>
      </c>
      <c r="K805" s="3"/>
      <c r="L805" s="3" t="s">
        <v>191</v>
      </c>
      <c r="M805" s="2"/>
      <c r="N805" s="3"/>
      <c r="O805" s="9">
        <f>0.47*Table2[[#This Row],[قيمة المحضر]]</f>
        <v>0</v>
      </c>
      <c r="P805" s="9">
        <f>0.17*Table2[[#This Row],[قيمة المحضر]]</f>
        <v>0</v>
      </c>
      <c r="Q805" s="9">
        <f t="shared" ca="1" si="83"/>
        <v>0</v>
      </c>
      <c r="R805" s="3"/>
      <c r="S805" s="3"/>
      <c r="T805" s="9" t="str">
        <f t="shared" si="84"/>
        <v>-</v>
      </c>
      <c r="U805" s="3"/>
      <c r="V805" s="9" t="str">
        <f t="shared" si="85"/>
        <v/>
      </c>
      <c r="W805" s="4"/>
      <c r="X805" s="88"/>
      <c r="Y805" s="1">
        <f t="shared" ca="1" si="78"/>
        <v>46162</v>
      </c>
      <c r="Z805" s="1" cm="1">
        <f t="array" ref="Z805">IF(D805&gt;DATE(2015,5,16),0,
K805*
(
INT((MIN(Y805,DATE(2015,5,16))-D805)/365)
+
CEILING(MOD((MIN(Y805,DATE(2015,5,16))-D805)/365,1),0.25)
)
*
_xlfn.SWITCH(J805,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05" s="1" cm="1">
        <f t="array" aca="1" ref="AA805" ca="1">IF(Y805&lt;DATE(2015,5,17),0,
K805*
(
INT((MIN(Y805,DATE(2018,9,23))-MAX(D805,DATE(2015,5,17)))/365)
+
CEILING(MOD((MIN(Y805,DATE(2018,9,23))-MAX(D805,DATE(2015,5,17)))/365,1),0.25)
)
*
_xlfn.SWITCH(J805,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05" s="1" cm="1">
        <f t="array" aca="1" ref="AB805" ca="1">IF(Y805&lt;DATE(2018,9,24),0,
IF(J805="زراعة",
K805*
(
INT((MIN(Y805,DATE(2023,4,30))-MAX(D805,DATE(2018,9,24)))/365)
+
CEILING(MOD((MIN(Y805,DATE(2023,4,30))-MAX(D805,DATE(2018,9,24)))/365,1),0.25)
)
*1,
K805*
(
DATEDIF(MAX(D805,DATE(2018,9,24)),MIN(Y805,DATE(2023,4,30)),"m")+1
)
*
_xlfn.SWITCH(J805,
"موقف/تندة",IF(D805&lt;DATE(2019,11,30),6,30),
"تشوينات",IF(D805&lt;DATE(2019,11,30),4,20),
"مشاتل",IF(D805&lt;DATE(2019,11,30),2,10),
"كافيتيريا",IF(D805&lt;DATE(2019,11,30),30,150),
"نوادي",IF(D805&lt;DATE(2019,11,30),6,30),
"رسو مراكب",IF(D805&lt;DATE(2019,11,30),2,10),
"مباني",IF(D805&lt;DATE(2018,9,24),2,10),
"عشش",IF(D805&lt;DATE(2019,11,30),2,10),
"كشك (تجاري/صناعي)",IF(D805&lt;DATE(2019,11,30),10,50),
"ردم",20,
0)))</f>
        <v>0</v>
      </c>
      <c r="AC805" s="1" cm="1">
        <f t="array" aca="1" ref="AC805" ca="1">IF(Y805&lt;DATE(2023,5,1),0,
IF(J805="زراعة",
K805*
(
INT((Y805-MAX(DATE(2023,5,1),D805))/365)
+
CEILING(MOD((Y805-MAX(DATE(2023,5,1),D805))/365,1),0.25)
)
*3,
IF(J805="ردم",
K805*20,
K805*
(
DATEDIF(MAX(DATE(2023,5,1),D805),Y805,"m")+1
)
*
_xlfn.SWITCH(J805,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05" s="1">
        <f t="shared" ca="1" si="79"/>
        <v>55</v>
      </c>
    </row>
    <row r="806" spans="1:30" ht="18.75" x14ac:dyDescent="0.25">
      <c r="A806" s="37">
        <v>741</v>
      </c>
      <c r="B806" s="63">
        <v>3</v>
      </c>
      <c r="C806" s="63">
        <v>2025</v>
      </c>
      <c r="D806" s="64" t="s">
        <v>958</v>
      </c>
      <c r="E806" s="11"/>
      <c r="F806" s="3"/>
      <c r="G806" s="63" t="s">
        <v>983</v>
      </c>
      <c r="H806" s="3"/>
      <c r="I806" s="63" t="s">
        <v>372</v>
      </c>
      <c r="J806" s="3" t="s">
        <v>27</v>
      </c>
      <c r="K806" s="3"/>
      <c r="L806" s="3" t="s">
        <v>191</v>
      </c>
      <c r="M806" s="2"/>
      <c r="N806" s="3"/>
      <c r="O806" s="9">
        <f>0.47*Table2[[#This Row],[قيمة المحضر]]</f>
        <v>0</v>
      </c>
      <c r="P806" s="9">
        <f>0.17*Table2[[#This Row],[قيمة المحضر]]</f>
        <v>0</v>
      </c>
      <c r="Q806" s="9">
        <f t="shared" ca="1" si="83"/>
        <v>0</v>
      </c>
      <c r="R806" s="3"/>
      <c r="S806" s="3"/>
      <c r="T806" s="9" t="str">
        <f t="shared" si="84"/>
        <v>-</v>
      </c>
      <c r="U806" s="3"/>
      <c r="V806" s="9" t="str">
        <f t="shared" si="85"/>
        <v/>
      </c>
      <c r="W806" s="4"/>
      <c r="X806" s="88"/>
      <c r="Y806" s="1">
        <f t="shared" ca="1" si="78"/>
        <v>46162</v>
      </c>
      <c r="Z806" s="1" cm="1">
        <f t="array" ref="Z806">IF(D806&gt;DATE(2015,5,16),0,
K806*
(
INT((MIN(Y806,DATE(2015,5,16))-D806)/365)
+
CEILING(MOD((MIN(Y806,DATE(2015,5,16))-D806)/365,1),0.25)
)
*
_xlfn.SWITCH(J806,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06" s="1" cm="1">
        <f t="array" aca="1" ref="AA806" ca="1">IF(Y806&lt;DATE(2015,5,17),0,
K806*
(
INT((MIN(Y806,DATE(2018,9,23))-MAX(D806,DATE(2015,5,17)))/365)
+
CEILING(MOD((MIN(Y806,DATE(2018,9,23))-MAX(D806,DATE(2015,5,17)))/365,1),0.25)
)
*
_xlfn.SWITCH(J806,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06" s="1" cm="1">
        <f t="array" aca="1" ref="AB806" ca="1">IF(Y806&lt;DATE(2018,9,24),0,
IF(J806="زراعة",
K806*
(
INT((MIN(Y806,DATE(2023,4,30))-MAX(D806,DATE(2018,9,24)))/365)
+
CEILING(MOD((MIN(Y806,DATE(2023,4,30))-MAX(D806,DATE(2018,9,24)))/365,1),0.25)
)
*1,
K806*
(
DATEDIF(MAX(D806,DATE(2018,9,24)),MIN(Y806,DATE(2023,4,30)),"m")+1
)
*
_xlfn.SWITCH(J806,
"موقف/تندة",IF(D806&lt;DATE(2019,11,30),6,30),
"تشوينات",IF(D806&lt;DATE(2019,11,30),4,20),
"مشاتل",IF(D806&lt;DATE(2019,11,30),2,10),
"كافيتيريا",IF(D806&lt;DATE(2019,11,30),30,150),
"نوادي",IF(D806&lt;DATE(2019,11,30),6,30),
"رسو مراكب",IF(D806&lt;DATE(2019,11,30),2,10),
"مباني",IF(D806&lt;DATE(2018,9,24),2,10),
"عشش",IF(D806&lt;DATE(2019,11,30),2,10),
"كشك (تجاري/صناعي)",IF(D806&lt;DATE(2019,11,30),10,50),
"ردم",20,
0)))</f>
        <v>0</v>
      </c>
      <c r="AC806" s="1" cm="1">
        <f t="array" aca="1" ref="AC806" ca="1">IF(Y806&lt;DATE(2023,5,1),0,
IF(J806="زراعة",
K806*
(
INT((Y806-MAX(DATE(2023,5,1),D806))/365)
+
CEILING(MOD((Y806-MAX(DATE(2023,5,1),D806))/365,1),0.25)
)
*3,
IF(J806="ردم",
K806*20,
K806*
(
DATEDIF(MAX(DATE(2023,5,1),D806),Y806,"m")+1
)
*
_xlfn.SWITCH(J806,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06" s="1">
        <f t="shared" ca="1" si="79"/>
        <v>55</v>
      </c>
    </row>
    <row r="807" spans="1:30" ht="18.75" x14ac:dyDescent="0.25">
      <c r="A807" s="37">
        <v>742</v>
      </c>
      <c r="B807" s="63">
        <v>4</v>
      </c>
      <c r="C807" s="63">
        <v>2025</v>
      </c>
      <c r="D807" s="64" t="s">
        <v>959</v>
      </c>
      <c r="E807" s="11"/>
      <c r="F807" s="3"/>
      <c r="G807" s="63" t="s">
        <v>981</v>
      </c>
      <c r="H807" s="3"/>
      <c r="I807" s="63" t="s">
        <v>372</v>
      </c>
      <c r="J807" s="3" t="s">
        <v>27</v>
      </c>
      <c r="K807" s="3"/>
      <c r="L807" s="3" t="s">
        <v>191</v>
      </c>
      <c r="M807" s="2"/>
      <c r="N807" s="3"/>
      <c r="O807" s="9">
        <f>0.47*Table2[[#This Row],[قيمة المحضر]]</f>
        <v>0</v>
      </c>
      <c r="P807" s="9">
        <f>0.17*Table2[[#This Row],[قيمة المحضر]]</f>
        <v>0</v>
      </c>
      <c r="Q807" s="9">
        <f t="shared" ca="1" si="83"/>
        <v>0</v>
      </c>
      <c r="R807" s="3"/>
      <c r="S807" s="3"/>
      <c r="T807" s="9" t="str">
        <f t="shared" si="84"/>
        <v>-</v>
      </c>
      <c r="U807" s="3"/>
      <c r="V807" s="9" t="str">
        <f t="shared" si="85"/>
        <v/>
      </c>
      <c r="W807" s="4"/>
      <c r="X807" s="88"/>
      <c r="Y807" s="1">
        <f t="shared" ca="1" si="78"/>
        <v>46162</v>
      </c>
      <c r="Z807" s="1" cm="1">
        <f t="array" ref="Z807">IF(D807&gt;DATE(2015,5,16),0,
K807*
(
INT((MIN(Y807,DATE(2015,5,16))-D807)/365)
+
CEILING(MOD((MIN(Y807,DATE(2015,5,16))-D807)/365,1),0.25)
)
*
_xlfn.SWITCH(J807,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07" s="1" cm="1">
        <f t="array" aca="1" ref="AA807" ca="1">IF(Y807&lt;DATE(2015,5,17),0,
K807*
(
INT((MIN(Y807,DATE(2018,9,23))-MAX(D807,DATE(2015,5,17)))/365)
+
CEILING(MOD((MIN(Y807,DATE(2018,9,23))-MAX(D807,DATE(2015,5,17)))/365,1),0.25)
)
*
_xlfn.SWITCH(J807,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07" s="1" cm="1">
        <f t="array" aca="1" ref="AB807" ca="1">IF(Y807&lt;DATE(2018,9,24),0,
IF(J807="زراعة",
K807*
(
INT((MIN(Y807,DATE(2023,4,30))-MAX(D807,DATE(2018,9,24)))/365)
+
CEILING(MOD((MIN(Y807,DATE(2023,4,30))-MAX(D807,DATE(2018,9,24)))/365,1),0.25)
)
*1,
K807*
(
DATEDIF(MAX(D807,DATE(2018,9,24)),MIN(Y807,DATE(2023,4,30)),"m")+1
)
*
_xlfn.SWITCH(J807,
"موقف/تندة",IF(D807&lt;DATE(2019,11,30),6,30),
"تشوينات",IF(D807&lt;DATE(2019,11,30),4,20),
"مشاتل",IF(D807&lt;DATE(2019,11,30),2,10),
"كافيتيريا",IF(D807&lt;DATE(2019,11,30),30,150),
"نوادي",IF(D807&lt;DATE(2019,11,30),6,30),
"رسو مراكب",IF(D807&lt;DATE(2019,11,30),2,10),
"مباني",IF(D807&lt;DATE(2018,9,24),2,10),
"عشش",IF(D807&lt;DATE(2019,11,30),2,10),
"كشك (تجاري/صناعي)",IF(D807&lt;DATE(2019,11,30),10,50),
"ردم",20,
0)))</f>
        <v>0</v>
      </c>
      <c r="AC807" s="1" cm="1">
        <f t="array" aca="1" ref="AC807" ca="1">IF(Y807&lt;DATE(2023,5,1),0,
IF(J807="زراعة",
K807*
(
INT((Y807-MAX(DATE(2023,5,1),D807))/365)
+
CEILING(MOD((Y807-MAX(DATE(2023,5,1),D807))/365,1),0.25)
)
*3,
IF(J807="ردم",
K807*20,
K807*
(
DATEDIF(MAX(DATE(2023,5,1),D807),Y807,"m")+1
)
*
_xlfn.SWITCH(J807,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07" s="1">
        <f t="shared" ca="1" si="79"/>
        <v>55</v>
      </c>
    </row>
    <row r="808" spans="1:30" ht="18.75" x14ac:dyDescent="0.25">
      <c r="A808" s="37">
        <v>743</v>
      </c>
      <c r="B808" s="63">
        <v>5</v>
      </c>
      <c r="C808" s="63">
        <v>2025</v>
      </c>
      <c r="D808" s="64" t="s">
        <v>960</v>
      </c>
      <c r="E808" s="11"/>
      <c r="F808" s="3"/>
      <c r="G808" s="63" t="s">
        <v>981</v>
      </c>
      <c r="H808" s="3"/>
      <c r="I808" s="63" t="s">
        <v>372</v>
      </c>
      <c r="J808" s="3" t="s">
        <v>77</v>
      </c>
      <c r="K808" s="3"/>
      <c r="L808" s="3" t="s">
        <v>191</v>
      </c>
      <c r="M808" s="2"/>
      <c r="N808" s="3"/>
      <c r="O808" s="9">
        <f>0.47*Table2[[#This Row],[قيمة المحضر]]</f>
        <v>0</v>
      </c>
      <c r="P808" s="9">
        <f>0.17*Table2[[#This Row],[قيمة المحضر]]</f>
        <v>0</v>
      </c>
      <c r="Q808" s="9">
        <f t="shared" ca="1" si="83"/>
        <v>0</v>
      </c>
      <c r="R808" s="3"/>
      <c r="S808" s="3"/>
      <c r="T808" s="9" t="str">
        <f t="shared" si="84"/>
        <v>-</v>
      </c>
      <c r="U808" s="3"/>
      <c r="V808" s="9" t="str">
        <f t="shared" si="85"/>
        <v/>
      </c>
      <c r="W808" s="4"/>
      <c r="X808" s="88"/>
      <c r="Y808" s="1">
        <f t="shared" ca="1" si="78"/>
        <v>46162</v>
      </c>
      <c r="Z808" s="1" cm="1">
        <f t="array" ref="Z808">IF(D808&gt;DATE(2015,5,16),0,
K808*
(
INT((MIN(Y808,DATE(2015,5,16))-D808)/365)
+
CEILING(MOD((MIN(Y808,DATE(2015,5,16))-D808)/365,1),0.25)
)
*
_xlfn.SWITCH(J808,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08" s="1" cm="1">
        <f t="array" aca="1" ref="AA808" ca="1">IF(Y808&lt;DATE(2015,5,17),0,
K808*
(
INT((MIN(Y808,DATE(2018,9,23))-MAX(D808,DATE(2015,5,17)))/365)
+
CEILING(MOD((MIN(Y808,DATE(2018,9,23))-MAX(D808,DATE(2015,5,17)))/365,1),0.25)
)
*
_xlfn.SWITCH(J808,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08" s="1" cm="1">
        <f t="array" aca="1" ref="AB808" ca="1">IF(Y808&lt;DATE(2018,9,24),0,
IF(J808="زراعة",
K808*
(
INT((MIN(Y808,DATE(2023,4,30))-MAX(D808,DATE(2018,9,24)))/365)
+
CEILING(MOD((MIN(Y808,DATE(2023,4,30))-MAX(D808,DATE(2018,9,24)))/365,1),0.25)
)
*1,
K808*
(
DATEDIF(MAX(D808,DATE(2018,9,24)),MIN(Y808,DATE(2023,4,30)),"m")+1
)
*
_xlfn.SWITCH(J808,
"موقف/تندة",IF(D808&lt;DATE(2019,11,30),6,30),
"تشوينات",IF(D808&lt;DATE(2019,11,30),4,20),
"مشاتل",IF(D808&lt;DATE(2019,11,30),2,10),
"كافيتيريا",IF(D808&lt;DATE(2019,11,30),30,150),
"نوادي",IF(D808&lt;DATE(2019,11,30),6,30),
"رسو مراكب",IF(D808&lt;DATE(2019,11,30),2,10),
"مباني",IF(D808&lt;DATE(2018,9,24),2,10),
"عشش",IF(D808&lt;DATE(2019,11,30),2,10),
"كشك (تجاري/صناعي)",IF(D808&lt;DATE(2019,11,30),10,50),
"ردم",20,
0)))</f>
        <v>0</v>
      </c>
      <c r="AC808" s="1" cm="1">
        <f t="array" aca="1" ref="AC808" ca="1">IF(Y808&lt;DATE(2023,5,1),0,
IF(J808="زراعة",
K808*
(
INT((Y808-MAX(DATE(2023,5,1),D808))/365)
+
CEILING(MOD((Y808-MAX(DATE(2023,5,1),D808))/365,1),0.25)
)
*3,
IF(J808="ردم",
K808*20,
K808*
(
DATEDIF(MAX(DATE(2023,5,1),D808),Y808,"m")+1
)
*
_xlfn.SWITCH(J808,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08" s="1">
        <f t="shared" ca="1" si="79"/>
        <v>55</v>
      </c>
    </row>
    <row r="809" spans="1:30" ht="18.75" x14ac:dyDescent="0.25">
      <c r="A809" s="37">
        <v>744</v>
      </c>
      <c r="B809" s="63">
        <v>6</v>
      </c>
      <c r="C809" s="63">
        <v>2025</v>
      </c>
      <c r="D809" s="64" t="s">
        <v>961</v>
      </c>
      <c r="E809" s="11"/>
      <c r="F809" s="3"/>
      <c r="G809" s="63" t="s">
        <v>981</v>
      </c>
      <c r="H809" s="3"/>
      <c r="I809" s="63" t="s">
        <v>372</v>
      </c>
      <c r="J809" s="3" t="s">
        <v>27</v>
      </c>
      <c r="K809" s="3"/>
      <c r="L809" s="3" t="s">
        <v>191</v>
      </c>
      <c r="M809" s="2"/>
      <c r="N809" s="3"/>
      <c r="O809" s="9">
        <f>0.47*Table2[[#This Row],[قيمة المحضر]]</f>
        <v>0</v>
      </c>
      <c r="P809" s="9">
        <f>0.17*Table2[[#This Row],[قيمة المحضر]]</f>
        <v>0</v>
      </c>
      <c r="Q809" s="9">
        <f t="shared" ca="1" si="83"/>
        <v>0</v>
      </c>
      <c r="R809" s="3"/>
      <c r="S809" s="3"/>
      <c r="T809" s="9" t="str">
        <f t="shared" si="84"/>
        <v>-</v>
      </c>
      <c r="U809" s="3"/>
      <c r="V809" s="9" t="str">
        <f t="shared" si="85"/>
        <v/>
      </c>
      <c r="W809" s="4"/>
      <c r="X809" s="88"/>
      <c r="Y809" s="1">
        <f t="shared" ca="1" si="78"/>
        <v>46162</v>
      </c>
      <c r="Z809" s="1" cm="1">
        <f t="array" ref="Z809">IF(D809&gt;DATE(2015,5,16),0,
K809*
(
INT((MIN(Y809,DATE(2015,5,16))-D809)/365)
+
CEILING(MOD((MIN(Y809,DATE(2015,5,16))-D809)/365,1),0.25)
)
*
_xlfn.SWITCH(J809,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09" s="1" cm="1">
        <f t="array" aca="1" ref="AA809" ca="1">IF(Y809&lt;DATE(2015,5,17),0,
K809*
(
INT((MIN(Y809,DATE(2018,9,23))-MAX(D809,DATE(2015,5,17)))/365)
+
CEILING(MOD((MIN(Y809,DATE(2018,9,23))-MAX(D809,DATE(2015,5,17)))/365,1),0.25)
)
*
_xlfn.SWITCH(J809,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09" s="1" cm="1">
        <f t="array" aca="1" ref="AB809" ca="1">IF(Y809&lt;DATE(2018,9,24),0,
IF(J809="زراعة",
K809*
(
INT((MIN(Y809,DATE(2023,4,30))-MAX(D809,DATE(2018,9,24)))/365)
+
CEILING(MOD((MIN(Y809,DATE(2023,4,30))-MAX(D809,DATE(2018,9,24)))/365,1),0.25)
)
*1,
K809*
(
DATEDIF(MAX(D809,DATE(2018,9,24)),MIN(Y809,DATE(2023,4,30)),"m")+1
)
*
_xlfn.SWITCH(J809,
"موقف/تندة",IF(D809&lt;DATE(2019,11,30),6,30),
"تشوينات",IF(D809&lt;DATE(2019,11,30),4,20),
"مشاتل",IF(D809&lt;DATE(2019,11,30),2,10),
"كافيتيريا",IF(D809&lt;DATE(2019,11,30),30,150),
"نوادي",IF(D809&lt;DATE(2019,11,30),6,30),
"رسو مراكب",IF(D809&lt;DATE(2019,11,30),2,10),
"مباني",IF(D809&lt;DATE(2018,9,24),2,10),
"عشش",IF(D809&lt;DATE(2019,11,30),2,10),
"كشك (تجاري/صناعي)",IF(D809&lt;DATE(2019,11,30),10,50),
"ردم",20,
0)))</f>
        <v>0</v>
      </c>
      <c r="AC809" s="1" cm="1">
        <f t="array" aca="1" ref="AC809" ca="1">IF(Y809&lt;DATE(2023,5,1),0,
IF(J809="زراعة",
K809*
(
INT((Y809-MAX(DATE(2023,5,1),D809))/365)
+
CEILING(MOD((Y809-MAX(DATE(2023,5,1),D809))/365,1),0.25)
)
*3,
IF(J809="ردم",
K809*20,
K809*
(
DATEDIF(MAX(DATE(2023,5,1),D809),Y809,"m")+1
)
*
_xlfn.SWITCH(J809,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09" s="1">
        <f t="shared" ca="1" si="79"/>
        <v>55</v>
      </c>
    </row>
    <row r="810" spans="1:30" ht="18.75" x14ac:dyDescent="0.25">
      <c r="A810" s="37">
        <v>745</v>
      </c>
      <c r="B810" s="63">
        <v>7</v>
      </c>
      <c r="C810" s="63">
        <v>2025</v>
      </c>
      <c r="D810" s="64" t="s">
        <v>962</v>
      </c>
      <c r="E810" s="11"/>
      <c r="F810" s="3"/>
      <c r="G810" s="63" t="s">
        <v>984</v>
      </c>
      <c r="H810" s="3"/>
      <c r="I810" s="63" t="s">
        <v>33</v>
      </c>
      <c r="J810" s="3" t="s">
        <v>27</v>
      </c>
      <c r="K810" s="3"/>
      <c r="L810" s="3" t="s">
        <v>88</v>
      </c>
      <c r="M810" s="2"/>
      <c r="N810" s="3"/>
      <c r="O810" s="9">
        <f>0.47*Table2[[#This Row],[قيمة المحضر]]</f>
        <v>0</v>
      </c>
      <c r="P810" s="9">
        <f>0.17*Table2[[#This Row],[قيمة المحضر]]</f>
        <v>0</v>
      </c>
      <c r="Q810" s="9">
        <f t="shared" ca="1" si="83"/>
        <v>0</v>
      </c>
      <c r="R810" s="3"/>
      <c r="S810" s="3"/>
      <c r="T810" s="9" t="str">
        <f t="shared" si="84"/>
        <v>-</v>
      </c>
      <c r="U810" s="3"/>
      <c r="V810" s="9" t="str">
        <f t="shared" si="85"/>
        <v/>
      </c>
      <c r="W810" s="4"/>
      <c r="X810" s="88"/>
      <c r="Y810" s="1">
        <f t="shared" ca="1" si="78"/>
        <v>46162</v>
      </c>
      <c r="Z810" s="1" cm="1">
        <f t="array" ref="Z810">IF(D810&gt;DATE(2015,5,16),0,
K810*
(
INT((MIN(Y810,DATE(2015,5,16))-D810)/365)
+
CEILING(MOD((MIN(Y810,DATE(2015,5,16))-D810)/365,1),0.25)
)
*
_xlfn.SWITCH(J810,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10" s="1" cm="1">
        <f t="array" aca="1" ref="AA810" ca="1">IF(Y810&lt;DATE(2015,5,17),0,
K810*
(
INT((MIN(Y810,DATE(2018,9,23))-MAX(D810,DATE(2015,5,17)))/365)
+
CEILING(MOD((MIN(Y810,DATE(2018,9,23))-MAX(D810,DATE(2015,5,17)))/365,1),0.25)
)
*
_xlfn.SWITCH(J810,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10" s="1" cm="1">
        <f t="array" aca="1" ref="AB810" ca="1">IF(Y810&lt;DATE(2018,9,24),0,
IF(J810="زراعة",
K810*
(
INT((MIN(Y810,DATE(2023,4,30))-MAX(D810,DATE(2018,9,24)))/365)
+
CEILING(MOD((MIN(Y810,DATE(2023,4,30))-MAX(D810,DATE(2018,9,24)))/365,1),0.25)
)
*1,
K810*
(
DATEDIF(MAX(D810,DATE(2018,9,24)),MIN(Y810,DATE(2023,4,30)),"m")+1
)
*
_xlfn.SWITCH(J810,
"موقف/تندة",IF(D810&lt;DATE(2019,11,30),6,30),
"تشوينات",IF(D810&lt;DATE(2019,11,30),4,20),
"مشاتل",IF(D810&lt;DATE(2019,11,30),2,10),
"كافيتيريا",IF(D810&lt;DATE(2019,11,30),30,150),
"نوادي",IF(D810&lt;DATE(2019,11,30),6,30),
"رسو مراكب",IF(D810&lt;DATE(2019,11,30),2,10),
"مباني",IF(D810&lt;DATE(2018,9,24),2,10),
"عشش",IF(D810&lt;DATE(2019,11,30),2,10),
"كشك (تجاري/صناعي)",IF(D810&lt;DATE(2019,11,30),10,50),
"ردم",20,
0)))</f>
        <v>0</v>
      </c>
      <c r="AC810" s="1" cm="1">
        <f t="array" aca="1" ref="AC810" ca="1">IF(Y810&lt;DATE(2023,5,1),0,
IF(J810="زراعة",
K810*
(
INT((Y810-MAX(DATE(2023,5,1),D810))/365)
+
CEILING(MOD((Y810-MAX(DATE(2023,5,1),D810))/365,1),0.25)
)
*3,
IF(J810="ردم",
K810*20,
K810*
(
DATEDIF(MAX(DATE(2023,5,1),D810),Y810,"m")+1
)
*
_xlfn.SWITCH(J810,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10" s="1">
        <f t="shared" ca="1" si="79"/>
        <v>55</v>
      </c>
    </row>
    <row r="811" spans="1:30" ht="18.75" x14ac:dyDescent="0.25">
      <c r="A811" s="37">
        <v>746</v>
      </c>
      <c r="B811" s="63">
        <v>8</v>
      </c>
      <c r="C811" s="63">
        <v>2025</v>
      </c>
      <c r="D811" s="64" t="s">
        <v>962</v>
      </c>
      <c r="E811" s="11"/>
      <c r="F811" s="3"/>
      <c r="G811" s="63" t="s">
        <v>985</v>
      </c>
      <c r="H811" s="3"/>
      <c r="I811" s="63" t="s">
        <v>33</v>
      </c>
      <c r="J811" s="3" t="s">
        <v>27</v>
      </c>
      <c r="K811" s="3"/>
      <c r="L811" s="3" t="s">
        <v>88</v>
      </c>
      <c r="M811" s="2"/>
      <c r="N811" s="3"/>
      <c r="O811" s="9">
        <f>0.47*Table2[[#This Row],[قيمة المحضر]]</f>
        <v>0</v>
      </c>
      <c r="P811" s="9">
        <f>0.17*Table2[[#This Row],[قيمة المحضر]]</f>
        <v>0</v>
      </c>
      <c r="Q811" s="9">
        <f t="shared" ca="1" si="83"/>
        <v>0</v>
      </c>
      <c r="R811" s="3"/>
      <c r="S811" s="3"/>
      <c r="T811" s="9" t="str">
        <f t="shared" si="84"/>
        <v>-</v>
      </c>
      <c r="U811" s="3"/>
      <c r="V811" s="9" t="str">
        <f t="shared" si="85"/>
        <v/>
      </c>
      <c r="W811" s="4"/>
      <c r="X811" s="88"/>
      <c r="Y811" s="1">
        <f t="shared" ca="1" si="78"/>
        <v>46162</v>
      </c>
      <c r="Z811" s="1" cm="1">
        <f t="array" ref="Z811">IF(D811&gt;DATE(2015,5,16),0,
K811*
(
INT((MIN(Y811,DATE(2015,5,16))-D811)/365)
+
CEILING(MOD((MIN(Y811,DATE(2015,5,16))-D811)/365,1),0.25)
)
*
_xlfn.SWITCH(J811,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11" s="1" cm="1">
        <f t="array" aca="1" ref="AA811" ca="1">IF(Y811&lt;DATE(2015,5,17),0,
K811*
(
INT((MIN(Y811,DATE(2018,9,23))-MAX(D811,DATE(2015,5,17)))/365)
+
CEILING(MOD((MIN(Y811,DATE(2018,9,23))-MAX(D811,DATE(2015,5,17)))/365,1),0.25)
)
*
_xlfn.SWITCH(J811,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11" s="1" cm="1">
        <f t="array" aca="1" ref="AB811" ca="1">IF(Y811&lt;DATE(2018,9,24),0,
IF(J811="زراعة",
K811*
(
INT((MIN(Y811,DATE(2023,4,30))-MAX(D811,DATE(2018,9,24)))/365)
+
CEILING(MOD((MIN(Y811,DATE(2023,4,30))-MAX(D811,DATE(2018,9,24)))/365,1),0.25)
)
*1,
K811*
(
DATEDIF(MAX(D811,DATE(2018,9,24)),MIN(Y811,DATE(2023,4,30)),"m")+1
)
*
_xlfn.SWITCH(J811,
"موقف/تندة",IF(D811&lt;DATE(2019,11,30),6,30),
"تشوينات",IF(D811&lt;DATE(2019,11,30),4,20),
"مشاتل",IF(D811&lt;DATE(2019,11,30),2,10),
"كافيتيريا",IF(D811&lt;DATE(2019,11,30),30,150),
"نوادي",IF(D811&lt;DATE(2019,11,30),6,30),
"رسو مراكب",IF(D811&lt;DATE(2019,11,30),2,10),
"مباني",IF(D811&lt;DATE(2018,9,24),2,10),
"عشش",IF(D811&lt;DATE(2019,11,30),2,10),
"كشك (تجاري/صناعي)",IF(D811&lt;DATE(2019,11,30),10,50),
"ردم",20,
0)))</f>
        <v>0</v>
      </c>
      <c r="AC811" s="1" cm="1">
        <f t="array" aca="1" ref="AC811" ca="1">IF(Y811&lt;DATE(2023,5,1),0,
IF(J811="زراعة",
K811*
(
INT((Y811-MAX(DATE(2023,5,1),D811))/365)
+
CEILING(MOD((Y811-MAX(DATE(2023,5,1),D811))/365,1),0.25)
)
*3,
IF(J811="ردم",
K811*20,
K811*
(
DATEDIF(MAX(DATE(2023,5,1),D811),Y811,"m")+1
)
*
_xlfn.SWITCH(J811,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11" s="1">
        <f t="shared" ca="1" si="79"/>
        <v>55</v>
      </c>
    </row>
    <row r="812" spans="1:30" ht="18.75" x14ac:dyDescent="0.25">
      <c r="A812" s="37">
        <v>747</v>
      </c>
      <c r="B812" s="63">
        <v>9</v>
      </c>
      <c r="C812" s="63">
        <v>2025</v>
      </c>
      <c r="D812" s="64" t="s">
        <v>963</v>
      </c>
      <c r="E812" s="11"/>
      <c r="F812" s="3"/>
      <c r="G812" s="63" t="s">
        <v>986</v>
      </c>
      <c r="H812" s="3"/>
      <c r="I812" s="63" t="s">
        <v>372</v>
      </c>
      <c r="J812" s="3" t="s">
        <v>27</v>
      </c>
      <c r="K812" s="3"/>
      <c r="L812" s="3" t="s">
        <v>191</v>
      </c>
      <c r="M812" s="2"/>
      <c r="N812" s="3"/>
      <c r="O812" s="9">
        <f>0.47*Table2[[#This Row],[قيمة المحضر]]</f>
        <v>0</v>
      </c>
      <c r="P812" s="9">
        <f>0.17*Table2[[#This Row],[قيمة المحضر]]</f>
        <v>0</v>
      </c>
      <c r="Q812" s="9">
        <f t="shared" ca="1" si="83"/>
        <v>0</v>
      </c>
      <c r="R812" s="3"/>
      <c r="S812" s="3"/>
      <c r="T812" s="9" t="str">
        <f t="shared" si="84"/>
        <v>-</v>
      </c>
      <c r="U812" s="3"/>
      <c r="V812" s="9" t="str">
        <f t="shared" si="85"/>
        <v/>
      </c>
      <c r="W812" s="4"/>
      <c r="X812" s="88"/>
      <c r="Y812" s="1">
        <f t="shared" ca="1" si="78"/>
        <v>46162</v>
      </c>
      <c r="Z812" s="1" cm="1">
        <f t="array" ref="Z812">IF(D812&gt;DATE(2015,5,16),0,
K812*
(
INT((MIN(Y812,DATE(2015,5,16))-D812)/365)
+
CEILING(MOD((MIN(Y812,DATE(2015,5,16))-D812)/365,1),0.25)
)
*
_xlfn.SWITCH(J812,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12" s="1" cm="1">
        <f t="array" aca="1" ref="AA812" ca="1">IF(Y812&lt;DATE(2015,5,17),0,
K812*
(
INT((MIN(Y812,DATE(2018,9,23))-MAX(D812,DATE(2015,5,17)))/365)
+
CEILING(MOD((MIN(Y812,DATE(2018,9,23))-MAX(D812,DATE(2015,5,17)))/365,1),0.25)
)
*
_xlfn.SWITCH(J812,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12" s="1" cm="1">
        <f t="array" aca="1" ref="AB812" ca="1">IF(Y812&lt;DATE(2018,9,24),0,
IF(J812="زراعة",
K812*
(
INT((MIN(Y812,DATE(2023,4,30))-MAX(D812,DATE(2018,9,24)))/365)
+
CEILING(MOD((MIN(Y812,DATE(2023,4,30))-MAX(D812,DATE(2018,9,24)))/365,1),0.25)
)
*1,
K812*
(
DATEDIF(MAX(D812,DATE(2018,9,24)),MIN(Y812,DATE(2023,4,30)),"m")+1
)
*
_xlfn.SWITCH(J812,
"موقف/تندة",IF(D812&lt;DATE(2019,11,30),6,30),
"تشوينات",IF(D812&lt;DATE(2019,11,30),4,20),
"مشاتل",IF(D812&lt;DATE(2019,11,30),2,10),
"كافيتيريا",IF(D812&lt;DATE(2019,11,30),30,150),
"نوادي",IF(D812&lt;DATE(2019,11,30),6,30),
"رسو مراكب",IF(D812&lt;DATE(2019,11,30),2,10),
"مباني",IF(D812&lt;DATE(2018,9,24),2,10),
"عشش",IF(D812&lt;DATE(2019,11,30),2,10),
"كشك (تجاري/صناعي)",IF(D812&lt;DATE(2019,11,30),10,50),
"ردم",20,
0)))</f>
        <v>0</v>
      </c>
      <c r="AC812" s="1" cm="1">
        <f t="array" aca="1" ref="AC812" ca="1">IF(Y812&lt;DATE(2023,5,1),0,
IF(J812="زراعة",
K812*
(
INT((Y812-MAX(DATE(2023,5,1),D812))/365)
+
CEILING(MOD((Y812-MAX(DATE(2023,5,1),D812))/365,1),0.25)
)
*3,
IF(J812="ردم",
K812*20,
K812*
(
DATEDIF(MAX(DATE(2023,5,1),D812),Y812,"m")+1
)
*
_xlfn.SWITCH(J812,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12" s="1">
        <f t="shared" ca="1" si="79"/>
        <v>55</v>
      </c>
    </row>
    <row r="813" spans="1:30" ht="18.75" x14ac:dyDescent="0.25">
      <c r="A813" s="37">
        <v>748</v>
      </c>
      <c r="B813" s="63">
        <v>10</v>
      </c>
      <c r="C813" s="63">
        <v>2025</v>
      </c>
      <c r="D813" s="64" t="s">
        <v>963</v>
      </c>
      <c r="E813" s="11"/>
      <c r="F813" s="3"/>
      <c r="G813" s="63" t="s">
        <v>987</v>
      </c>
      <c r="H813" s="3"/>
      <c r="I813" s="63" t="s">
        <v>190</v>
      </c>
      <c r="J813" s="3" t="s">
        <v>27</v>
      </c>
      <c r="K813" s="3"/>
      <c r="L813" s="3" t="s">
        <v>191</v>
      </c>
      <c r="M813" s="2"/>
      <c r="N813" s="3"/>
      <c r="O813" s="9">
        <f>0.47*Table2[[#This Row],[قيمة المحضر]]</f>
        <v>0</v>
      </c>
      <c r="P813" s="9">
        <f>0.17*Table2[[#This Row],[قيمة المحضر]]</f>
        <v>0</v>
      </c>
      <c r="Q813" s="9">
        <f t="shared" ca="1" si="83"/>
        <v>0</v>
      </c>
      <c r="R813" s="3"/>
      <c r="S813" s="3"/>
      <c r="T813" s="9" t="str">
        <f t="shared" si="84"/>
        <v>-</v>
      </c>
      <c r="U813" s="3"/>
      <c r="V813" s="9" t="str">
        <f t="shared" si="85"/>
        <v/>
      </c>
      <c r="W813" s="4"/>
      <c r="X813" s="88"/>
      <c r="Y813" s="1">
        <f t="shared" ca="1" si="78"/>
        <v>46162</v>
      </c>
      <c r="Z813" s="1" cm="1">
        <f t="array" ref="Z813">IF(D813&gt;DATE(2015,5,16),0,
K813*
(
INT((MIN(Y813,DATE(2015,5,16))-D813)/365)
+
CEILING(MOD((MIN(Y813,DATE(2015,5,16))-D813)/365,1),0.25)
)
*
_xlfn.SWITCH(J813,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13" s="1" cm="1">
        <f t="array" aca="1" ref="AA813" ca="1">IF(Y813&lt;DATE(2015,5,17),0,
K813*
(
INT((MIN(Y813,DATE(2018,9,23))-MAX(D813,DATE(2015,5,17)))/365)
+
CEILING(MOD((MIN(Y813,DATE(2018,9,23))-MAX(D813,DATE(2015,5,17)))/365,1),0.25)
)
*
_xlfn.SWITCH(J813,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13" s="1" cm="1">
        <f t="array" aca="1" ref="AB813" ca="1">IF(Y813&lt;DATE(2018,9,24),0,
IF(J813="زراعة",
K813*
(
INT((MIN(Y813,DATE(2023,4,30))-MAX(D813,DATE(2018,9,24)))/365)
+
CEILING(MOD((MIN(Y813,DATE(2023,4,30))-MAX(D813,DATE(2018,9,24)))/365,1),0.25)
)
*1,
K813*
(
DATEDIF(MAX(D813,DATE(2018,9,24)),MIN(Y813,DATE(2023,4,30)),"m")+1
)
*
_xlfn.SWITCH(J813,
"موقف/تندة",IF(D813&lt;DATE(2019,11,30),6,30),
"تشوينات",IF(D813&lt;DATE(2019,11,30),4,20),
"مشاتل",IF(D813&lt;DATE(2019,11,30),2,10),
"كافيتيريا",IF(D813&lt;DATE(2019,11,30),30,150),
"نوادي",IF(D813&lt;DATE(2019,11,30),6,30),
"رسو مراكب",IF(D813&lt;DATE(2019,11,30),2,10),
"مباني",IF(D813&lt;DATE(2018,9,24),2,10),
"عشش",IF(D813&lt;DATE(2019,11,30),2,10),
"كشك (تجاري/صناعي)",IF(D813&lt;DATE(2019,11,30),10,50),
"ردم",20,
0)))</f>
        <v>0</v>
      </c>
      <c r="AC813" s="1" cm="1">
        <f t="array" aca="1" ref="AC813" ca="1">IF(Y813&lt;DATE(2023,5,1),0,
IF(J813="زراعة",
K813*
(
INT((Y813-MAX(DATE(2023,5,1),D813))/365)
+
CEILING(MOD((Y813-MAX(DATE(2023,5,1),D813))/365,1),0.25)
)
*3,
IF(J813="ردم",
K813*20,
K813*
(
DATEDIF(MAX(DATE(2023,5,1),D813),Y813,"m")+1
)
*
_xlfn.SWITCH(J813,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13" s="1">
        <f t="shared" ca="1" si="79"/>
        <v>55</v>
      </c>
    </row>
    <row r="814" spans="1:30" ht="18.75" x14ac:dyDescent="0.25">
      <c r="A814" s="37">
        <v>749</v>
      </c>
      <c r="B814" s="63">
        <v>11</v>
      </c>
      <c r="C814" s="63">
        <v>2025</v>
      </c>
      <c r="D814" s="64" t="s">
        <v>964</v>
      </c>
      <c r="E814" s="11"/>
      <c r="F814" s="3"/>
      <c r="G814" s="63" t="s">
        <v>988</v>
      </c>
      <c r="H814" s="3"/>
      <c r="I814" s="63" t="s">
        <v>1092</v>
      </c>
      <c r="J814" s="3" t="s">
        <v>438</v>
      </c>
      <c r="K814" s="3"/>
      <c r="L814" s="3" t="s">
        <v>191</v>
      </c>
      <c r="M814" s="2"/>
      <c r="N814" s="3"/>
      <c r="O814" s="9">
        <f>0.47*Table2[[#This Row],[قيمة المحضر]]</f>
        <v>0</v>
      </c>
      <c r="P814" s="9">
        <f>0.17*Table2[[#This Row],[قيمة المحضر]]</f>
        <v>0</v>
      </c>
      <c r="Q814" s="9">
        <f t="shared" ca="1" si="83"/>
        <v>0</v>
      </c>
      <c r="R814" s="3"/>
      <c r="S814" s="3"/>
      <c r="T814" s="9" t="str">
        <f t="shared" si="84"/>
        <v>-</v>
      </c>
      <c r="U814" s="3"/>
      <c r="V814" s="9" t="str">
        <f t="shared" si="85"/>
        <v/>
      </c>
      <c r="W814" s="4"/>
      <c r="X814" s="88"/>
      <c r="Y814" s="1">
        <f t="shared" ca="1" si="78"/>
        <v>46162</v>
      </c>
      <c r="Z814" s="1" cm="1">
        <f t="array" ref="Z814">IF(D814&gt;DATE(2015,5,16),0,
K814*
(
INT((MIN(Y814,DATE(2015,5,16))-D814)/365)
+
CEILING(MOD((MIN(Y814,DATE(2015,5,16))-D814)/365,1),0.25)
)
*
_xlfn.SWITCH(J814,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14" s="1" cm="1">
        <f t="array" aca="1" ref="AA814" ca="1">IF(Y814&lt;DATE(2015,5,17),0,
K814*
(
INT((MIN(Y814,DATE(2018,9,23))-MAX(D814,DATE(2015,5,17)))/365)
+
CEILING(MOD((MIN(Y814,DATE(2018,9,23))-MAX(D814,DATE(2015,5,17)))/365,1),0.25)
)
*
_xlfn.SWITCH(J814,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14" s="1" cm="1">
        <f t="array" aca="1" ref="AB814" ca="1">IF(Y814&lt;DATE(2018,9,24),0,
IF(J814="زراعة",
K814*
(
INT((MIN(Y814,DATE(2023,4,30))-MAX(D814,DATE(2018,9,24)))/365)
+
CEILING(MOD((MIN(Y814,DATE(2023,4,30))-MAX(D814,DATE(2018,9,24)))/365,1),0.25)
)
*1,
K814*
(
DATEDIF(MAX(D814,DATE(2018,9,24)),MIN(Y814,DATE(2023,4,30)),"m")+1
)
*
_xlfn.SWITCH(J814,
"موقف/تندة",IF(D814&lt;DATE(2019,11,30),6,30),
"تشوينات",IF(D814&lt;DATE(2019,11,30),4,20),
"مشاتل",IF(D814&lt;DATE(2019,11,30),2,10),
"كافيتيريا",IF(D814&lt;DATE(2019,11,30),30,150),
"نوادي",IF(D814&lt;DATE(2019,11,30),6,30),
"رسو مراكب",IF(D814&lt;DATE(2019,11,30),2,10),
"مباني",IF(D814&lt;DATE(2018,9,24),2,10),
"عشش",IF(D814&lt;DATE(2019,11,30),2,10),
"كشك (تجاري/صناعي)",IF(D814&lt;DATE(2019,11,30),10,50),
"ردم",20,
0)))</f>
        <v>0</v>
      </c>
      <c r="AC814" s="1" cm="1">
        <f t="array" aca="1" ref="AC814" ca="1">IF(Y814&lt;DATE(2023,5,1),0,
IF(J814="زراعة",
K814*
(
INT((Y814-MAX(DATE(2023,5,1),D814))/365)
+
CEILING(MOD((Y814-MAX(DATE(2023,5,1),D814))/365,1),0.25)
)
*3,
IF(J814="ردم",
K814*20,
K814*
(
DATEDIF(MAX(DATE(2023,5,1),D814),Y814,"m")+1
)
*
_xlfn.SWITCH(J814,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14" s="1">
        <f t="shared" ca="1" si="79"/>
        <v>55</v>
      </c>
    </row>
    <row r="815" spans="1:30" ht="18.75" x14ac:dyDescent="0.25">
      <c r="A815" s="37">
        <v>750</v>
      </c>
      <c r="B815" s="63">
        <v>12</v>
      </c>
      <c r="C815" s="63">
        <v>2025</v>
      </c>
      <c r="D815" s="64" t="s">
        <v>965</v>
      </c>
      <c r="E815" s="11"/>
      <c r="F815" s="3"/>
      <c r="G815" s="63" t="s">
        <v>982</v>
      </c>
      <c r="H815" s="3"/>
      <c r="I815" s="63" t="s">
        <v>372</v>
      </c>
      <c r="J815" s="3" t="s">
        <v>27</v>
      </c>
      <c r="K815" s="3"/>
      <c r="L815" s="3" t="s">
        <v>191</v>
      </c>
      <c r="M815" s="2"/>
      <c r="N815" s="3"/>
      <c r="O815" s="9">
        <f>0.47*Table2[[#This Row],[قيمة المحضر]]</f>
        <v>0</v>
      </c>
      <c r="P815" s="9">
        <f>0.17*Table2[[#This Row],[قيمة المحضر]]</f>
        <v>0</v>
      </c>
      <c r="Q815" s="9">
        <f t="shared" ca="1" si="83"/>
        <v>0</v>
      </c>
      <c r="R815" s="3"/>
      <c r="S815" s="3"/>
      <c r="T815" s="9" t="str">
        <f t="shared" si="84"/>
        <v>-</v>
      </c>
      <c r="U815" s="3"/>
      <c r="V815" s="9" t="str">
        <f t="shared" si="85"/>
        <v/>
      </c>
      <c r="W815" s="4"/>
      <c r="X815" s="88"/>
      <c r="Y815" s="1">
        <f t="shared" ca="1" si="78"/>
        <v>46162</v>
      </c>
      <c r="Z815" s="1" cm="1">
        <f t="array" ref="Z815">IF(D815&gt;DATE(2015,5,16),0,
K815*
(
INT((MIN(Y815,DATE(2015,5,16))-D815)/365)
+
CEILING(MOD((MIN(Y815,DATE(2015,5,16))-D815)/365,1),0.25)
)
*
_xlfn.SWITCH(J815,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15" s="1" cm="1">
        <f t="array" aca="1" ref="AA815" ca="1">IF(Y815&lt;DATE(2015,5,17),0,
K815*
(
INT((MIN(Y815,DATE(2018,9,23))-MAX(D815,DATE(2015,5,17)))/365)
+
CEILING(MOD((MIN(Y815,DATE(2018,9,23))-MAX(D815,DATE(2015,5,17)))/365,1),0.25)
)
*
_xlfn.SWITCH(J815,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15" s="1" cm="1">
        <f t="array" aca="1" ref="AB815" ca="1">IF(Y815&lt;DATE(2018,9,24),0,
IF(J815="زراعة",
K815*
(
INT((MIN(Y815,DATE(2023,4,30))-MAX(D815,DATE(2018,9,24)))/365)
+
CEILING(MOD((MIN(Y815,DATE(2023,4,30))-MAX(D815,DATE(2018,9,24)))/365,1),0.25)
)
*1,
K815*
(
DATEDIF(MAX(D815,DATE(2018,9,24)),MIN(Y815,DATE(2023,4,30)),"m")+1
)
*
_xlfn.SWITCH(J815,
"موقف/تندة",IF(D815&lt;DATE(2019,11,30),6,30),
"تشوينات",IF(D815&lt;DATE(2019,11,30),4,20),
"مشاتل",IF(D815&lt;DATE(2019,11,30),2,10),
"كافيتيريا",IF(D815&lt;DATE(2019,11,30),30,150),
"نوادي",IF(D815&lt;DATE(2019,11,30),6,30),
"رسو مراكب",IF(D815&lt;DATE(2019,11,30),2,10),
"مباني",IF(D815&lt;DATE(2018,9,24),2,10),
"عشش",IF(D815&lt;DATE(2019,11,30),2,10),
"كشك (تجاري/صناعي)",IF(D815&lt;DATE(2019,11,30),10,50),
"ردم",20,
0)))</f>
        <v>0</v>
      </c>
      <c r="AC815" s="1" cm="1">
        <f t="array" aca="1" ref="AC815" ca="1">IF(Y815&lt;DATE(2023,5,1),0,
IF(J815="زراعة",
K815*
(
INT((Y815-MAX(DATE(2023,5,1),D815))/365)
+
CEILING(MOD((Y815-MAX(DATE(2023,5,1),D815))/365,1),0.25)
)
*3,
IF(J815="ردم",
K815*20,
K815*
(
DATEDIF(MAX(DATE(2023,5,1),D815),Y815,"m")+1
)
*
_xlfn.SWITCH(J815,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15" s="1">
        <f t="shared" ca="1" si="79"/>
        <v>55</v>
      </c>
    </row>
    <row r="816" spans="1:30" ht="18.75" x14ac:dyDescent="0.25">
      <c r="A816" s="37">
        <v>751</v>
      </c>
      <c r="B816" s="63">
        <v>13</v>
      </c>
      <c r="C816" s="63">
        <v>2025</v>
      </c>
      <c r="D816" s="64" t="s">
        <v>966</v>
      </c>
      <c r="E816" s="11"/>
      <c r="F816" s="3"/>
      <c r="G816" s="63" t="s">
        <v>989</v>
      </c>
      <c r="H816" s="3"/>
      <c r="I816" s="63" t="s">
        <v>33</v>
      </c>
      <c r="J816" s="3" t="s">
        <v>194</v>
      </c>
      <c r="K816" s="3"/>
      <c r="L816" s="3" t="s">
        <v>89</v>
      </c>
      <c r="M816" s="2"/>
      <c r="N816" s="3"/>
      <c r="O816" s="9">
        <f>0.47*Table2[[#This Row],[قيمة المحضر]]</f>
        <v>0</v>
      </c>
      <c r="P816" s="9">
        <f>0.17*Table2[[#This Row],[قيمة المحضر]]</f>
        <v>0</v>
      </c>
      <c r="Q816" s="9">
        <f t="shared" ca="1" si="83"/>
        <v>0</v>
      </c>
      <c r="R816" s="3"/>
      <c r="S816" s="3"/>
      <c r="T816" s="9" t="str">
        <f t="shared" si="84"/>
        <v>-</v>
      </c>
      <c r="U816" s="3"/>
      <c r="V816" s="9" t="str">
        <f t="shared" si="85"/>
        <v/>
      </c>
      <c r="W816" s="4"/>
      <c r="X816" s="88"/>
      <c r="Y816" s="1">
        <f t="shared" ca="1" si="78"/>
        <v>46162</v>
      </c>
      <c r="Z816" s="1" cm="1">
        <f t="array" ref="Z816">IF(D816&gt;DATE(2015,5,16),0,
K816*
(
INT((MIN(Y816,DATE(2015,5,16))-D816)/365)
+
CEILING(MOD((MIN(Y816,DATE(2015,5,16))-D816)/365,1),0.25)
)
*
_xlfn.SWITCH(J816,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16" s="1" cm="1">
        <f t="array" aca="1" ref="AA816" ca="1">IF(Y816&lt;DATE(2015,5,17),0,
K816*
(
INT((MIN(Y816,DATE(2018,9,23))-MAX(D816,DATE(2015,5,17)))/365)
+
CEILING(MOD((MIN(Y816,DATE(2018,9,23))-MAX(D816,DATE(2015,5,17)))/365,1),0.25)
)
*
_xlfn.SWITCH(J816,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16" s="1" cm="1">
        <f t="array" aca="1" ref="AB816" ca="1">IF(Y816&lt;DATE(2018,9,24),0,
IF(J816="زراعة",
K816*
(
INT((MIN(Y816,DATE(2023,4,30))-MAX(D816,DATE(2018,9,24)))/365)
+
CEILING(MOD((MIN(Y816,DATE(2023,4,30))-MAX(D816,DATE(2018,9,24)))/365,1),0.25)
)
*1,
K816*
(
DATEDIF(MAX(D816,DATE(2018,9,24)),MIN(Y816,DATE(2023,4,30)),"m")+1
)
*
_xlfn.SWITCH(J816,
"موقف/تندة",IF(D816&lt;DATE(2019,11,30),6,30),
"تشوينات",IF(D816&lt;DATE(2019,11,30),4,20),
"مشاتل",IF(D816&lt;DATE(2019,11,30),2,10),
"كافيتيريا",IF(D816&lt;DATE(2019,11,30),30,150),
"نوادي",IF(D816&lt;DATE(2019,11,30),6,30),
"رسو مراكب",IF(D816&lt;DATE(2019,11,30),2,10),
"مباني",IF(D816&lt;DATE(2018,9,24),2,10),
"عشش",IF(D816&lt;DATE(2019,11,30),2,10),
"كشك (تجاري/صناعي)",IF(D816&lt;DATE(2019,11,30),10,50),
"ردم",20,
0)))</f>
        <v>0</v>
      </c>
      <c r="AC816" s="1" cm="1">
        <f t="array" aca="1" ref="AC816" ca="1">IF(Y816&lt;DATE(2023,5,1),0,
IF(J816="زراعة",
K816*
(
INT((Y816-MAX(DATE(2023,5,1),D816))/365)
+
CEILING(MOD((Y816-MAX(DATE(2023,5,1),D816))/365,1),0.25)
)
*3,
IF(J816="ردم",
K816*20,
K816*
(
DATEDIF(MAX(DATE(2023,5,1),D816),Y816,"m")+1
)
*
_xlfn.SWITCH(J816,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16" s="1">
        <f t="shared" ca="1" si="79"/>
        <v>55</v>
      </c>
    </row>
    <row r="817" spans="1:30" ht="18.75" x14ac:dyDescent="0.25">
      <c r="A817" s="37">
        <v>752</v>
      </c>
      <c r="B817" s="63">
        <v>14</v>
      </c>
      <c r="C817" s="63">
        <v>2025</v>
      </c>
      <c r="D817" s="64" t="s">
        <v>967</v>
      </c>
      <c r="E817" s="11"/>
      <c r="F817" s="3"/>
      <c r="G817" s="63" t="s">
        <v>990</v>
      </c>
      <c r="H817" s="3"/>
      <c r="I817" s="63" t="s">
        <v>210</v>
      </c>
      <c r="J817" s="3" t="s">
        <v>194</v>
      </c>
      <c r="K817" s="3"/>
      <c r="L817" s="3" t="s">
        <v>88</v>
      </c>
      <c r="M817" s="2"/>
      <c r="N817" s="3"/>
      <c r="O817" s="9">
        <f>0.47*Table2[[#This Row],[قيمة المحضر]]</f>
        <v>0</v>
      </c>
      <c r="P817" s="9">
        <f>0.17*Table2[[#This Row],[قيمة المحضر]]</f>
        <v>0</v>
      </c>
      <c r="Q817" s="9">
        <f t="shared" ca="1" si="83"/>
        <v>0</v>
      </c>
      <c r="R817" s="3"/>
      <c r="S817" s="3"/>
      <c r="T817" s="9" t="str">
        <f t="shared" si="84"/>
        <v>-</v>
      </c>
      <c r="U817" s="3"/>
      <c r="V817" s="9" t="str">
        <f t="shared" si="85"/>
        <v/>
      </c>
      <c r="W817" s="4"/>
      <c r="X817" s="88"/>
      <c r="Y817" s="1">
        <f t="shared" ca="1" si="78"/>
        <v>46162</v>
      </c>
      <c r="Z817" s="1" cm="1">
        <f t="array" ref="Z817">IF(D817&gt;DATE(2015,5,16),0,
K817*
(
INT((MIN(Y817,DATE(2015,5,16))-D817)/365)
+
CEILING(MOD((MIN(Y817,DATE(2015,5,16))-D817)/365,1),0.25)
)
*
_xlfn.SWITCH(J817,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17" s="1" cm="1">
        <f t="array" aca="1" ref="AA817" ca="1">IF(Y817&lt;DATE(2015,5,17),0,
K817*
(
INT((MIN(Y817,DATE(2018,9,23))-MAX(D817,DATE(2015,5,17)))/365)
+
CEILING(MOD((MIN(Y817,DATE(2018,9,23))-MAX(D817,DATE(2015,5,17)))/365,1),0.25)
)
*
_xlfn.SWITCH(J817,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17" s="1" cm="1">
        <f t="array" aca="1" ref="AB817" ca="1">IF(Y817&lt;DATE(2018,9,24),0,
IF(J817="زراعة",
K817*
(
INT((MIN(Y817,DATE(2023,4,30))-MAX(D817,DATE(2018,9,24)))/365)
+
CEILING(MOD((MIN(Y817,DATE(2023,4,30))-MAX(D817,DATE(2018,9,24)))/365,1),0.25)
)
*1,
K817*
(
DATEDIF(MAX(D817,DATE(2018,9,24)),MIN(Y817,DATE(2023,4,30)),"m")+1
)
*
_xlfn.SWITCH(J817,
"موقف/تندة",IF(D817&lt;DATE(2019,11,30),6,30),
"تشوينات",IF(D817&lt;DATE(2019,11,30),4,20),
"مشاتل",IF(D817&lt;DATE(2019,11,30),2,10),
"كافيتيريا",IF(D817&lt;DATE(2019,11,30),30,150),
"نوادي",IF(D817&lt;DATE(2019,11,30),6,30),
"رسو مراكب",IF(D817&lt;DATE(2019,11,30),2,10),
"مباني",IF(D817&lt;DATE(2018,9,24),2,10),
"عشش",IF(D817&lt;DATE(2019,11,30),2,10),
"كشك (تجاري/صناعي)",IF(D817&lt;DATE(2019,11,30),10,50),
"ردم",20,
0)))</f>
        <v>0</v>
      </c>
      <c r="AC817" s="1" cm="1">
        <f t="array" aca="1" ref="AC817" ca="1">IF(Y817&lt;DATE(2023,5,1),0,
IF(J817="زراعة",
K817*
(
INT((Y817-MAX(DATE(2023,5,1),D817))/365)
+
CEILING(MOD((Y817-MAX(DATE(2023,5,1),D817))/365,1),0.25)
)
*3,
IF(J817="ردم",
K817*20,
K817*
(
DATEDIF(MAX(DATE(2023,5,1),D817),Y817,"m")+1
)
*
_xlfn.SWITCH(J817,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17" s="1">
        <f t="shared" ca="1" si="79"/>
        <v>55</v>
      </c>
    </row>
    <row r="818" spans="1:30" ht="18.75" x14ac:dyDescent="0.25">
      <c r="A818" s="37">
        <v>753</v>
      </c>
      <c r="B818" s="63">
        <v>15</v>
      </c>
      <c r="C818" s="63">
        <v>2025</v>
      </c>
      <c r="D818" s="64" t="s">
        <v>968</v>
      </c>
      <c r="E818" s="11"/>
      <c r="F818" s="3"/>
      <c r="G818" s="63" t="s">
        <v>991</v>
      </c>
      <c r="H818" s="3"/>
      <c r="I818" s="63" t="s">
        <v>105</v>
      </c>
      <c r="J818" s="3" t="s">
        <v>194</v>
      </c>
      <c r="K818" s="3"/>
      <c r="L818" s="3" t="s">
        <v>368</v>
      </c>
      <c r="M818" s="2"/>
      <c r="N818" s="3"/>
      <c r="O818" s="9">
        <f>0.47*Table2[[#This Row],[قيمة المحضر]]</f>
        <v>0</v>
      </c>
      <c r="P818" s="9">
        <f>0.17*Table2[[#This Row],[قيمة المحضر]]</f>
        <v>0</v>
      </c>
      <c r="Q818" s="9">
        <f t="shared" ca="1" si="83"/>
        <v>0</v>
      </c>
      <c r="R818" s="3"/>
      <c r="S818" s="3"/>
      <c r="T818" s="9" t="str">
        <f t="shared" si="84"/>
        <v>-</v>
      </c>
      <c r="U818" s="3"/>
      <c r="V818" s="9" t="str">
        <f t="shared" si="85"/>
        <v/>
      </c>
      <c r="W818" s="4"/>
      <c r="X818" s="88"/>
      <c r="Y818" s="1">
        <f t="shared" ca="1" si="78"/>
        <v>46162</v>
      </c>
      <c r="Z818" s="1" cm="1">
        <f t="array" ref="Z818">IF(D818&gt;DATE(2015,5,16),0,
K818*
(
INT((MIN(Y818,DATE(2015,5,16))-D818)/365)
+
CEILING(MOD((MIN(Y818,DATE(2015,5,16))-D818)/365,1),0.25)
)
*
_xlfn.SWITCH(J818,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18" s="1" cm="1">
        <f t="array" aca="1" ref="AA818" ca="1">IF(Y818&lt;DATE(2015,5,17),0,
K818*
(
INT((MIN(Y818,DATE(2018,9,23))-MAX(D818,DATE(2015,5,17)))/365)
+
CEILING(MOD((MIN(Y818,DATE(2018,9,23))-MAX(D818,DATE(2015,5,17)))/365,1),0.25)
)
*
_xlfn.SWITCH(J818,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18" s="1" cm="1">
        <f t="array" aca="1" ref="AB818" ca="1">IF(Y818&lt;DATE(2018,9,24),0,
IF(J818="زراعة",
K818*
(
INT((MIN(Y818,DATE(2023,4,30))-MAX(D818,DATE(2018,9,24)))/365)
+
CEILING(MOD((MIN(Y818,DATE(2023,4,30))-MAX(D818,DATE(2018,9,24)))/365,1),0.25)
)
*1,
K818*
(
DATEDIF(MAX(D818,DATE(2018,9,24)),MIN(Y818,DATE(2023,4,30)),"m")+1
)
*
_xlfn.SWITCH(J818,
"موقف/تندة",IF(D818&lt;DATE(2019,11,30),6,30),
"تشوينات",IF(D818&lt;DATE(2019,11,30),4,20),
"مشاتل",IF(D818&lt;DATE(2019,11,30),2,10),
"كافيتيريا",IF(D818&lt;DATE(2019,11,30),30,150),
"نوادي",IF(D818&lt;DATE(2019,11,30),6,30),
"رسو مراكب",IF(D818&lt;DATE(2019,11,30),2,10),
"مباني",IF(D818&lt;DATE(2018,9,24),2,10),
"عشش",IF(D818&lt;DATE(2019,11,30),2,10),
"كشك (تجاري/صناعي)",IF(D818&lt;DATE(2019,11,30),10,50),
"ردم",20,
0)))</f>
        <v>0</v>
      </c>
      <c r="AC818" s="1" cm="1">
        <f t="array" aca="1" ref="AC818" ca="1">IF(Y818&lt;DATE(2023,5,1),0,
IF(J818="زراعة",
K818*
(
INT((Y818-MAX(DATE(2023,5,1),D818))/365)
+
CEILING(MOD((Y818-MAX(DATE(2023,5,1),D818))/365,1),0.25)
)
*3,
IF(J818="ردم",
K818*20,
K818*
(
DATEDIF(MAX(DATE(2023,5,1),D818),Y818,"m")+1
)
*
_xlfn.SWITCH(J818,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18" s="1">
        <f t="shared" ca="1" si="79"/>
        <v>55</v>
      </c>
    </row>
    <row r="819" spans="1:30" ht="18.75" x14ac:dyDescent="0.25">
      <c r="A819" s="37">
        <v>754</v>
      </c>
      <c r="B819" s="63">
        <v>16</v>
      </c>
      <c r="C819" s="63">
        <v>2025</v>
      </c>
      <c r="D819" s="64" t="s">
        <v>969</v>
      </c>
      <c r="E819" s="11"/>
      <c r="F819" s="3"/>
      <c r="G819" s="63" t="s">
        <v>992</v>
      </c>
      <c r="H819" s="3"/>
      <c r="I819" s="63" t="s">
        <v>371</v>
      </c>
      <c r="J819" s="3" t="s">
        <v>194</v>
      </c>
      <c r="K819" s="3"/>
      <c r="L819" s="3" t="s">
        <v>191</v>
      </c>
      <c r="M819" s="2"/>
      <c r="N819" s="3"/>
      <c r="O819" s="9">
        <f>0.47*Table2[[#This Row],[قيمة المحضر]]</f>
        <v>0</v>
      </c>
      <c r="P819" s="9">
        <f>0.17*Table2[[#This Row],[قيمة المحضر]]</f>
        <v>0</v>
      </c>
      <c r="Q819" s="9">
        <f t="shared" ca="1" si="83"/>
        <v>0</v>
      </c>
      <c r="R819" s="3"/>
      <c r="S819" s="3"/>
      <c r="T819" s="9" t="str">
        <f t="shared" si="84"/>
        <v>-</v>
      </c>
      <c r="U819" s="3"/>
      <c r="V819" s="9" t="str">
        <f t="shared" si="85"/>
        <v/>
      </c>
      <c r="W819" s="4"/>
      <c r="X819" s="88"/>
      <c r="Y819" s="1">
        <f t="shared" ca="1" si="78"/>
        <v>46162</v>
      </c>
      <c r="Z819" s="1" cm="1">
        <f t="array" ref="Z819">IF(D819&gt;DATE(2015,5,16),0,
K819*
(
INT((MIN(Y819,DATE(2015,5,16))-D819)/365)
+
CEILING(MOD((MIN(Y819,DATE(2015,5,16))-D819)/365,1),0.25)
)
*
_xlfn.SWITCH(J819,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19" s="1" cm="1">
        <f t="array" aca="1" ref="AA819" ca="1">IF(Y819&lt;DATE(2015,5,17),0,
K819*
(
INT((MIN(Y819,DATE(2018,9,23))-MAX(D819,DATE(2015,5,17)))/365)
+
CEILING(MOD((MIN(Y819,DATE(2018,9,23))-MAX(D819,DATE(2015,5,17)))/365,1),0.25)
)
*
_xlfn.SWITCH(J819,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19" s="1" cm="1">
        <f t="array" aca="1" ref="AB819" ca="1">IF(Y819&lt;DATE(2018,9,24),0,
IF(J819="زراعة",
K819*
(
INT((MIN(Y819,DATE(2023,4,30))-MAX(D819,DATE(2018,9,24)))/365)
+
CEILING(MOD((MIN(Y819,DATE(2023,4,30))-MAX(D819,DATE(2018,9,24)))/365,1),0.25)
)
*1,
K819*
(
DATEDIF(MAX(D819,DATE(2018,9,24)),MIN(Y819,DATE(2023,4,30)),"m")+1
)
*
_xlfn.SWITCH(J819,
"موقف/تندة",IF(D819&lt;DATE(2019,11,30),6,30),
"تشوينات",IF(D819&lt;DATE(2019,11,30),4,20),
"مشاتل",IF(D819&lt;DATE(2019,11,30),2,10),
"كافيتيريا",IF(D819&lt;DATE(2019,11,30),30,150),
"نوادي",IF(D819&lt;DATE(2019,11,30),6,30),
"رسو مراكب",IF(D819&lt;DATE(2019,11,30),2,10),
"مباني",IF(D819&lt;DATE(2018,9,24),2,10),
"عشش",IF(D819&lt;DATE(2019,11,30),2,10),
"كشك (تجاري/صناعي)",IF(D819&lt;DATE(2019,11,30),10,50),
"ردم",20,
0)))</f>
        <v>0</v>
      </c>
      <c r="AC819" s="1" cm="1">
        <f t="array" aca="1" ref="AC819" ca="1">IF(Y819&lt;DATE(2023,5,1),0,
IF(J819="زراعة",
K819*
(
INT((Y819-MAX(DATE(2023,5,1),D819))/365)
+
CEILING(MOD((Y819-MAX(DATE(2023,5,1),D819))/365,1),0.25)
)
*3,
IF(J819="ردم",
K819*20,
K819*
(
DATEDIF(MAX(DATE(2023,5,1),D819),Y819,"m")+1
)
*
_xlfn.SWITCH(J819,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19" s="1">
        <f t="shared" ca="1" si="79"/>
        <v>55</v>
      </c>
    </row>
    <row r="820" spans="1:30" ht="18.75" x14ac:dyDescent="0.25">
      <c r="A820" s="37">
        <v>755</v>
      </c>
      <c r="B820" s="63">
        <v>17</v>
      </c>
      <c r="C820" s="63">
        <v>2025</v>
      </c>
      <c r="D820" s="64" t="s">
        <v>970</v>
      </c>
      <c r="E820" s="11"/>
      <c r="F820" s="3"/>
      <c r="G820" s="63" t="s">
        <v>993</v>
      </c>
      <c r="H820" s="3"/>
      <c r="I820" s="63" t="s">
        <v>377</v>
      </c>
      <c r="J820" s="3" t="s">
        <v>27</v>
      </c>
      <c r="K820" s="3"/>
      <c r="L820" s="3" t="s">
        <v>191</v>
      </c>
      <c r="M820" s="2"/>
      <c r="N820" s="3"/>
      <c r="O820" s="9">
        <f>0.47*Table2[[#This Row],[قيمة المحضر]]</f>
        <v>0</v>
      </c>
      <c r="P820" s="9">
        <f>0.17*Table2[[#This Row],[قيمة المحضر]]</f>
        <v>0</v>
      </c>
      <c r="Q820" s="9">
        <f t="shared" ca="1" si="83"/>
        <v>0</v>
      </c>
      <c r="R820" s="3"/>
      <c r="S820" s="3"/>
      <c r="T820" s="9" t="str">
        <f t="shared" si="84"/>
        <v>-</v>
      </c>
      <c r="U820" s="3"/>
      <c r="V820" s="9" t="str">
        <f t="shared" si="85"/>
        <v/>
      </c>
      <c r="W820" s="4"/>
      <c r="X820" s="88"/>
      <c r="Y820" s="1">
        <f t="shared" ca="1" si="78"/>
        <v>46162</v>
      </c>
      <c r="Z820" s="1" cm="1">
        <f t="array" ref="Z820">IF(D820&gt;DATE(2015,5,16),0,
K820*
(
INT((MIN(Y820,DATE(2015,5,16))-D820)/365)
+
CEILING(MOD((MIN(Y820,DATE(2015,5,16))-D820)/365,1),0.25)
)
*
_xlfn.SWITCH(J820,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20" s="1" cm="1">
        <f t="array" aca="1" ref="AA820" ca="1">IF(Y820&lt;DATE(2015,5,17),0,
K820*
(
INT((MIN(Y820,DATE(2018,9,23))-MAX(D820,DATE(2015,5,17)))/365)
+
CEILING(MOD((MIN(Y820,DATE(2018,9,23))-MAX(D820,DATE(2015,5,17)))/365,1),0.25)
)
*
_xlfn.SWITCH(J820,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20" s="1" cm="1">
        <f t="array" aca="1" ref="AB820" ca="1">IF(Y820&lt;DATE(2018,9,24),0,
IF(J820="زراعة",
K820*
(
INT((MIN(Y820,DATE(2023,4,30))-MAX(D820,DATE(2018,9,24)))/365)
+
CEILING(MOD((MIN(Y820,DATE(2023,4,30))-MAX(D820,DATE(2018,9,24)))/365,1),0.25)
)
*1,
K820*
(
DATEDIF(MAX(D820,DATE(2018,9,24)),MIN(Y820,DATE(2023,4,30)),"m")+1
)
*
_xlfn.SWITCH(J820,
"موقف/تندة",IF(D820&lt;DATE(2019,11,30),6,30),
"تشوينات",IF(D820&lt;DATE(2019,11,30),4,20),
"مشاتل",IF(D820&lt;DATE(2019,11,30),2,10),
"كافيتيريا",IF(D820&lt;DATE(2019,11,30),30,150),
"نوادي",IF(D820&lt;DATE(2019,11,30),6,30),
"رسو مراكب",IF(D820&lt;DATE(2019,11,30),2,10),
"مباني",IF(D820&lt;DATE(2018,9,24),2,10),
"عشش",IF(D820&lt;DATE(2019,11,30),2,10),
"كشك (تجاري/صناعي)",IF(D820&lt;DATE(2019,11,30),10,50),
"ردم",20,
0)))</f>
        <v>0</v>
      </c>
      <c r="AC820" s="1" cm="1">
        <f t="array" aca="1" ref="AC820" ca="1">IF(Y820&lt;DATE(2023,5,1),0,
IF(J820="زراعة",
K820*
(
INT((Y820-MAX(DATE(2023,5,1),D820))/365)
+
CEILING(MOD((Y820-MAX(DATE(2023,5,1),D820))/365,1),0.25)
)
*3,
IF(J820="ردم",
K820*20,
K820*
(
DATEDIF(MAX(DATE(2023,5,1),D820),Y820,"m")+1
)
*
_xlfn.SWITCH(J820,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20" s="1">
        <f t="shared" ca="1" si="79"/>
        <v>55</v>
      </c>
    </row>
    <row r="821" spans="1:30" ht="18.75" x14ac:dyDescent="0.25">
      <c r="A821" s="37">
        <v>756</v>
      </c>
      <c r="B821" s="63">
        <v>18</v>
      </c>
      <c r="C821" s="63">
        <v>2025</v>
      </c>
      <c r="D821" s="64" t="s">
        <v>971</v>
      </c>
      <c r="E821" s="11"/>
      <c r="F821" s="3"/>
      <c r="G821" s="63" t="s">
        <v>994</v>
      </c>
      <c r="H821" s="3"/>
      <c r="I821" s="63" t="s">
        <v>50</v>
      </c>
      <c r="J821" s="3" t="s">
        <v>27</v>
      </c>
      <c r="K821" s="3"/>
      <c r="L821" s="3" t="s">
        <v>672</v>
      </c>
      <c r="M821" s="2"/>
      <c r="N821" s="3"/>
      <c r="O821" s="9">
        <f>0.47*Table2[[#This Row],[قيمة المحضر]]</f>
        <v>0</v>
      </c>
      <c r="P821" s="9">
        <f>0.17*Table2[[#This Row],[قيمة المحضر]]</f>
        <v>0</v>
      </c>
      <c r="Q821" s="9">
        <f t="shared" ca="1" si="83"/>
        <v>0</v>
      </c>
      <c r="R821" s="3"/>
      <c r="S821" s="3"/>
      <c r="T821" s="9" t="str">
        <f t="shared" si="84"/>
        <v>-</v>
      </c>
      <c r="U821" s="3"/>
      <c r="V821" s="9" t="str">
        <f t="shared" si="85"/>
        <v/>
      </c>
      <c r="W821" s="4"/>
      <c r="X821" s="88"/>
      <c r="Y821" s="1">
        <f t="shared" ca="1" si="78"/>
        <v>46162</v>
      </c>
      <c r="Z821" s="1" cm="1">
        <f t="array" ref="Z821">IF(D821&gt;DATE(2015,5,16),0,
K821*
(
INT((MIN(Y821,DATE(2015,5,16))-D821)/365)
+
CEILING(MOD((MIN(Y821,DATE(2015,5,16))-D821)/365,1),0.25)
)
*
_xlfn.SWITCH(J821,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21" s="1" cm="1">
        <f t="array" aca="1" ref="AA821" ca="1">IF(Y821&lt;DATE(2015,5,17),0,
K821*
(
INT((MIN(Y821,DATE(2018,9,23))-MAX(D821,DATE(2015,5,17)))/365)
+
CEILING(MOD((MIN(Y821,DATE(2018,9,23))-MAX(D821,DATE(2015,5,17)))/365,1),0.25)
)
*
_xlfn.SWITCH(J821,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21" s="1" cm="1">
        <f t="array" aca="1" ref="AB821" ca="1">IF(Y821&lt;DATE(2018,9,24),0,
IF(J821="زراعة",
K821*
(
INT((MIN(Y821,DATE(2023,4,30))-MAX(D821,DATE(2018,9,24)))/365)
+
CEILING(MOD((MIN(Y821,DATE(2023,4,30))-MAX(D821,DATE(2018,9,24)))/365,1),0.25)
)
*1,
K821*
(
DATEDIF(MAX(D821,DATE(2018,9,24)),MIN(Y821,DATE(2023,4,30)),"m")+1
)
*
_xlfn.SWITCH(J821,
"موقف/تندة",IF(D821&lt;DATE(2019,11,30),6,30),
"تشوينات",IF(D821&lt;DATE(2019,11,30),4,20),
"مشاتل",IF(D821&lt;DATE(2019,11,30),2,10),
"كافيتيريا",IF(D821&lt;DATE(2019,11,30),30,150),
"نوادي",IF(D821&lt;DATE(2019,11,30),6,30),
"رسو مراكب",IF(D821&lt;DATE(2019,11,30),2,10),
"مباني",IF(D821&lt;DATE(2018,9,24),2,10),
"عشش",IF(D821&lt;DATE(2019,11,30),2,10),
"كشك (تجاري/صناعي)",IF(D821&lt;DATE(2019,11,30),10,50),
"ردم",20,
0)))</f>
        <v>0</v>
      </c>
      <c r="AC821" s="1" cm="1">
        <f t="array" aca="1" ref="AC821" ca="1">IF(Y821&lt;DATE(2023,5,1),0,
IF(J821="زراعة",
K821*
(
INT((Y821-MAX(DATE(2023,5,1),D821))/365)
+
CEILING(MOD((Y821-MAX(DATE(2023,5,1),D821))/365,1),0.25)
)
*3,
IF(J821="ردم",
K821*20,
K821*
(
DATEDIF(MAX(DATE(2023,5,1),D821),Y821,"m")+1
)
*
_xlfn.SWITCH(J821,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21" s="1">
        <f t="shared" ca="1" si="79"/>
        <v>55</v>
      </c>
    </row>
    <row r="822" spans="1:30" ht="18.75" x14ac:dyDescent="0.25">
      <c r="A822" s="37">
        <v>757</v>
      </c>
      <c r="B822" s="63">
        <v>19</v>
      </c>
      <c r="C822" s="63">
        <v>2025</v>
      </c>
      <c r="D822" s="64" t="s">
        <v>971</v>
      </c>
      <c r="E822" s="11"/>
      <c r="F822" s="3"/>
      <c r="G822" s="63" t="s">
        <v>995</v>
      </c>
      <c r="H822" s="3"/>
      <c r="I822" s="63" t="s">
        <v>50</v>
      </c>
      <c r="J822" s="3" t="s">
        <v>27</v>
      </c>
      <c r="K822" s="3"/>
      <c r="L822" s="3" t="s">
        <v>672</v>
      </c>
      <c r="M822" s="2"/>
      <c r="N822" s="3"/>
      <c r="O822" s="9">
        <f>0.47*Table2[[#This Row],[قيمة المحضر]]</f>
        <v>0</v>
      </c>
      <c r="P822" s="9">
        <f>0.17*Table2[[#This Row],[قيمة المحضر]]</f>
        <v>0</v>
      </c>
      <c r="Q822" s="9">
        <f t="shared" ca="1" si="83"/>
        <v>0</v>
      </c>
      <c r="R822" s="3"/>
      <c r="S822" s="3"/>
      <c r="T822" s="9" t="str">
        <f t="shared" si="84"/>
        <v>-</v>
      </c>
      <c r="U822" s="3"/>
      <c r="V822" s="9" t="str">
        <f t="shared" si="85"/>
        <v/>
      </c>
      <c r="W822" s="4"/>
      <c r="X822" s="88"/>
      <c r="Y822" s="1">
        <f t="shared" ca="1" si="78"/>
        <v>46162</v>
      </c>
      <c r="Z822" s="1" cm="1">
        <f t="array" ref="Z822">IF(D822&gt;DATE(2015,5,16),0,
K822*
(
INT((MIN(Y822,DATE(2015,5,16))-D822)/365)
+
CEILING(MOD((MIN(Y822,DATE(2015,5,16))-D822)/365,1),0.25)
)
*
_xlfn.SWITCH(J822,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22" s="1" cm="1">
        <f t="array" aca="1" ref="AA822" ca="1">IF(Y822&lt;DATE(2015,5,17),0,
K822*
(
INT((MIN(Y822,DATE(2018,9,23))-MAX(D822,DATE(2015,5,17)))/365)
+
CEILING(MOD((MIN(Y822,DATE(2018,9,23))-MAX(D822,DATE(2015,5,17)))/365,1),0.25)
)
*
_xlfn.SWITCH(J822,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22" s="1" cm="1">
        <f t="array" aca="1" ref="AB822" ca="1">IF(Y822&lt;DATE(2018,9,24),0,
IF(J822="زراعة",
K822*
(
INT((MIN(Y822,DATE(2023,4,30))-MAX(D822,DATE(2018,9,24)))/365)
+
CEILING(MOD((MIN(Y822,DATE(2023,4,30))-MAX(D822,DATE(2018,9,24)))/365,1),0.25)
)
*1,
K822*
(
DATEDIF(MAX(D822,DATE(2018,9,24)),MIN(Y822,DATE(2023,4,30)),"m")+1
)
*
_xlfn.SWITCH(J822,
"موقف/تندة",IF(D822&lt;DATE(2019,11,30),6,30),
"تشوينات",IF(D822&lt;DATE(2019,11,30),4,20),
"مشاتل",IF(D822&lt;DATE(2019,11,30),2,10),
"كافيتيريا",IF(D822&lt;DATE(2019,11,30),30,150),
"نوادي",IF(D822&lt;DATE(2019,11,30),6,30),
"رسو مراكب",IF(D822&lt;DATE(2019,11,30),2,10),
"مباني",IF(D822&lt;DATE(2018,9,24),2,10),
"عشش",IF(D822&lt;DATE(2019,11,30),2,10),
"كشك (تجاري/صناعي)",IF(D822&lt;DATE(2019,11,30),10,50),
"ردم",20,
0)))</f>
        <v>0</v>
      </c>
      <c r="AC822" s="1" cm="1">
        <f t="array" aca="1" ref="AC822" ca="1">IF(Y822&lt;DATE(2023,5,1),0,
IF(J822="زراعة",
K822*
(
INT((Y822-MAX(DATE(2023,5,1),D822))/365)
+
CEILING(MOD((Y822-MAX(DATE(2023,5,1),D822))/365,1),0.25)
)
*3,
IF(J822="ردم",
K822*20,
K822*
(
DATEDIF(MAX(DATE(2023,5,1),D822),Y822,"m")+1
)
*
_xlfn.SWITCH(J822,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22" s="1">
        <f t="shared" ca="1" si="79"/>
        <v>55</v>
      </c>
    </row>
    <row r="823" spans="1:30" ht="18.75" x14ac:dyDescent="0.25">
      <c r="A823" s="37">
        <v>758</v>
      </c>
      <c r="B823" s="63">
        <v>20</v>
      </c>
      <c r="C823" s="63">
        <v>2025</v>
      </c>
      <c r="D823" s="64" t="s">
        <v>971</v>
      </c>
      <c r="E823" s="11"/>
      <c r="F823" s="3"/>
      <c r="G823" s="63" t="s">
        <v>996</v>
      </c>
      <c r="H823" s="3"/>
      <c r="I823" s="63" t="s">
        <v>50</v>
      </c>
      <c r="J823" s="3" t="s">
        <v>27</v>
      </c>
      <c r="K823" s="3"/>
      <c r="L823" s="3" t="s">
        <v>672</v>
      </c>
      <c r="M823" s="2"/>
      <c r="N823" s="3"/>
      <c r="O823" s="9">
        <f>0.47*Table2[[#This Row],[قيمة المحضر]]</f>
        <v>0</v>
      </c>
      <c r="P823" s="9">
        <f>0.17*Table2[[#This Row],[قيمة المحضر]]</f>
        <v>0</v>
      </c>
      <c r="Q823" s="9">
        <f t="shared" ca="1" si="83"/>
        <v>0</v>
      </c>
      <c r="R823" s="3"/>
      <c r="S823" s="3"/>
      <c r="T823" s="9" t="str">
        <f t="shared" si="84"/>
        <v>-</v>
      </c>
      <c r="U823" s="3"/>
      <c r="V823" s="9" t="str">
        <f t="shared" si="85"/>
        <v/>
      </c>
      <c r="W823" s="4"/>
      <c r="X823" s="88"/>
      <c r="Y823" s="1">
        <f t="shared" ca="1" si="78"/>
        <v>46162</v>
      </c>
      <c r="Z823" s="1" cm="1">
        <f t="array" ref="Z823">IF(D823&gt;DATE(2015,5,16),0,
K823*
(
INT((MIN(Y823,DATE(2015,5,16))-D823)/365)
+
CEILING(MOD((MIN(Y823,DATE(2015,5,16))-D823)/365,1),0.25)
)
*
_xlfn.SWITCH(J823,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23" s="1" cm="1">
        <f t="array" aca="1" ref="AA823" ca="1">IF(Y823&lt;DATE(2015,5,17),0,
K823*
(
INT((MIN(Y823,DATE(2018,9,23))-MAX(D823,DATE(2015,5,17)))/365)
+
CEILING(MOD((MIN(Y823,DATE(2018,9,23))-MAX(D823,DATE(2015,5,17)))/365,1),0.25)
)
*
_xlfn.SWITCH(J823,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23" s="1" cm="1">
        <f t="array" aca="1" ref="AB823" ca="1">IF(Y823&lt;DATE(2018,9,24),0,
IF(J823="زراعة",
K823*
(
INT((MIN(Y823,DATE(2023,4,30))-MAX(D823,DATE(2018,9,24)))/365)
+
CEILING(MOD((MIN(Y823,DATE(2023,4,30))-MAX(D823,DATE(2018,9,24)))/365,1),0.25)
)
*1,
K823*
(
DATEDIF(MAX(D823,DATE(2018,9,24)),MIN(Y823,DATE(2023,4,30)),"m")+1
)
*
_xlfn.SWITCH(J823,
"موقف/تندة",IF(D823&lt;DATE(2019,11,30),6,30),
"تشوينات",IF(D823&lt;DATE(2019,11,30),4,20),
"مشاتل",IF(D823&lt;DATE(2019,11,30),2,10),
"كافيتيريا",IF(D823&lt;DATE(2019,11,30),30,150),
"نوادي",IF(D823&lt;DATE(2019,11,30),6,30),
"رسو مراكب",IF(D823&lt;DATE(2019,11,30),2,10),
"مباني",IF(D823&lt;DATE(2018,9,24),2,10),
"عشش",IF(D823&lt;DATE(2019,11,30),2,10),
"كشك (تجاري/صناعي)",IF(D823&lt;DATE(2019,11,30),10,50),
"ردم",20,
0)))</f>
        <v>0</v>
      </c>
      <c r="AC823" s="1" cm="1">
        <f t="array" aca="1" ref="AC823" ca="1">IF(Y823&lt;DATE(2023,5,1),0,
IF(J823="زراعة",
K823*
(
INT((Y823-MAX(DATE(2023,5,1),D823))/365)
+
CEILING(MOD((Y823-MAX(DATE(2023,5,1),D823))/365,1),0.25)
)
*3,
IF(J823="ردم",
K823*20,
K823*
(
DATEDIF(MAX(DATE(2023,5,1),D823),Y823,"m")+1
)
*
_xlfn.SWITCH(J823,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23" s="1">
        <f t="shared" ca="1" si="79"/>
        <v>55</v>
      </c>
    </row>
    <row r="824" spans="1:30" ht="18.75" x14ac:dyDescent="0.25">
      <c r="A824" s="37">
        <v>759</v>
      </c>
      <c r="B824" s="63">
        <v>21</v>
      </c>
      <c r="C824" s="63">
        <v>2025</v>
      </c>
      <c r="D824" s="64" t="s">
        <v>971</v>
      </c>
      <c r="E824" s="11"/>
      <c r="F824" s="3"/>
      <c r="G824" s="63" t="s">
        <v>997</v>
      </c>
      <c r="H824" s="3"/>
      <c r="I824" s="63" t="s">
        <v>50</v>
      </c>
      <c r="J824" s="3" t="s">
        <v>27</v>
      </c>
      <c r="K824" s="3"/>
      <c r="L824" s="3" t="s">
        <v>672</v>
      </c>
      <c r="M824" s="2"/>
      <c r="N824" s="3"/>
      <c r="O824" s="9">
        <f>0.47*Table2[[#This Row],[قيمة المحضر]]</f>
        <v>0</v>
      </c>
      <c r="P824" s="9">
        <f>0.17*Table2[[#This Row],[قيمة المحضر]]</f>
        <v>0</v>
      </c>
      <c r="Q824" s="9">
        <f t="shared" ca="1" si="83"/>
        <v>0</v>
      </c>
      <c r="R824" s="3"/>
      <c r="S824" s="3"/>
      <c r="T824" s="9" t="str">
        <f t="shared" si="84"/>
        <v>-</v>
      </c>
      <c r="U824" s="3"/>
      <c r="V824" s="9" t="str">
        <f t="shared" si="85"/>
        <v/>
      </c>
      <c r="W824" s="4"/>
      <c r="X824" s="88"/>
      <c r="Y824" s="1">
        <f t="shared" ca="1" si="78"/>
        <v>46162</v>
      </c>
      <c r="Z824" s="1" cm="1">
        <f t="array" ref="Z824">IF(D824&gt;DATE(2015,5,16),0,
K824*
(
INT((MIN(Y824,DATE(2015,5,16))-D824)/365)
+
CEILING(MOD((MIN(Y824,DATE(2015,5,16))-D824)/365,1),0.25)
)
*
_xlfn.SWITCH(J824,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24" s="1" cm="1">
        <f t="array" aca="1" ref="AA824" ca="1">IF(Y824&lt;DATE(2015,5,17),0,
K824*
(
INT((MIN(Y824,DATE(2018,9,23))-MAX(D824,DATE(2015,5,17)))/365)
+
CEILING(MOD((MIN(Y824,DATE(2018,9,23))-MAX(D824,DATE(2015,5,17)))/365,1),0.25)
)
*
_xlfn.SWITCH(J824,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24" s="1" cm="1">
        <f t="array" aca="1" ref="AB824" ca="1">IF(Y824&lt;DATE(2018,9,24),0,
IF(J824="زراعة",
K824*
(
INT((MIN(Y824,DATE(2023,4,30))-MAX(D824,DATE(2018,9,24)))/365)
+
CEILING(MOD((MIN(Y824,DATE(2023,4,30))-MAX(D824,DATE(2018,9,24)))/365,1),0.25)
)
*1,
K824*
(
DATEDIF(MAX(D824,DATE(2018,9,24)),MIN(Y824,DATE(2023,4,30)),"m")+1
)
*
_xlfn.SWITCH(J824,
"موقف/تندة",IF(D824&lt;DATE(2019,11,30),6,30),
"تشوينات",IF(D824&lt;DATE(2019,11,30),4,20),
"مشاتل",IF(D824&lt;DATE(2019,11,30),2,10),
"كافيتيريا",IF(D824&lt;DATE(2019,11,30),30,150),
"نوادي",IF(D824&lt;DATE(2019,11,30),6,30),
"رسو مراكب",IF(D824&lt;DATE(2019,11,30),2,10),
"مباني",IF(D824&lt;DATE(2018,9,24),2,10),
"عشش",IF(D824&lt;DATE(2019,11,30),2,10),
"كشك (تجاري/صناعي)",IF(D824&lt;DATE(2019,11,30),10,50),
"ردم",20,
0)))</f>
        <v>0</v>
      </c>
      <c r="AC824" s="1" cm="1">
        <f t="array" aca="1" ref="AC824" ca="1">IF(Y824&lt;DATE(2023,5,1),0,
IF(J824="زراعة",
K824*
(
INT((Y824-MAX(DATE(2023,5,1),D824))/365)
+
CEILING(MOD((Y824-MAX(DATE(2023,5,1),D824))/365,1),0.25)
)
*3,
IF(J824="ردم",
K824*20,
K824*
(
DATEDIF(MAX(DATE(2023,5,1),D824),Y824,"m")+1
)
*
_xlfn.SWITCH(J824,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24" s="1">
        <f t="shared" ca="1" si="79"/>
        <v>55</v>
      </c>
    </row>
    <row r="825" spans="1:30" ht="18.75" x14ac:dyDescent="0.25">
      <c r="A825" s="37">
        <v>760</v>
      </c>
      <c r="B825" s="63">
        <v>22</v>
      </c>
      <c r="C825" s="63">
        <v>2025</v>
      </c>
      <c r="D825" s="64" t="s">
        <v>971</v>
      </c>
      <c r="E825" s="11"/>
      <c r="F825" s="3"/>
      <c r="G825" s="63" t="s">
        <v>998</v>
      </c>
      <c r="H825" s="3"/>
      <c r="I825" s="63" t="s">
        <v>50</v>
      </c>
      <c r="J825" s="3" t="s">
        <v>27</v>
      </c>
      <c r="K825" s="3"/>
      <c r="L825" s="3" t="s">
        <v>672</v>
      </c>
      <c r="M825" s="2"/>
      <c r="N825" s="3"/>
      <c r="O825" s="9">
        <f>0.47*Table2[[#This Row],[قيمة المحضر]]</f>
        <v>0</v>
      </c>
      <c r="P825" s="9">
        <f>0.17*Table2[[#This Row],[قيمة المحضر]]</f>
        <v>0</v>
      </c>
      <c r="Q825" s="9">
        <f t="shared" ca="1" si="83"/>
        <v>0</v>
      </c>
      <c r="R825" s="3"/>
      <c r="S825" s="3"/>
      <c r="T825" s="9" t="str">
        <f t="shared" si="84"/>
        <v>-</v>
      </c>
      <c r="U825" s="3"/>
      <c r="V825" s="9" t="str">
        <f t="shared" si="85"/>
        <v/>
      </c>
      <c r="W825" s="4"/>
      <c r="X825" s="88"/>
      <c r="Y825" s="1">
        <f t="shared" ca="1" si="78"/>
        <v>46162</v>
      </c>
      <c r="Z825" s="1" cm="1">
        <f t="array" ref="Z825">IF(D825&gt;DATE(2015,5,16),0,
K825*
(
INT((MIN(Y825,DATE(2015,5,16))-D825)/365)
+
CEILING(MOD((MIN(Y825,DATE(2015,5,16))-D825)/365,1),0.25)
)
*
_xlfn.SWITCH(J825,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25" s="1" cm="1">
        <f t="array" aca="1" ref="AA825" ca="1">IF(Y825&lt;DATE(2015,5,17),0,
K825*
(
INT((MIN(Y825,DATE(2018,9,23))-MAX(D825,DATE(2015,5,17)))/365)
+
CEILING(MOD((MIN(Y825,DATE(2018,9,23))-MAX(D825,DATE(2015,5,17)))/365,1),0.25)
)
*
_xlfn.SWITCH(J825,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25" s="1" cm="1">
        <f t="array" aca="1" ref="AB825" ca="1">IF(Y825&lt;DATE(2018,9,24),0,
IF(J825="زراعة",
K825*
(
INT((MIN(Y825,DATE(2023,4,30))-MAX(D825,DATE(2018,9,24)))/365)
+
CEILING(MOD((MIN(Y825,DATE(2023,4,30))-MAX(D825,DATE(2018,9,24)))/365,1),0.25)
)
*1,
K825*
(
DATEDIF(MAX(D825,DATE(2018,9,24)),MIN(Y825,DATE(2023,4,30)),"m")+1
)
*
_xlfn.SWITCH(J825,
"موقف/تندة",IF(D825&lt;DATE(2019,11,30),6,30),
"تشوينات",IF(D825&lt;DATE(2019,11,30),4,20),
"مشاتل",IF(D825&lt;DATE(2019,11,30),2,10),
"كافيتيريا",IF(D825&lt;DATE(2019,11,30),30,150),
"نوادي",IF(D825&lt;DATE(2019,11,30),6,30),
"رسو مراكب",IF(D825&lt;DATE(2019,11,30),2,10),
"مباني",IF(D825&lt;DATE(2018,9,24),2,10),
"عشش",IF(D825&lt;DATE(2019,11,30),2,10),
"كشك (تجاري/صناعي)",IF(D825&lt;DATE(2019,11,30),10,50),
"ردم",20,
0)))</f>
        <v>0</v>
      </c>
      <c r="AC825" s="1" cm="1">
        <f t="array" aca="1" ref="AC825" ca="1">IF(Y825&lt;DATE(2023,5,1),0,
IF(J825="زراعة",
K825*
(
INT((Y825-MAX(DATE(2023,5,1),D825))/365)
+
CEILING(MOD((Y825-MAX(DATE(2023,5,1),D825))/365,1),0.25)
)
*3,
IF(J825="ردم",
K825*20,
K825*
(
DATEDIF(MAX(DATE(2023,5,1),D825),Y825,"m")+1
)
*
_xlfn.SWITCH(J825,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25" s="1">
        <f t="shared" ca="1" si="79"/>
        <v>55</v>
      </c>
    </row>
    <row r="826" spans="1:30" ht="18.75" x14ac:dyDescent="0.25">
      <c r="A826" s="37">
        <v>761</v>
      </c>
      <c r="B826" s="63">
        <v>23</v>
      </c>
      <c r="C826" s="63">
        <v>2025</v>
      </c>
      <c r="D826" s="64" t="s">
        <v>971</v>
      </c>
      <c r="E826" s="11"/>
      <c r="F826" s="3"/>
      <c r="G826" s="63" t="s">
        <v>742</v>
      </c>
      <c r="H826" s="3"/>
      <c r="I826" s="63" t="s">
        <v>50</v>
      </c>
      <c r="J826" s="3" t="s">
        <v>27</v>
      </c>
      <c r="K826" s="3"/>
      <c r="L826" s="3" t="s">
        <v>672</v>
      </c>
      <c r="M826" s="2"/>
      <c r="N826" s="3"/>
      <c r="O826" s="9">
        <f>0.47*Table2[[#This Row],[قيمة المحضر]]</f>
        <v>0</v>
      </c>
      <c r="P826" s="9">
        <f>0.17*Table2[[#This Row],[قيمة المحضر]]</f>
        <v>0</v>
      </c>
      <c r="Q826" s="9">
        <f t="shared" ca="1" si="83"/>
        <v>0</v>
      </c>
      <c r="R826" s="3"/>
      <c r="S826" s="3"/>
      <c r="T826" s="9" t="str">
        <f t="shared" si="84"/>
        <v>-</v>
      </c>
      <c r="U826" s="3"/>
      <c r="V826" s="9" t="str">
        <f t="shared" si="85"/>
        <v/>
      </c>
      <c r="W826" s="4"/>
      <c r="X826" s="88"/>
      <c r="Y826" s="1">
        <f t="shared" ca="1" si="78"/>
        <v>46162</v>
      </c>
      <c r="Z826" s="1" cm="1">
        <f t="array" ref="Z826">IF(D826&gt;DATE(2015,5,16),0,
K826*
(
INT((MIN(Y826,DATE(2015,5,16))-D826)/365)
+
CEILING(MOD((MIN(Y826,DATE(2015,5,16))-D826)/365,1),0.25)
)
*
_xlfn.SWITCH(J826,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26" s="1" cm="1">
        <f t="array" aca="1" ref="AA826" ca="1">IF(Y826&lt;DATE(2015,5,17),0,
K826*
(
INT((MIN(Y826,DATE(2018,9,23))-MAX(D826,DATE(2015,5,17)))/365)
+
CEILING(MOD((MIN(Y826,DATE(2018,9,23))-MAX(D826,DATE(2015,5,17)))/365,1),0.25)
)
*
_xlfn.SWITCH(J826,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26" s="1" cm="1">
        <f t="array" aca="1" ref="AB826" ca="1">IF(Y826&lt;DATE(2018,9,24),0,
IF(J826="زراعة",
K826*
(
INT((MIN(Y826,DATE(2023,4,30))-MAX(D826,DATE(2018,9,24)))/365)
+
CEILING(MOD((MIN(Y826,DATE(2023,4,30))-MAX(D826,DATE(2018,9,24)))/365,1),0.25)
)
*1,
K826*
(
DATEDIF(MAX(D826,DATE(2018,9,24)),MIN(Y826,DATE(2023,4,30)),"m")+1
)
*
_xlfn.SWITCH(J826,
"موقف/تندة",IF(D826&lt;DATE(2019,11,30),6,30),
"تشوينات",IF(D826&lt;DATE(2019,11,30),4,20),
"مشاتل",IF(D826&lt;DATE(2019,11,30),2,10),
"كافيتيريا",IF(D826&lt;DATE(2019,11,30),30,150),
"نوادي",IF(D826&lt;DATE(2019,11,30),6,30),
"رسو مراكب",IF(D826&lt;DATE(2019,11,30),2,10),
"مباني",IF(D826&lt;DATE(2018,9,24),2,10),
"عشش",IF(D826&lt;DATE(2019,11,30),2,10),
"كشك (تجاري/صناعي)",IF(D826&lt;DATE(2019,11,30),10,50),
"ردم",20,
0)))</f>
        <v>0</v>
      </c>
      <c r="AC826" s="1" cm="1">
        <f t="array" aca="1" ref="AC826" ca="1">IF(Y826&lt;DATE(2023,5,1),0,
IF(J826="زراعة",
K826*
(
INT((Y826-MAX(DATE(2023,5,1),D826))/365)
+
CEILING(MOD((Y826-MAX(DATE(2023,5,1),D826))/365,1),0.25)
)
*3,
IF(J826="ردم",
K826*20,
K826*
(
DATEDIF(MAX(DATE(2023,5,1),D826),Y826,"m")+1
)
*
_xlfn.SWITCH(J826,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26" s="1">
        <f t="shared" ca="1" si="79"/>
        <v>55</v>
      </c>
    </row>
    <row r="827" spans="1:30" ht="18.75" x14ac:dyDescent="0.25">
      <c r="A827" s="37">
        <v>762</v>
      </c>
      <c r="B827" s="63">
        <v>24</v>
      </c>
      <c r="C827" s="63">
        <v>2025</v>
      </c>
      <c r="D827" s="64" t="s">
        <v>971</v>
      </c>
      <c r="E827" s="11"/>
      <c r="F827" s="3"/>
      <c r="G827" s="63" t="s">
        <v>999</v>
      </c>
      <c r="H827" s="3"/>
      <c r="I827" s="63" t="s">
        <v>50</v>
      </c>
      <c r="J827" s="3" t="s">
        <v>27</v>
      </c>
      <c r="K827" s="3"/>
      <c r="L827" s="3" t="s">
        <v>672</v>
      </c>
      <c r="M827" s="2"/>
      <c r="N827" s="3"/>
      <c r="O827" s="9">
        <f>0.47*Table2[[#This Row],[قيمة المحضر]]</f>
        <v>0</v>
      </c>
      <c r="P827" s="9">
        <f>0.17*Table2[[#This Row],[قيمة المحضر]]</f>
        <v>0</v>
      </c>
      <c r="Q827" s="9">
        <f t="shared" ca="1" si="83"/>
        <v>0</v>
      </c>
      <c r="R827" s="3"/>
      <c r="S827" s="3"/>
      <c r="T827" s="9" t="str">
        <f t="shared" si="84"/>
        <v>-</v>
      </c>
      <c r="U827" s="3"/>
      <c r="V827" s="9" t="str">
        <f t="shared" si="85"/>
        <v/>
      </c>
      <c r="W827" s="4"/>
      <c r="X827" s="88"/>
      <c r="Y827" s="1">
        <f t="shared" ca="1" si="78"/>
        <v>46162</v>
      </c>
      <c r="Z827" s="1" cm="1">
        <f t="array" ref="Z827">IF(D827&gt;DATE(2015,5,16),0,
K827*
(
INT((MIN(Y827,DATE(2015,5,16))-D827)/365)
+
CEILING(MOD((MIN(Y827,DATE(2015,5,16))-D827)/365,1),0.25)
)
*
_xlfn.SWITCH(J827,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27" s="1" cm="1">
        <f t="array" aca="1" ref="AA827" ca="1">IF(Y827&lt;DATE(2015,5,17),0,
K827*
(
INT((MIN(Y827,DATE(2018,9,23))-MAX(D827,DATE(2015,5,17)))/365)
+
CEILING(MOD((MIN(Y827,DATE(2018,9,23))-MAX(D827,DATE(2015,5,17)))/365,1),0.25)
)
*
_xlfn.SWITCH(J827,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27" s="1" cm="1">
        <f t="array" aca="1" ref="AB827" ca="1">IF(Y827&lt;DATE(2018,9,24),0,
IF(J827="زراعة",
K827*
(
INT((MIN(Y827,DATE(2023,4,30))-MAX(D827,DATE(2018,9,24)))/365)
+
CEILING(MOD((MIN(Y827,DATE(2023,4,30))-MAX(D827,DATE(2018,9,24)))/365,1),0.25)
)
*1,
K827*
(
DATEDIF(MAX(D827,DATE(2018,9,24)),MIN(Y827,DATE(2023,4,30)),"m")+1
)
*
_xlfn.SWITCH(J827,
"موقف/تندة",IF(D827&lt;DATE(2019,11,30),6,30),
"تشوينات",IF(D827&lt;DATE(2019,11,30),4,20),
"مشاتل",IF(D827&lt;DATE(2019,11,30),2,10),
"كافيتيريا",IF(D827&lt;DATE(2019,11,30),30,150),
"نوادي",IF(D827&lt;DATE(2019,11,30),6,30),
"رسو مراكب",IF(D827&lt;DATE(2019,11,30),2,10),
"مباني",IF(D827&lt;DATE(2018,9,24),2,10),
"عشش",IF(D827&lt;DATE(2019,11,30),2,10),
"كشك (تجاري/صناعي)",IF(D827&lt;DATE(2019,11,30),10,50),
"ردم",20,
0)))</f>
        <v>0</v>
      </c>
      <c r="AC827" s="1" cm="1">
        <f t="array" aca="1" ref="AC827" ca="1">IF(Y827&lt;DATE(2023,5,1),0,
IF(J827="زراعة",
K827*
(
INT((Y827-MAX(DATE(2023,5,1),D827))/365)
+
CEILING(MOD((Y827-MAX(DATE(2023,5,1),D827))/365,1),0.25)
)
*3,
IF(J827="ردم",
K827*20,
K827*
(
DATEDIF(MAX(DATE(2023,5,1),D827),Y827,"m")+1
)
*
_xlfn.SWITCH(J827,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27" s="1">
        <f t="shared" ca="1" si="79"/>
        <v>55</v>
      </c>
    </row>
    <row r="828" spans="1:30" ht="18.75" x14ac:dyDescent="0.25">
      <c r="A828" s="37">
        <v>763</v>
      </c>
      <c r="B828" s="63">
        <v>25</v>
      </c>
      <c r="C828" s="63">
        <v>2025</v>
      </c>
      <c r="D828" s="64" t="s">
        <v>971</v>
      </c>
      <c r="E828" s="11"/>
      <c r="F828" s="3"/>
      <c r="G828" s="63" t="s">
        <v>1000</v>
      </c>
      <c r="H828" s="3"/>
      <c r="I828" s="63" t="s">
        <v>50</v>
      </c>
      <c r="J828" s="3" t="s">
        <v>27</v>
      </c>
      <c r="K828" s="3"/>
      <c r="L828" s="3" t="s">
        <v>672</v>
      </c>
      <c r="M828" s="2"/>
      <c r="N828" s="3"/>
      <c r="O828" s="9">
        <f>0.47*Table2[[#This Row],[قيمة المحضر]]</f>
        <v>0</v>
      </c>
      <c r="P828" s="9">
        <f>0.17*Table2[[#This Row],[قيمة المحضر]]</f>
        <v>0</v>
      </c>
      <c r="Q828" s="9">
        <f t="shared" ca="1" si="83"/>
        <v>0</v>
      </c>
      <c r="R828" s="3"/>
      <c r="S828" s="3"/>
      <c r="T828" s="9" t="str">
        <f t="shared" si="84"/>
        <v>-</v>
      </c>
      <c r="U828" s="3"/>
      <c r="V828" s="9" t="str">
        <f t="shared" si="85"/>
        <v/>
      </c>
      <c r="W828" s="4"/>
      <c r="X828" s="88"/>
      <c r="Y828" s="1">
        <f t="shared" ca="1" si="78"/>
        <v>46162</v>
      </c>
      <c r="Z828" s="1" cm="1">
        <f t="array" ref="Z828">IF(D828&gt;DATE(2015,5,16),0,
K828*
(
INT((MIN(Y828,DATE(2015,5,16))-D828)/365)
+
CEILING(MOD((MIN(Y828,DATE(2015,5,16))-D828)/365,1),0.25)
)
*
_xlfn.SWITCH(J828,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28" s="1" cm="1">
        <f t="array" aca="1" ref="AA828" ca="1">IF(Y828&lt;DATE(2015,5,17),0,
K828*
(
INT((MIN(Y828,DATE(2018,9,23))-MAX(D828,DATE(2015,5,17)))/365)
+
CEILING(MOD((MIN(Y828,DATE(2018,9,23))-MAX(D828,DATE(2015,5,17)))/365,1),0.25)
)
*
_xlfn.SWITCH(J828,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28" s="1" cm="1">
        <f t="array" aca="1" ref="AB828" ca="1">IF(Y828&lt;DATE(2018,9,24),0,
IF(J828="زراعة",
K828*
(
INT((MIN(Y828,DATE(2023,4,30))-MAX(D828,DATE(2018,9,24)))/365)
+
CEILING(MOD((MIN(Y828,DATE(2023,4,30))-MAX(D828,DATE(2018,9,24)))/365,1),0.25)
)
*1,
K828*
(
DATEDIF(MAX(D828,DATE(2018,9,24)),MIN(Y828,DATE(2023,4,30)),"m")+1
)
*
_xlfn.SWITCH(J828,
"موقف/تندة",IF(D828&lt;DATE(2019,11,30),6,30),
"تشوينات",IF(D828&lt;DATE(2019,11,30),4,20),
"مشاتل",IF(D828&lt;DATE(2019,11,30),2,10),
"كافيتيريا",IF(D828&lt;DATE(2019,11,30),30,150),
"نوادي",IF(D828&lt;DATE(2019,11,30),6,30),
"رسو مراكب",IF(D828&lt;DATE(2019,11,30),2,10),
"مباني",IF(D828&lt;DATE(2018,9,24),2,10),
"عشش",IF(D828&lt;DATE(2019,11,30),2,10),
"كشك (تجاري/صناعي)",IF(D828&lt;DATE(2019,11,30),10,50),
"ردم",20,
0)))</f>
        <v>0</v>
      </c>
      <c r="AC828" s="1" cm="1">
        <f t="array" aca="1" ref="AC828" ca="1">IF(Y828&lt;DATE(2023,5,1),0,
IF(J828="زراعة",
K828*
(
INT((Y828-MAX(DATE(2023,5,1),D828))/365)
+
CEILING(MOD((Y828-MAX(DATE(2023,5,1),D828))/365,1),0.25)
)
*3,
IF(J828="ردم",
K828*20,
K828*
(
DATEDIF(MAX(DATE(2023,5,1),D828),Y828,"m")+1
)
*
_xlfn.SWITCH(J828,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28" s="1">
        <f t="shared" ca="1" si="79"/>
        <v>55</v>
      </c>
    </row>
    <row r="829" spans="1:30" ht="18.75" x14ac:dyDescent="0.25">
      <c r="A829" s="37">
        <v>764</v>
      </c>
      <c r="B829" s="63">
        <v>26</v>
      </c>
      <c r="C829" s="63">
        <v>2025</v>
      </c>
      <c r="D829" s="64" t="s">
        <v>971</v>
      </c>
      <c r="E829" s="11"/>
      <c r="F829" s="3"/>
      <c r="G829" s="63" t="s">
        <v>1001</v>
      </c>
      <c r="H829" s="3"/>
      <c r="I829" s="63" t="s">
        <v>50</v>
      </c>
      <c r="J829" s="3" t="s">
        <v>27</v>
      </c>
      <c r="K829" s="3"/>
      <c r="L829" s="3" t="s">
        <v>672</v>
      </c>
      <c r="M829" s="2"/>
      <c r="N829" s="3"/>
      <c r="O829" s="9">
        <f>0.47*Table2[[#This Row],[قيمة المحضر]]</f>
        <v>0</v>
      </c>
      <c r="P829" s="9">
        <f>0.17*Table2[[#This Row],[قيمة المحضر]]</f>
        <v>0</v>
      </c>
      <c r="Q829" s="9">
        <f t="shared" ca="1" si="83"/>
        <v>0</v>
      </c>
      <c r="R829" s="3"/>
      <c r="S829" s="3"/>
      <c r="T829" s="9" t="str">
        <f t="shared" si="84"/>
        <v>-</v>
      </c>
      <c r="U829" s="3"/>
      <c r="V829" s="9" t="str">
        <f t="shared" si="85"/>
        <v/>
      </c>
      <c r="W829" s="4"/>
      <c r="X829" s="88"/>
      <c r="Y829" s="1">
        <f t="shared" ca="1" si="78"/>
        <v>46162</v>
      </c>
      <c r="Z829" s="1" cm="1">
        <f t="array" ref="Z829">IF(D829&gt;DATE(2015,5,16),0,
K829*
(
INT((MIN(Y829,DATE(2015,5,16))-D829)/365)
+
CEILING(MOD((MIN(Y829,DATE(2015,5,16))-D829)/365,1),0.25)
)
*
_xlfn.SWITCH(J829,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29" s="1" cm="1">
        <f t="array" aca="1" ref="AA829" ca="1">IF(Y829&lt;DATE(2015,5,17),0,
K829*
(
INT((MIN(Y829,DATE(2018,9,23))-MAX(D829,DATE(2015,5,17)))/365)
+
CEILING(MOD((MIN(Y829,DATE(2018,9,23))-MAX(D829,DATE(2015,5,17)))/365,1),0.25)
)
*
_xlfn.SWITCH(J829,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29" s="1" cm="1">
        <f t="array" aca="1" ref="AB829" ca="1">IF(Y829&lt;DATE(2018,9,24),0,
IF(J829="زراعة",
K829*
(
INT((MIN(Y829,DATE(2023,4,30))-MAX(D829,DATE(2018,9,24)))/365)
+
CEILING(MOD((MIN(Y829,DATE(2023,4,30))-MAX(D829,DATE(2018,9,24)))/365,1),0.25)
)
*1,
K829*
(
DATEDIF(MAX(D829,DATE(2018,9,24)),MIN(Y829,DATE(2023,4,30)),"m")+1
)
*
_xlfn.SWITCH(J829,
"موقف/تندة",IF(D829&lt;DATE(2019,11,30),6,30),
"تشوينات",IF(D829&lt;DATE(2019,11,30),4,20),
"مشاتل",IF(D829&lt;DATE(2019,11,30),2,10),
"كافيتيريا",IF(D829&lt;DATE(2019,11,30),30,150),
"نوادي",IF(D829&lt;DATE(2019,11,30),6,30),
"رسو مراكب",IF(D829&lt;DATE(2019,11,30),2,10),
"مباني",IF(D829&lt;DATE(2018,9,24),2,10),
"عشش",IF(D829&lt;DATE(2019,11,30),2,10),
"كشك (تجاري/صناعي)",IF(D829&lt;DATE(2019,11,30),10,50),
"ردم",20,
0)))</f>
        <v>0</v>
      </c>
      <c r="AC829" s="1" cm="1">
        <f t="array" aca="1" ref="AC829" ca="1">IF(Y829&lt;DATE(2023,5,1),0,
IF(J829="زراعة",
K829*
(
INT((Y829-MAX(DATE(2023,5,1),D829))/365)
+
CEILING(MOD((Y829-MAX(DATE(2023,5,1),D829))/365,1),0.25)
)
*3,
IF(J829="ردم",
K829*20,
K829*
(
DATEDIF(MAX(DATE(2023,5,1),D829),Y829,"m")+1
)
*
_xlfn.SWITCH(J829,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29" s="1">
        <f t="shared" ca="1" si="79"/>
        <v>55</v>
      </c>
    </row>
    <row r="830" spans="1:30" ht="18.75" x14ac:dyDescent="0.25">
      <c r="A830" s="37">
        <v>765</v>
      </c>
      <c r="B830" s="63">
        <v>27</v>
      </c>
      <c r="C830" s="63">
        <v>2025</v>
      </c>
      <c r="D830" s="64" t="s">
        <v>971</v>
      </c>
      <c r="E830" s="11"/>
      <c r="F830" s="3"/>
      <c r="G830" s="63" t="s">
        <v>1002</v>
      </c>
      <c r="H830" s="3"/>
      <c r="I830" s="63" t="s">
        <v>50</v>
      </c>
      <c r="J830" s="3" t="s">
        <v>27</v>
      </c>
      <c r="K830" s="3"/>
      <c r="L830" s="3" t="s">
        <v>672</v>
      </c>
      <c r="M830" s="2"/>
      <c r="N830" s="3"/>
      <c r="O830" s="9">
        <f>0.47*Table2[[#This Row],[قيمة المحضر]]</f>
        <v>0</v>
      </c>
      <c r="P830" s="9">
        <f>0.17*Table2[[#This Row],[قيمة المحضر]]</f>
        <v>0</v>
      </c>
      <c r="Q830" s="9">
        <f t="shared" ca="1" si="83"/>
        <v>0</v>
      </c>
      <c r="R830" s="3"/>
      <c r="S830" s="3"/>
      <c r="T830" s="9" t="str">
        <f t="shared" si="84"/>
        <v>-</v>
      </c>
      <c r="U830" s="3"/>
      <c r="V830" s="9" t="str">
        <f t="shared" si="85"/>
        <v/>
      </c>
      <c r="W830" s="4"/>
      <c r="X830" s="88"/>
      <c r="Y830" s="1">
        <f t="shared" ca="1" si="78"/>
        <v>46162</v>
      </c>
      <c r="Z830" s="1" cm="1">
        <f t="array" ref="Z830">IF(D830&gt;DATE(2015,5,16),0,
K830*
(
INT((MIN(Y830,DATE(2015,5,16))-D830)/365)
+
CEILING(MOD((MIN(Y830,DATE(2015,5,16))-D830)/365,1),0.25)
)
*
_xlfn.SWITCH(J830,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30" s="1" cm="1">
        <f t="array" aca="1" ref="AA830" ca="1">IF(Y830&lt;DATE(2015,5,17),0,
K830*
(
INT((MIN(Y830,DATE(2018,9,23))-MAX(D830,DATE(2015,5,17)))/365)
+
CEILING(MOD((MIN(Y830,DATE(2018,9,23))-MAX(D830,DATE(2015,5,17)))/365,1),0.25)
)
*
_xlfn.SWITCH(J830,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30" s="1" cm="1">
        <f t="array" aca="1" ref="AB830" ca="1">IF(Y830&lt;DATE(2018,9,24),0,
IF(J830="زراعة",
K830*
(
INT((MIN(Y830,DATE(2023,4,30))-MAX(D830,DATE(2018,9,24)))/365)
+
CEILING(MOD((MIN(Y830,DATE(2023,4,30))-MAX(D830,DATE(2018,9,24)))/365,1),0.25)
)
*1,
K830*
(
DATEDIF(MAX(D830,DATE(2018,9,24)),MIN(Y830,DATE(2023,4,30)),"m")+1
)
*
_xlfn.SWITCH(J830,
"موقف/تندة",IF(D830&lt;DATE(2019,11,30),6,30),
"تشوينات",IF(D830&lt;DATE(2019,11,30),4,20),
"مشاتل",IF(D830&lt;DATE(2019,11,30),2,10),
"كافيتيريا",IF(D830&lt;DATE(2019,11,30),30,150),
"نوادي",IF(D830&lt;DATE(2019,11,30),6,30),
"رسو مراكب",IF(D830&lt;DATE(2019,11,30),2,10),
"مباني",IF(D830&lt;DATE(2018,9,24),2,10),
"عشش",IF(D830&lt;DATE(2019,11,30),2,10),
"كشك (تجاري/صناعي)",IF(D830&lt;DATE(2019,11,30),10,50),
"ردم",20,
0)))</f>
        <v>0</v>
      </c>
      <c r="AC830" s="1" cm="1">
        <f t="array" aca="1" ref="AC830" ca="1">IF(Y830&lt;DATE(2023,5,1),0,
IF(J830="زراعة",
K830*
(
INT((Y830-MAX(DATE(2023,5,1),D830))/365)
+
CEILING(MOD((Y830-MAX(DATE(2023,5,1),D830))/365,1),0.25)
)
*3,
IF(J830="ردم",
K830*20,
K830*
(
DATEDIF(MAX(DATE(2023,5,1),D830),Y830,"m")+1
)
*
_xlfn.SWITCH(J830,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30" s="1">
        <f t="shared" ca="1" si="79"/>
        <v>55</v>
      </c>
    </row>
    <row r="831" spans="1:30" ht="18.75" x14ac:dyDescent="0.25">
      <c r="A831" s="37">
        <v>766</v>
      </c>
      <c r="B831" s="63">
        <v>28</v>
      </c>
      <c r="C831" s="63">
        <v>2025</v>
      </c>
      <c r="D831" s="64" t="s">
        <v>971</v>
      </c>
      <c r="E831" s="11"/>
      <c r="F831" s="3"/>
      <c r="G831" s="63" t="s">
        <v>1003</v>
      </c>
      <c r="H831" s="3"/>
      <c r="I831" s="63" t="s">
        <v>50</v>
      </c>
      <c r="J831" s="3" t="s">
        <v>27</v>
      </c>
      <c r="K831" s="3"/>
      <c r="L831" s="3" t="s">
        <v>672</v>
      </c>
      <c r="M831" s="2"/>
      <c r="N831" s="3"/>
      <c r="O831" s="9">
        <f>0.47*Table2[[#This Row],[قيمة المحضر]]</f>
        <v>0</v>
      </c>
      <c r="P831" s="9">
        <f>0.17*Table2[[#This Row],[قيمة المحضر]]</f>
        <v>0</v>
      </c>
      <c r="Q831" s="9">
        <f t="shared" ca="1" si="83"/>
        <v>0</v>
      </c>
      <c r="R831" s="3"/>
      <c r="S831" s="3"/>
      <c r="T831" s="9" t="str">
        <f t="shared" si="84"/>
        <v>-</v>
      </c>
      <c r="U831" s="3"/>
      <c r="V831" s="9" t="str">
        <f t="shared" si="85"/>
        <v/>
      </c>
      <c r="W831" s="4"/>
      <c r="X831" s="88"/>
      <c r="Y831" s="1">
        <f t="shared" ca="1" si="78"/>
        <v>46162</v>
      </c>
      <c r="Z831" s="1" cm="1">
        <f t="array" ref="Z831">IF(D831&gt;DATE(2015,5,16),0,
K831*
(
INT((MIN(Y831,DATE(2015,5,16))-D831)/365)
+
CEILING(MOD((MIN(Y831,DATE(2015,5,16))-D831)/365,1),0.25)
)
*
_xlfn.SWITCH(J831,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31" s="1" cm="1">
        <f t="array" aca="1" ref="AA831" ca="1">IF(Y831&lt;DATE(2015,5,17),0,
K831*
(
INT((MIN(Y831,DATE(2018,9,23))-MAX(D831,DATE(2015,5,17)))/365)
+
CEILING(MOD((MIN(Y831,DATE(2018,9,23))-MAX(D831,DATE(2015,5,17)))/365,1),0.25)
)
*
_xlfn.SWITCH(J831,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31" s="1" cm="1">
        <f t="array" aca="1" ref="AB831" ca="1">IF(Y831&lt;DATE(2018,9,24),0,
IF(J831="زراعة",
K831*
(
INT((MIN(Y831,DATE(2023,4,30))-MAX(D831,DATE(2018,9,24)))/365)
+
CEILING(MOD((MIN(Y831,DATE(2023,4,30))-MAX(D831,DATE(2018,9,24)))/365,1),0.25)
)
*1,
K831*
(
DATEDIF(MAX(D831,DATE(2018,9,24)),MIN(Y831,DATE(2023,4,30)),"m")+1
)
*
_xlfn.SWITCH(J831,
"موقف/تندة",IF(D831&lt;DATE(2019,11,30),6,30),
"تشوينات",IF(D831&lt;DATE(2019,11,30),4,20),
"مشاتل",IF(D831&lt;DATE(2019,11,30),2,10),
"كافيتيريا",IF(D831&lt;DATE(2019,11,30),30,150),
"نوادي",IF(D831&lt;DATE(2019,11,30),6,30),
"رسو مراكب",IF(D831&lt;DATE(2019,11,30),2,10),
"مباني",IF(D831&lt;DATE(2018,9,24),2,10),
"عشش",IF(D831&lt;DATE(2019,11,30),2,10),
"كشك (تجاري/صناعي)",IF(D831&lt;DATE(2019,11,30),10,50),
"ردم",20,
0)))</f>
        <v>0</v>
      </c>
      <c r="AC831" s="1" cm="1">
        <f t="array" aca="1" ref="AC831" ca="1">IF(Y831&lt;DATE(2023,5,1),0,
IF(J831="زراعة",
K831*
(
INT((Y831-MAX(DATE(2023,5,1),D831))/365)
+
CEILING(MOD((Y831-MAX(DATE(2023,5,1),D831))/365,1),0.25)
)
*3,
IF(J831="ردم",
K831*20,
K831*
(
DATEDIF(MAX(DATE(2023,5,1),D831),Y831,"m")+1
)
*
_xlfn.SWITCH(J831,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31" s="1">
        <f t="shared" ca="1" si="79"/>
        <v>55</v>
      </c>
    </row>
    <row r="832" spans="1:30" ht="18.75" x14ac:dyDescent="0.25">
      <c r="A832" s="37">
        <v>767</v>
      </c>
      <c r="B832" s="63">
        <v>29</v>
      </c>
      <c r="C832" s="63">
        <v>2025</v>
      </c>
      <c r="D832" s="64" t="s">
        <v>971</v>
      </c>
      <c r="E832" s="11"/>
      <c r="F832" s="3"/>
      <c r="G832" s="63" t="s">
        <v>1004</v>
      </c>
      <c r="H832" s="3"/>
      <c r="I832" s="63" t="s">
        <v>50</v>
      </c>
      <c r="J832" s="3" t="s">
        <v>27</v>
      </c>
      <c r="K832" s="3"/>
      <c r="L832" s="3" t="s">
        <v>672</v>
      </c>
      <c r="M832" s="2"/>
      <c r="N832" s="3"/>
      <c r="O832" s="9">
        <f>0.47*Table2[[#This Row],[قيمة المحضر]]</f>
        <v>0</v>
      </c>
      <c r="P832" s="9">
        <f>0.17*Table2[[#This Row],[قيمة المحضر]]</f>
        <v>0</v>
      </c>
      <c r="Q832" s="9">
        <f t="shared" ca="1" si="83"/>
        <v>0</v>
      </c>
      <c r="R832" s="3"/>
      <c r="S832" s="3"/>
      <c r="T832" s="9" t="str">
        <f t="shared" si="84"/>
        <v>-</v>
      </c>
      <c r="U832" s="3"/>
      <c r="V832" s="9" t="str">
        <f t="shared" si="85"/>
        <v/>
      </c>
      <c r="W832" s="4"/>
      <c r="X832" s="88"/>
      <c r="Y832" s="1">
        <f t="shared" ca="1" si="78"/>
        <v>46162</v>
      </c>
      <c r="Z832" s="1" cm="1">
        <f t="array" ref="Z832">IF(D832&gt;DATE(2015,5,16),0,
K832*
(
INT((MIN(Y832,DATE(2015,5,16))-D832)/365)
+
CEILING(MOD((MIN(Y832,DATE(2015,5,16))-D832)/365,1),0.25)
)
*
_xlfn.SWITCH(J832,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32" s="1" cm="1">
        <f t="array" aca="1" ref="AA832" ca="1">IF(Y832&lt;DATE(2015,5,17),0,
K832*
(
INT((MIN(Y832,DATE(2018,9,23))-MAX(D832,DATE(2015,5,17)))/365)
+
CEILING(MOD((MIN(Y832,DATE(2018,9,23))-MAX(D832,DATE(2015,5,17)))/365,1),0.25)
)
*
_xlfn.SWITCH(J832,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32" s="1" cm="1">
        <f t="array" aca="1" ref="AB832" ca="1">IF(Y832&lt;DATE(2018,9,24),0,
IF(J832="زراعة",
K832*
(
INT((MIN(Y832,DATE(2023,4,30))-MAX(D832,DATE(2018,9,24)))/365)
+
CEILING(MOD((MIN(Y832,DATE(2023,4,30))-MAX(D832,DATE(2018,9,24)))/365,1),0.25)
)
*1,
K832*
(
DATEDIF(MAX(D832,DATE(2018,9,24)),MIN(Y832,DATE(2023,4,30)),"m")+1
)
*
_xlfn.SWITCH(J832,
"موقف/تندة",IF(D832&lt;DATE(2019,11,30),6,30),
"تشوينات",IF(D832&lt;DATE(2019,11,30),4,20),
"مشاتل",IF(D832&lt;DATE(2019,11,30),2,10),
"كافيتيريا",IF(D832&lt;DATE(2019,11,30),30,150),
"نوادي",IF(D832&lt;DATE(2019,11,30),6,30),
"رسو مراكب",IF(D832&lt;DATE(2019,11,30),2,10),
"مباني",IF(D832&lt;DATE(2018,9,24),2,10),
"عشش",IF(D832&lt;DATE(2019,11,30),2,10),
"كشك (تجاري/صناعي)",IF(D832&lt;DATE(2019,11,30),10,50),
"ردم",20,
0)))</f>
        <v>0</v>
      </c>
      <c r="AC832" s="1" cm="1">
        <f t="array" aca="1" ref="AC832" ca="1">IF(Y832&lt;DATE(2023,5,1),0,
IF(J832="زراعة",
K832*
(
INT((Y832-MAX(DATE(2023,5,1),D832))/365)
+
CEILING(MOD((Y832-MAX(DATE(2023,5,1),D832))/365,1),0.25)
)
*3,
IF(J832="ردم",
K832*20,
K832*
(
DATEDIF(MAX(DATE(2023,5,1),D832),Y832,"m")+1
)
*
_xlfn.SWITCH(J832,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32" s="1">
        <f t="shared" ca="1" si="79"/>
        <v>55</v>
      </c>
    </row>
    <row r="833" spans="1:30" ht="18.75" x14ac:dyDescent="0.25">
      <c r="A833" s="37">
        <v>768</v>
      </c>
      <c r="B833" s="63">
        <v>30</v>
      </c>
      <c r="C833" s="63">
        <v>2025</v>
      </c>
      <c r="D833" s="64" t="s">
        <v>971</v>
      </c>
      <c r="E833" s="11"/>
      <c r="F833" s="3"/>
      <c r="G833" s="63" t="s">
        <v>1005</v>
      </c>
      <c r="H833" s="3"/>
      <c r="I833" s="63" t="s">
        <v>50</v>
      </c>
      <c r="J833" s="3" t="s">
        <v>27</v>
      </c>
      <c r="K833" s="3"/>
      <c r="L833" s="3" t="s">
        <v>672</v>
      </c>
      <c r="M833" s="2"/>
      <c r="N833" s="3"/>
      <c r="O833" s="9">
        <f>0.47*Table2[[#This Row],[قيمة المحضر]]</f>
        <v>0</v>
      </c>
      <c r="P833" s="9">
        <f>0.17*Table2[[#This Row],[قيمة المحضر]]</f>
        <v>0</v>
      </c>
      <c r="Q833" s="9">
        <f t="shared" ca="1" si="83"/>
        <v>0</v>
      </c>
      <c r="R833" s="3"/>
      <c r="S833" s="3"/>
      <c r="T833" s="9" t="str">
        <f t="shared" si="84"/>
        <v>-</v>
      </c>
      <c r="U833" s="3"/>
      <c r="V833" s="9" t="str">
        <f t="shared" si="85"/>
        <v/>
      </c>
      <c r="W833" s="4"/>
      <c r="X833" s="88"/>
      <c r="Y833" s="1">
        <f t="shared" ca="1" si="78"/>
        <v>46162</v>
      </c>
      <c r="Z833" s="1" cm="1">
        <f t="array" ref="Z833">IF(D833&gt;DATE(2015,5,16),0,
K833*
(
INT((MIN(Y833,DATE(2015,5,16))-D833)/365)
+
CEILING(MOD((MIN(Y833,DATE(2015,5,16))-D833)/365,1),0.25)
)
*
_xlfn.SWITCH(J833,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33" s="1" cm="1">
        <f t="array" aca="1" ref="AA833" ca="1">IF(Y833&lt;DATE(2015,5,17),0,
K833*
(
INT((MIN(Y833,DATE(2018,9,23))-MAX(D833,DATE(2015,5,17)))/365)
+
CEILING(MOD((MIN(Y833,DATE(2018,9,23))-MAX(D833,DATE(2015,5,17)))/365,1),0.25)
)
*
_xlfn.SWITCH(J833,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33" s="1" cm="1">
        <f t="array" aca="1" ref="AB833" ca="1">IF(Y833&lt;DATE(2018,9,24),0,
IF(J833="زراعة",
K833*
(
INT((MIN(Y833,DATE(2023,4,30))-MAX(D833,DATE(2018,9,24)))/365)
+
CEILING(MOD((MIN(Y833,DATE(2023,4,30))-MAX(D833,DATE(2018,9,24)))/365,1),0.25)
)
*1,
K833*
(
DATEDIF(MAX(D833,DATE(2018,9,24)),MIN(Y833,DATE(2023,4,30)),"m")+1
)
*
_xlfn.SWITCH(J833,
"موقف/تندة",IF(D833&lt;DATE(2019,11,30),6,30),
"تشوينات",IF(D833&lt;DATE(2019,11,30),4,20),
"مشاتل",IF(D833&lt;DATE(2019,11,30),2,10),
"كافيتيريا",IF(D833&lt;DATE(2019,11,30),30,150),
"نوادي",IF(D833&lt;DATE(2019,11,30),6,30),
"رسو مراكب",IF(D833&lt;DATE(2019,11,30),2,10),
"مباني",IF(D833&lt;DATE(2018,9,24),2,10),
"عشش",IF(D833&lt;DATE(2019,11,30),2,10),
"كشك (تجاري/صناعي)",IF(D833&lt;DATE(2019,11,30),10,50),
"ردم",20,
0)))</f>
        <v>0</v>
      </c>
      <c r="AC833" s="1" cm="1">
        <f t="array" aca="1" ref="AC833" ca="1">IF(Y833&lt;DATE(2023,5,1),0,
IF(J833="زراعة",
K833*
(
INT((Y833-MAX(DATE(2023,5,1),D833))/365)
+
CEILING(MOD((Y833-MAX(DATE(2023,5,1),D833))/365,1),0.25)
)
*3,
IF(J833="ردم",
K833*20,
K833*
(
DATEDIF(MAX(DATE(2023,5,1),D833),Y833,"m")+1
)
*
_xlfn.SWITCH(J833,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33" s="1">
        <f t="shared" ca="1" si="79"/>
        <v>55</v>
      </c>
    </row>
    <row r="834" spans="1:30" ht="18.75" x14ac:dyDescent="0.25">
      <c r="A834" s="37">
        <v>769</v>
      </c>
      <c r="B834" s="63">
        <v>31</v>
      </c>
      <c r="C834" s="63">
        <v>2025</v>
      </c>
      <c r="D834" s="64" t="s">
        <v>971</v>
      </c>
      <c r="E834" s="11"/>
      <c r="F834" s="3"/>
      <c r="G834" s="63" t="s">
        <v>1006</v>
      </c>
      <c r="H834" s="3"/>
      <c r="I834" s="63" t="s">
        <v>50</v>
      </c>
      <c r="J834" s="3" t="s">
        <v>27</v>
      </c>
      <c r="K834" s="3"/>
      <c r="L834" s="3" t="s">
        <v>672</v>
      </c>
      <c r="M834" s="2"/>
      <c r="N834" s="3"/>
      <c r="O834" s="9">
        <f>0.47*Table2[[#This Row],[قيمة المحضر]]</f>
        <v>0</v>
      </c>
      <c r="P834" s="9">
        <f>0.17*Table2[[#This Row],[قيمة المحضر]]</f>
        <v>0</v>
      </c>
      <c r="Q834" s="9">
        <f t="shared" ca="1" si="83"/>
        <v>0</v>
      </c>
      <c r="R834" s="3"/>
      <c r="S834" s="3"/>
      <c r="T834" s="9" t="str">
        <f t="shared" si="84"/>
        <v>-</v>
      </c>
      <c r="U834" s="3"/>
      <c r="V834" s="9" t="str">
        <f t="shared" si="85"/>
        <v/>
      </c>
      <c r="W834" s="4"/>
      <c r="X834" s="88"/>
      <c r="Y834" s="1">
        <f t="shared" ca="1" si="78"/>
        <v>46162</v>
      </c>
      <c r="Z834" s="1" cm="1">
        <f t="array" ref="Z834">IF(D834&gt;DATE(2015,5,16),0,
K834*
(
INT((MIN(Y834,DATE(2015,5,16))-D834)/365)
+
CEILING(MOD((MIN(Y834,DATE(2015,5,16))-D834)/365,1),0.25)
)
*
_xlfn.SWITCH(J834,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34" s="1" cm="1">
        <f t="array" aca="1" ref="AA834" ca="1">IF(Y834&lt;DATE(2015,5,17),0,
K834*
(
INT((MIN(Y834,DATE(2018,9,23))-MAX(D834,DATE(2015,5,17)))/365)
+
CEILING(MOD((MIN(Y834,DATE(2018,9,23))-MAX(D834,DATE(2015,5,17)))/365,1),0.25)
)
*
_xlfn.SWITCH(J834,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34" s="1" cm="1">
        <f t="array" aca="1" ref="AB834" ca="1">IF(Y834&lt;DATE(2018,9,24),0,
IF(J834="زراعة",
K834*
(
INT((MIN(Y834,DATE(2023,4,30))-MAX(D834,DATE(2018,9,24)))/365)
+
CEILING(MOD((MIN(Y834,DATE(2023,4,30))-MAX(D834,DATE(2018,9,24)))/365,1),0.25)
)
*1,
K834*
(
DATEDIF(MAX(D834,DATE(2018,9,24)),MIN(Y834,DATE(2023,4,30)),"m")+1
)
*
_xlfn.SWITCH(J834,
"موقف/تندة",IF(D834&lt;DATE(2019,11,30),6,30),
"تشوينات",IF(D834&lt;DATE(2019,11,30),4,20),
"مشاتل",IF(D834&lt;DATE(2019,11,30),2,10),
"كافيتيريا",IF(D834&lt;DATE(2019,11,30),30,150),
"نوادي",IF(D834&lt;DATE(2019,11,30),6,30),
"رسو مراكب",IF(D834&lt;DATE(2019,11,30),2,10),
"مباني",IF(D834&lt;DATE(2018,9,24),2,10),
"عشش",IF(D834&lt;DATE(2019,11,30),2,10),
"كشك (تجاري/صناعي)",IF(D834&lt;DATE(2019,11,30),10,50),
"ردم",20,
0)))</f>
        <v>0</v>
      </c>
      <c r="AC834" s="1" cm="1">
        <f t="array" aca="1" ref="AC834" ca="1">IF(Y834&lt;DATE(2023,5,1),0,
IF(J834="زراعة",
K834*
(
INT((Y834-MAX(DATE(2023,5,1),D834))/365)
+
CEILING(MOD((Y834-MAX(DATE(2023,5,1),D834))/365,1),0.25)
)
*3,
IF(J834="ردم",
K834*20,
K834*
(
DATEDIF(MAX(DATE(2023,5,1),D834),Y834,"m")+1
)
*
_xlfn.SWITCH(J834,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34" s="1">
        <f t="shared" ca="1" si="79"/>
        <v>55</v>
      </c>
    </row>
    <row r="835" spans="1:30" ht="18.75" x14ac:dyDescent="0.25">
      <c r="A835" s="37">
        <v>770</v>
      </c>
      <c r="B835" s="63">
        <v>32</v>
      </c>
      <c r="C835" s="63">
        <v>2025</v>
      </c>
      <c r="D835" s="64" t="s">
        <v>971</v>
      </c>
      <c r="E835" s="11"/>
      <c r="F835" s="3"/>
      <c r="G835" s="63" t="s">
        <v>1007</v>
      </c>
      <c r="H835" s="3"/>
      <c r="I835" s="63" t="s">
        <v>50</v>
      </c>
      <c r="J835" s="3" t="s">
        <v>27</v>
      </c>
      <c r="K835" s="3"/>
      <c r="L835" s="3" t="s">
        <v>672</v>
      </c>
      <c r="M835" s="2"/>
      <c r="N835" s="3"/>
      <c r="O835" s="9">
        <f>0.47*Table2[[#This Row],[قيمة المحضر]]</f>
        <v>0</v>
      </c>
      <c r="P835" s="9">
        <f>0.17*Table2[[#This Row],[قيمة المحضر]]</f>
        <v>0</v>
      </c>
      <c r="Q835" s="9">
        <f t="shared" ca="1" si="83"/>
        <v>0</v>
      </c>
      <c r="R835" s="3"/>
      <c r="S835" s="3"/>
      <c r="T835" s="9" t="str">
        <f t="shared" si="84"/>
        <v>-</v>
      </c>
      <c r="U835" s="3"/>
      <c r="V835" s="9" t="str">
        <f t="shared" si="85"/>
        <v/>
      </c>
      <c r="W835" s="4"/>
      <c r="X835" s="88"/>
      <c r="Y835" s="1">
        <f t="shared" ref="Y835:Y898" ca="1" si="86">IF(M835="",TODAY(),M835)</f>
        <v>46162</v>
      </c>
      <c r="Z835" s="1" cm="1">
        <f t="array" ref="Z835">IF(D835&gt;DATE(2015,5,16),0,
K835*
(
INT((MIN(Y835,DATE(2015,5,16))-D835)/365)
+
CEILING(MOD((MIN(Y835,DATE(2015,5,16))-D835)/365,1),0.25)
)
*
_xlfn.SWITCH(J835,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35" s="1" cm="1">
        <f t="array" aca="1" ref="AA835" ca="1">IF(Y835&lt;DATE(2015,5,17),0,
K835*
(
INT((MIN(Y835,DATE(2018,9,23))-MAX(D835,DATE(2015,5,17)))/365)
+
CEILING(MOD((MIN(Y835,DATE(2018,9,23))-MAX(D835,DATE(2015,5,17)))/365,1),0.25)
)
*
_xlfn.SWITCH(J835,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35" s="1" cm="1">
        <f t="array" aca="1" ref="AB835" ca="1">IF(Y835&lt;DATE(2018,9,24),0,
IF(J835="زراعة",
K835*
(
INT((MIN(Y835,DATE(2023,4,30))-MAX(D835,DATE(2018,9,24)))/365)
+
CEILING(MOD((MIN(Y835,DATE(2023,4,30))-MAX(D835,DATE(2018,9,24)))/365,1),0.25)
)
*1,
K835*
(
DATEDIF(MAX(D835,DATE(2018,9,24)),MIN(Y835,DATE(2023,4,30)),"m")+1
)
*
_xlfn.SWITCH(J835,
"موقف/تندة",IF(D835&lt;DATE(2019,11,30),6,30),
"تشوينات",IF(D835&lt;DATE(2019,11,30),4,20),
"مشاتل",IF(D835&lt;DATE(2019,11,30),2,10),
"كافيتيريا",IF(D835&lt;DATE(2019,11,30),30,150),
"نوادي",IF(D835&lt;DATE(2019,11,30),6,30),
"رسو مراكب",IF(D835&lt;DATE(2019,11,30),2,10),
"مباني",IF(D835&lt;DATE(2018,9,24),2,10),
"عشش",IF(D835&lt;DATE(2019,11,30),2,10),
"كشك (تجاري/صناعي)",IF(D835&lt;DATE(2019,11,30),10,50),
"ردم",20,
0)))</f>
        <v>0</v>
      </c>
      <c r="AC835" s="1" cm="1">
        <f t="array" aca="1" ref="AC835" ca="1">IF(Y835&lt;DATE(2023,5,1),0,
IF(J835="زراعة",
K835*
(
INT((Y835-MAX(DATE(2023,5,1),D835))/365)
+
CEILING(MOD((Y835-MAX(DATE(2023,5,1),D835))/365,1),0.25)
)
*3,
IF(J835="ردم",
K835*20,
K835*
(
DATEDIF(MAX(DATE(2023,5,1),D835),Y835,"m")+1
)
*
_xlfn.SWITCH(J835,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35" s="1">
        <f t="shared" ref="AD835:AD898" ca="1" si="87">DATEDIF(MAX(D835,DATE(2018,9,24)),MIN(Y835,DATE(2023,4,30)),"m")</f>
        <v>55</v>
      </c>
    </row>
    <row r="836" spans="1:30" ht="18.75" x14ac:dyDescent="0.25">
      <c r="A836" s="37">
        <v>771</v>
      </c>
      <c r="B836" s="63">
        <v>33</v>
      </c>
      <c r="C836" s="63">
        <v>2025</v>
      </c>
      <c r="D836" s="64" t="s">
        <v>971</v>
      </c>
      <c r="E836" s="11"/>
      <c r="F836" s="3"/>
      <c r="G836" s="63" t="s">
        <v>1008</v>
      </c>
      <c r="H836" s="3"/>
      <c r="I836" s="63" t="s">
        <v>50</v>
      </c>
      <c r="J836" s="3" t="s">
        <v>27</v>
      </c>
      <c r="K836" s="3"/>
      <c r="L836" s="3" t="s">
        <v>672</v>
      </c>
      <c r="M836" s="2"/>
      <c r="N836" s="3"/>
      <c r="O836" s="9">
        <f>0.47*Table2[[#This Row],[قيمة المحضر]]</f>
        <v>0</v>
      </c>
      <c r="P836" s="9">
        <f>0.17*Table2[[#This Row],[قيمة المحضر]]</f>
        <v>0</v>
      </c>
      <c r="Q836" s="9">
        <f t="shared" ca="1" si="83"/>
        <v>0</v>
      </c>
      <c r="R836" s="3"/>
      <c r="S836" s="3"/>
      <c r="T836" s="9" t="str">
        <f t="shared" si="84"/>
        <v>-</v>
      </c>
      <c r="U836" s="3"/>
      <c r="V836" s="9" t="str">
        <f t="shared" si="85"/>
        <v/>
      </c>
      <c r="W836" s="4"/>
      <c r="X836" s="88"/>
      <c r="Y836" s="1">
        <f t="shared" ca="1" si="86"/>
        <v>46162</v>
      </c>
      <c r="Z836" s="1" cm="1">
        <f t="array" ref="Z836">IF(D836&gt;DATE(2015,5,16),0,
K836*
(
INT((MIN(Y836,DATE(2015,5,16))-D836)/365)
+
CEILING(MOD((MIN(Y836,DATE(2015,5,16))-D836)/365,1),0.25)
)
*
_xlfn.SWITCH(J836,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36" s="1" cm="1">
        <f t="array" aca="1" ref="AA836" ca="1">IF(Y836&lt;DATE(2015,5,17),0,
K836*
(
INT((MIN(Y836,DATE(2018,9,23))-MAX(D836,DATE(2015,5,17)))/365)
+
CEILING(MOD((MIN(Y836,DATE(2018,9,23))-MAX(D836,DATE(2015,5,17)))/365,1),0.25)
)
*
_xlfn.SWITCH(J836,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36" s="1" cm="1">
        <f t="array" aca="1" ref="AB836" ca="1">IF(Y836&lt;DATE(2018,9,24),0,
IF(J836="زراعة",
K836*
(
INT((MIN(Y836,DATE(2023,4,30))-MAX(D836,DATE(2018,9,24)))/365)
+
CEILING(MOD((MIN(Y836,DATE(2023,4,30))-MAX(D836,DATE(2018,9,24)))/365,1),0.25)
)
*1,
K836*
(
DATEDIF(MAX(D836,DATE(2018,9,24)),MIN(Y836,DATE(2023,4,30)),"m")+1
)
*
_xlfn.SWITCH(J836,
"موقف/تندة",IF(D836&lt;DATE(2019,11,30),6,30),
"تشوينات",IF(D836&lt;DATE(2019,11,30),4,20),
"مشاتل",IF(D836&lt;DATE(2019,11,30),2,10),
"كافيتيريا",IF(D836&lt;DATE(2019,11,30),30,150),
"نوادي",IF(D836&lt;DATE(2019,11,30),6,30),
"رسو مراكب",IF(D836&lt;DATE(2019,11,30),2,10),
"مباني",IF(D836&lt;DATE(2018,9,24),2,10),
"عشش",IF(D836&lt;DATE(2019,11,30),2,10),
"كشك (تجاري/صناعي)",IF(D836&lt;DATE(2019,11,30),10,50),
"ردم",20,
0)))</f>
        <v>0</v>
      </c>
      <c r="AC836" s="1" cm="1">
        <f t="array" aca="1" ref="AC836" ca="1">IF(Y836&lt;DATE(2023,5,1),0,
IF(J836="زراعة",
K836*
(
INT((Y836-MAX(DATE(2023,5,1),D836))/365)
+
CEILING(MOD((Y836-MAX(DATE(2023,5,1),D836))/365,1),0.25)
)
*3,
IF(J836="ردم",
K836*20,
K836*
(
DATEDIF(MAX(DATE(2023,5,1),D836),Y836,"m")+1
)
*
_xlfn.SWITCH(J836,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36" s="1">
        <f t="shared" ca="1" si="87"/>
        <v>55</v>
      </c>
    </row>
    <row r="837" spans="1:30" ht="18.75" x14ac:dyDescent="0.25">
      <c r="A837" s="37">
        <v>772</v>
      </c>
      <c r="B837" s="63">
        <v>34</v>
      </c>
      <c r="C837" s="63">
        <v>2025</v>
      </c>
      <c r="D837" s="64" t="s">
        <v>971</v>
      </c>
      <c r="E837" s="11"/>
      <c r="F837" s="3"/>
      <c r="G837" s="63" t="s">
        <v>1009</v>
      </c>
      <c r="H837" s="3"/>
      <c r="I837" s="63" t="s">
        <v>50</v>
      </c>
      <c r="J837" s="3" t="s">
        <v>27</v>
      </c>
      <c r="K837" s="3"/>
      <c r="L837" s="3" t="s">
        <v>672</v>
      </c>
      <c r="M837" s="2"/>
      <c r="N837" s="3"/>
      <c r="O837" s="9">
        <f>0.47*Table2[[#This Row],[قيمة المحضر]]</f>
        <v>0</v>
      </c>
      <c r="P837" s="9">
        <f>0.17*Table2[[#This Row],[قيمة المحضر]]</f>
        <v>0</v>
      </c>
      <c r="Q837" s="9">
        <f t="shared" ca="1" si="83"/>
        <v>0</v>
      </c>
      <c r="R837" s="3"/>
      <c r="S837" s="3"/>
      <c r="T837" s="9" t="str">
        <f t="shared" si="84"/>
        <v>-</v>
      </c>
      <c r="U837" s="3"/>
      <c r="V837" s="9" t="str">
        <f t="shared" si="85"/>
        <v/>
      </c>
      <c r="W837" s="4"/>
      <c r="X837" s="88"/>
      <c r="Y837" s="1">
        <f t="shared" ca="1" si="86"/>
        <v>46162</v>
      </c>
      <c r="Z837" s="1" cm="1">
        <f t="array" ref="Z837">IF(D837&gt;DATE(2015,5,16),0,
K837*
(
INT((MIN(Y837,DATE(2015,5,16))-D837)/365)
+
CEILING(MOD((MIN(Y837,DATE(2015,5,16))-D837)/365,1),0.25)
)
*
_xlfn.SWITCH(J837,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37" s="1" cm="1">
        <f t="array" aca="1" ref="AA837" ca="1">IF(Y837&lt;DATE(2015,5,17),0,
K837*
(
INT((MIN(Y837,DATE(2018,9,23))-MAX(D837,DATE(2015,5,17)))/365)
+
CEILING(MOD((MIN(Y837,DATE(2018,9,23))-MAX(D837,DATE(2015,5,17)))/365,1),0.25)
)
*
_xlfn.SWITCH(J837,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37" s="1" cm="1">
        <f t="array" aca="1" ref="AB837" ca="1">IF(Y837&lt;DATE(2018,9,24),0,
IF(J837="زراعة",
K837*
(
INT((MIN(Y837,DATE(2023,4,30))-MAX(D837,DATE(2018,9,24)))/365)
+
CEILING(MOD((MIN(Y837,DATE(2023,4,30))-MAX(D837,DATE(2018,9,24)))/365,1),0.25)
)
*1,
K837*
(
DATEDIF(MAX(D837,DATE(2018,9,24)),MIN(Y837,DATE(2023,4,30)),"m")+1
)
*
_xlfn.SWITCH(J837,
"موقف/تندة",IF(D837&lt;DATE(2019,11,30),6,30),
"تشوينات",IF(D837&lt;DATE(2019,11,30),4,20),
"مشاتل",IF(D837&lt;DATE(2019,11,30),2,10),
"كافيتيريا",IF(D837&lt;DATE(2019,11,30),30,150),
"نوادي",IF(D837&lt;DATE(2019,11,30),6,30),
"رسو مراكب",IF(D837&lt;DATE(2019,11,30),2,10),
"مباني",IF(D837&lt;DATE(2018,9,24),2,10),
"عشش",IF(D837&lt;DATE(2019,11,30),2,10),
"كشك (تجاري/صناعي)",IF(D837&lt;DATE(2019,11,30),10,50),
"ردم",20,
0)))</f>
        <v>0</v>
      </c>
      <c r="AC837" s="1" cm="1">
        <f t="array" aca="1" ref="AC837" ca="1">IF(Y837&lt;DATE(2023,5,1),0,
IF(J837="زراعة",
K837*
(
INT((Y837-MAX(DATE(2023,5,1),D837))/365)
+
CEILING(MOD((Y837-MAX(DATE(2023,5,1),D837))/365,1),0.25)
)
*3,
IF(J837="ردم",
K837*20,
K837*
(
DATEDIF(MAX(DATE(2023,5,1),D837),Y837,"m")+1
)
*
_xlfn.SWITCH(J837,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37" s="1">
        <f t="shared" ca="1" si="87"/>
        <v>55</v>
      </c>
    </row>
    <row r="838" spans="1:30" ht="18.75" x14ac:dyDescent="0.25">
      <c r="A838" s="37">
        <v>773</v>
      </c>
      <c r="B838" s="63">
        <v>35</v>
      </c>
      <c r="C838" s="63">
        <v>2025</v>
      </c>
      <c r="D838" s="64" t="s">
        <v>971</v>
      </c>
      <c r="E838" s="11"/>
      <c r="F838" s="3"/>
      <c r="G838" s="63" t="s">
        <v>1010</v>
      </c>
      <c r="H838" s="3"/>
      <c r="I838" s="63" t="s">
        <v>50</v>
      </c>
      <c r="J838" s="3" t="s">
        <v>27</v>
      </c>
      <c r="K838" s="3"/>
      <c r="L838" s="3" t="s">
        <v>672</v>
      </c>
      <c r="M838" s="2"/>
      <c r="N838" s="3"/>
      <c r="O838" s="9">
        <f>0.47*Table2[[#This Row],[قيمة المحضر]]</f>
        <v>0</v>
      </c>
      <c r="P838" s="9">
        <f>0.17*Table2[[#This Row],[قيمة المحضر]]</f>
        <v>0</v>
      </c>
      <c r="Q838" s="9">
        <f t="shared" ca="1" si="83"/>
        <v>0</v>
      </c>
      <c r="R838" s="3"/>
      <c r="S838" s="3"/>
      <c r="T838" s="9" t="str">
        <f t="shared" si="84"/>
        <v>-</v>
      </c>
      <c r="U838" s="3"/>
      <c r="V838" s="9" t="str">
        <f t="shared" si="85"/>
        <v/>
      </c>
      <c r="W838" s="4"/>
      <c r="X838" s="88"/>
      <c r="Y838" s="1">
        <f t="shared" ca="1" si="86"/>
        <v>46162</v>
      </c>
      <c r="Z838" s="1" cm="1">
        <f t="array" ref="Z838">IF(D838&gt;DATE(2015,5,16),0,
K838*
(
INT((MIN(Y838,DATE(2015,5,16))-D838)/365)
+
CEILING(MOD((MIN(Y838,DATE(2015,5,16))-D838)/365,1),0.25)
)
*
_xlfn.SWITCH(J838,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38" s="1" cm="1">
        <f t="array" aca="1" ref="AA838" ca="1">IF(Y838&lt;DATE(2015,5,17),0,
K838*
(
INT((MIN(Y838,DATE(2018,9,23))-MAX(D838,DATE(2015,5,17)))/365)
+
CEILING(MOD((MIN(Y838,DATE(2018,9,23))-MAX(D838,DATE(2015,5,17)))/365,1),0.25)
)
*
_xlfn.SWITCH(J838,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38" s="1" cm="1">
        <f t="array" aca="1" ref="AB838" ca="1">IF(Y838&lt;DATE(2018,9,24),0,
IF(J838="زراعة",
K838*
(
INT((MIN(Y838,DATE(2023,4,30))-MAX(D838,DATE(2018,9,24)))/365)
+
CEILING(MOD((MIN(Y838,DATE(2023,4,30))-MAX(D838,DATE(2018,9,24)))/365,1),0.25)
)
*1,
K838*
(
DATEDIF(MAX(D838,DATE(2018,9,24)),MIN(Y838,DATE(2023,4,30)),"m")+1
)
*
_xlfn.SWITCH(J838,
"موقف/تندة",IF(D838&lt;DATE(2019,11,30),6,30),
"تشوينات",IF(D838&lt;DATE(2019,11,30),4,20),
"مشاتل",IF(D838&lt;DATE(2019,11,30),2,10),
"كافيتيريا",IF(D838&lt;DATE(2019,11,30),30,150),
"نوادي",IF(D838&lt;DATE(2019,11,30),6,30),
"رسو مراكب",IF(D838&lt;DATE(2019,11,30),2,10),
"مباني",IF(D838&lt;DATE(2018,9,24),2,10),
"عشش",IF(D838&lt;DATE(2019,11,30),2,10),
"كشك (تجاري/صناعي)",IF(D838&lt;DATE(2019,11,30),10,50),
"ردم",20,
0)))</f>
        <v>0</v>
      </c>
      <c r="AC838" s="1" cm="1">
        <f t="array" aca="1" ref="AC838" ca="1">IF(Y838&lt;DATE(2023,5,1),0,
IF(J838="زراعة",
K838*
(
INT((Y838-MAX(DATE(2023,5,1),D838))/365)
+
CEILING(MOD((Y838-MAX(DATE(2023,5,1),D838))/365,1),0.25)
)
*3,
IF(J838="ردم",
K838*20,
K838*
(
DATEDIF(MAX(DATE(2023,5,1),D838),Y838,"m")+1
)
*
_xlfn.SWITCH(J838,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38" s="1">
        <f t="shared" ca="1" si="87"/>
        <v>55</v>
      </c>
    </row>
    <row r="839" spans="1:30" ht="18.75" x14ac:dyDescent="0.25">
      <c r="A839" s="37">
        <v>774</v>
      </c>
      <c r="B839" s="63">
        <v>36</v>
      </c>
      <c r="C839" s="63">
        <v>2025</v>
      </c>
      <c r="D839" s="64" t="s">
        <v>971</v>
      </c>
      <c r="E839" s="11"/>
      <c r="F839" s="3"/>
      <c r="G839" s="63" t="s">
        <v>1011</v>
      </c>
      <c r="H839" s="3"/>
      <c r="I839" s="63" t="s">
        <v>50</v>
      </c>
      <c r="J839" s="3" t="s">
        <v>27</v>
      </c>
      <c r="K839" s="3"/>
      <c r="L839" s="3" t="s">
        <v>672</v>
      </c>
      <c r="M839" s="2"/>
      <c r="N839" s="3"/>
      <c r="O839" s="9">
        <f>0.47*Table2[[#This Row],[قيمة المحضر]]</f>
        <v>0</v>
      </c>
      <c r="P839" s="9">
        <f>0.17*Table2[[#This Row],[قيمة المحضر]]</f>
        <v>0</v>
      </c>
      <c r="Q839" s="9">
        <f t="shared" ca="1" si="83"/>
        <v>0</v>
      </c>
      <c r="R839" s="3"/>
      <c r="S839" s="3"/>
      <c r="T839" s="9" t="str">
        <f t="shared" si="84"/>
        <v>-</v>
      </c>
      <c r="U839" s="3"/>
      <c r="V839" s="9" t="str">
        <f t="shared" si="85"/>
        <v/>
      </c>
      <c r="W839" s="4"/>
      <c r="X839" s="88"/>
      <c r="Y839" s="1">
        <f t="shared" ca="1" si="86"/>
        <v>46162</v>
      </c>
      <c r="Z839" s="1" cm="1">
        <f t="array" ref="Z839">IF(D839&gt;DATE(2015,5,16),0,
K839*
(
INT((MIN(Y839,DATE(2015,5,16))-D839)/365)
+
CEILING(MOD((MIN(Y839,DATE(2015,5,16))-D839)/365,1),0.25)
)
*
_xlfn.SWITCH(J839,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39" s="1" cm="1">
        <f t="array" aca="1" ref="AA839" ca="1">IF(Y839&lt;DATE(2015,5,17),0,
K839*
(
INT((MIN(Y839,DATE(2018,9,23))-MAX(D839,DATE(2015,5,17)))/365)
+
CEILING(MOD((MIN(Y839,DATE(2018,9,23))-MAX(D839,DATE(2015,5,17)))/365,1),0.25)
)
*
_xlfn.SWITCH(J839,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39" s="1" cm="1">
        <f t="array" aca="1" ref="AB839" ca="1">IF(Y839&lt;DATE(2018,9,24),0,
IF(J839="زراعة",
K839*
(
INT((MIN(Y839,DATE(2023,4,30))-MAX(D839,DATE(2018,9,24)))/365)
+
CEILING(MOD((MIN(Y839,DATE(2023,4,30))-MAX(D839,DATE(2018,9,24)))/365,1),0.25)
)
*1,
K839*
(
DATEDIF(MAX(D839,DATE(2018,9,24)),MIN(Y839,DATE(2023,4,30)),"m")+1
)
*
_xlfn.SWITCH(J839,
"موقف/تندة",IF(D839&lt;DATE(2019,11,30),6,30),
"تشوينات",IF(D839&lt;DATE(2019,11,30),4,20),
"مشاتل",IF(D839&lt;DATE(2019,11,30),2,10),
"كافيتيريا",IF(D839&lt;DATE(2019,11,30),30,150),
"نوادي",IF(D839&lt;DATE(2019,11,30),6,30),
"رسو مراكب",IF(D839&lt;DATE(2019,11,30),2,10),
"مباني",IF(D839&lt;DATE(2018,9,24),2,10),
"عشش",IF(D839&lt;DATE(2019,11,30),2,10),
"كشك (تجاري/صناعي)",IF(D839&lt;DATE(2019,11,30),10,50),
"ردم",20,
0)))</f>
        <v>0</v>
      </c>
      <c r="AC839" s="1" cm="1">
        <f t="array" aca="1" ref="AC839" ca="1">IF(Y839&lt;DATE(2023,5,1),0,
IF(J839="زراعة",
K839*
(
INT((Y839-MAX(DATE(2023,5,1),D839))/365)
+
CEILING(MOD((Y839-MAX(DATE(2023,5,1),D839))/365,1),0.25)
)
*3,
IF(J839="ردم",
K839*20,
K839*
(
DATEDIF(MAX(DATE(2023,5,1),D839),Y839,"m")+1
)
*
_xlfn.SWITCH(J839,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39" s="1">
        <f t="shared" ca="1" si="87"/>
        <v>55</v>
      </c>
    </row>
    <row r="840" spans="1:30" ht="18.75" x14ac:dyDescent="0.25">
      <c r="A840" s="37">
        <v>775</v>
      </c>
      <c r="B840" s="63">
        <v>37</v>
      </c>
      <c r="C840" s="63">
        <v>2025</v>
      </c>
      <c r="D840" s="64" t="s">
        <v>971</v>
      </c>
      <c r="E840" s="11"/>
      <c r="F840" s="3"/>
      <c r="G840" s="63" t="s">
        <v>1012</v>
      </c>
      <c r="H840" s="3"/>
      <c r="I840" s="63" t="s">
        <v>50</v>
      </c>
      <c r="J840" s="3" t="s">
        <v>27</v>
      </c>
      <c r="K840" s="3"/>
      <c r="L840" s="3" t="s">
        <v>672</v>
      </c>
      <c r="M840" s="2"/>
      <c r="N840" s="3"/>
      <c r="O840" s="9">
        <f>0.47*Table2[[#This Row],[قيمة المحضر]]</f>
        <v>0</v>
      </c>
      <c r="P840" s="9">
        <f>0.17*Table2[[#This Row],[قيمة المحضر]]</f>
        <v>0</v>
      </c>
      <c r="Q840" s="9">
        <f t="shared" ca="1" si="83"/>
        <v>0</v>
      </c>
      <c r="R840" s="3"/>
      <c r="S840" s="3"/>
      <c r="T840" s="9" t="str">
        <f t="shared" si="84"/>
        <v>-</v>
      </c>
      <c r="U840" s="3"/>
      <c r="V840" s="9" t="str">
        <f t="shared" si="85"/>
        <v/>
      </c>
      <c r="W840" s="4"/>
      <c r="X840" s="88"/>
      <c r="Y840" s="1">
        <f t="shared" ca="1" si="86"/>
        <v>46162</v>
      </c>
      <c r="Z840" s="1" cm="1">
        <f t="array" ref="Z840">IF(D840&gt;DATE(2015,5,16),0,
K840*
(
INT((MIN(Y840,DATE(2015,5,16))-D840)/365)
+
CEILING(MOD((MIN(Y840,DATE(2015,5,16))-D840)/365,1),0.25)
)
*
_xlfn.SWITCH(J840,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40" s="1" cm="1">
        <f t="array" aca="1" ref="AA840" ca="1">IF(Y840&lt;DATE(2015,5,17),0,
K840*
(
INT((MIN(Y840,DATE(2018,9,23))-MAX(D840,DATE(2015,5,17)))/365)
+
CEILING(MOD((MIN(Y840,DATE(2018,9,23))-MAX(D840,DATE(2015,5,17)))/365,1),0.25)
)
*
_xlfn.SWITCH(J840,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40" s="1" cm="1">
        <f t="array" aca="1" ref="AB840" ca="1">IF(Y840&lt;DATE(2018,9,24),0,
IF(J840="زراعة",
K840*
(
INT((MIN(Y840,DATE(2023,4,30))-MAX(D840,DATE(2018,9,24)))/365)
+
CEILING(MOD((MIN(Y840,DATE(2023,4,30))-MAX(D840,DATE(2018,9,24)))/365,1),0.25)
)
*1,
K840*
(
DATEDIF(MAX(D840,DATE(2018,9,24)),MIN(Y840,DATE(2023,4,30)),"m")+1
)
*
_xlfn.SWITCH(J840,
"موقف/تندة",IF(D840&lt;DATE(2019,11,30),6,30),
"تشوينات",IF(D840&lt;DATE(2019,11,30),4,20),
"مشاتل",IF(D840&lt;DATE(2019,11,30),2,10),
"كافيتيريا",IF(D840&lt;DATE(2019,11,30),30,150),
"نوادي",IF(D840&lt;DATE(2019,11,30),6,30),
"رسو مراكب",IF(D840&lt;DATE(2019,11,30),2,10),
"مباني",IF(D840&lt;DATE(2018,9,24),2,10),
"عشش",IF(D840&lt;DATE(2019,11,30),2,10),
"كشك (تجاري/صناعي)",IF(D840&lt;DATE(2019,11,30),10,50),
"ردم",20,
0)))</f>
        <v>0</v>
      </c>
      <c r="AC840" s="1" cm="1">
        <f t="array" aca="1" ref="AC840" ca="1">IF(Y840&lt;DATE(2023,5,1),0,
IF(J840="زراعة",
K840*
(
INT((Y840-MAX(DATE(2023,5,1),D840))/365)
+
CEILING(MOD((Y840-MAX(DATE(2023,5,1),D840))/365,1),0.25)
)
*3,
IF(J840="ردم",
K840*20,
K840*
(
DATEDIF(MAX(DATE(2023,5,1),D840),Y840,"m")+1
)
*
_xlfn.SWITCH(J840,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40" s="1">
        <f t="shared" ca="1" si="87"/>
        <v>55</v>
      </c>
    </row>
    <row r="841" spans="1:30" ht="18.75" x14ac:dyDescent="0.25">
      <c r="A841" s="37">
        <v>776</v>
      </c>
      <c r="B841" s="63">
        <v>38</v>
      </c>
      <c r="C841" s="63">
        <v>2025</v>
      </c>
      <c r="D841" s="64" t="s">
        <v>971</v>
      </c>
      <c r="E841" s="11"/>
      <c r="F841" s="3"/>
      <c r="G841" s="63" t="s">
        <v>1013</v>
      </c>
      <c r="H841" s="3"/>
      <c r="I841" s="63" t="s">
        <v>50</v>
      </c>
      <c r="J841" s="3" t="s">
        <v>27</v>
      </c>
      <c r="K841" s="3"/>
      <c r="L841" s="3" t="s">
        <v>672</v>
      </c>
      <c r="M841" s="2"/>
      <c r="N841" s="3"/>
      <c r="O841" s="9">
        <f>0.47*Table2[[#This Row],[قيمة المحضر]]</f>
        <v>0</v>
      </c>
      <c r="P841" s="9">
        <f>0.17*Table2[[#This Row],[قيمة المحضر]]</f>
        <v>0</v>
      </c>
      <c r="Q841" s="9">
        <f t="shared" ca="1" si="83"/>
        <v>0</v>
      </c>
      <c r="R841" s="3"/>
      <c r="S841" s="3"/>
      <c r="T841" s="9" t="str">
        <f t="shared" si="84"/>
        <v>-</v>
      </c>
      <c r="U841" s="3"/>
      <c r="V841" s="9" t="str">
        <f t="shared" si="85"/>
        <v/>
      </c>
      <c r="W841" s="4"/>
      <c r="X841" s="88"/>
      <c r="Y841" s="1">
        <f t="shared" ca="1" si="86"/>
        <v>46162</v>
      </c>
      <c r="Z841" s="1" cm="1">
        <f t="array" ref="Z841">IF(D841&gt;DATE(2015,5,16),0,
K841*
(
INT((MIN(Y841,DATE(2015,5,16))-D841)/365)
+
CEILING(MOD((MIN(Y841,DATE(2015,5,16))-D841)/365,1),0.25)
)
*
_xlfn.SWITCH(J841,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41" s="1" cm="1">
        <f t="array" aca="1" ref="AA841" ca="1">IF(Y841&lt;DATE(2015,5,17),0,
K841*
(
INT((MIN(Y841,DATE(2018,9,23))-MAX(D841,DATE(2015,5,17)))/365)
+
CEILING(MOD((MIN(Y841,DATE(2018,9,23))-MAX(D841,DATE(2015,5,17)))/365,1),0.25)
)
*
_xlfn.SWITCH(J841,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41" s="1" cm="1">
        <f t="array" aca="1" ref="AB841" ca="1">IF(Y841&lt;DATE(2018,9,24),0,
IF(J841="زراعة",
K841*
(
INT((MIN(Y841,DATE(2023,4,30))-MAX(D841,DATE(2018,9,24)))/365)
+
CEILING(MOD((MIN(Y841,DATE(2023,4,30))-MAX(D841,DATE(2018,9,24)))/365,1),0.25)
)
*1,
K841*
(
DATEDIF(MAX(D841,DATE(2018,9,24)),MIN(Y841,DATE(2023,4,30)),"m")+1
)
*
_xlfn.SWITCH(J841,
"موقف/تندة",IF(D841&lt;DATE(2019,11,30),6,30),
"تشوينات",IF(D841&lt;DATE(2019,11,30),4,20),
"مشاتل",IF(D841&lt;DATE(2019,11,30),2,10),
"كافيتيريا",IF(D841&lt;DATE(2019,11,30),30,150),
"نوادي",IF(D841&lt;DATE(2019,11,30),6,30),
"رسو مراكب",IF(D841&lt;DATE(2019,11,30),2,10),
"مباني",IF(D841&lt;DATE(2018,9,24),2,10),
"عشش",IF(D841&lt;DATE(2019,11,30),2,10),
"كشك (تجاري/صناعي)",IF(D841&lt;DATE(2019,11,30),10,50),
"ردم",20,
0)))</f>
        <v>0</v>
      </c>
      <c r="AC841" s="1" cm="1">
        <f t="array" aca="1" ref="AC841" ca="1">IF(Y841&lt;DATE(2023,5,1),0,
IF(J841="زراعة",
K841*
(
INT((Y841-MAX(DATE(2023,5,1),D841))/365)
+
CEILING(MOD((Y841-MAX(DATE(2023,5,1),D841))/365,1),0.25)
)
*3,
IF(J841="ردم",
K841*20,
K841*
(
DATEDIF(MAX(DATE(2023,5,1),D841),Y841,"m")+1
)
*
_xlfn.SWITCH(J841,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41" s="1">
        <f t="shared" ca="1" si="87"/>
        <v>55</v>
      </c>
    </row>
    <row r="842" spans="1:30" ht="18.75" x14ac:dyDescent="0.25">
      <c r="A842" s="37">
        <v>777</v>
      </c>
      <c r="B842" s="63">
        <v>39</v>
      </c>
      <c r="C842" s="63">
        <v>2025</v>
      </c>
      <c r="D842" s="64" t="s">
        <v>971</v>
      </c>
      <c r="E842" s="11"/>
      <c r="F842" s="3"/>
      <c r="G842" s="63" t="s">
        <v>1014</v>
      </c>
      <c r="H842" s="3"/>
      <c r="I842" s="63" t="s">
        <v>50</v>
      </c>
      <c r="J842" s="3" t="s">
        <v>27</v>
      </c>
      <c r="K842" s="3"/>
      <c r="L842" s="3" t="s">
        <v>672</v>
      </c>
      <c r="M842" s="2"/>
      <c r="N842" s="3"/>
      <c r="O842" s="9">
        <f>0.47*Table2[[#This Row],[قيمة المحضر]]</f>
        <v>0</v>
      </c>
      <c r="P842" s="9">
        <f>0.17*Table2[[#This Row],[قيمة المحضر]]</f>
        <v>0</v>
      </c>
      <c r="Q842" s="9">
        <f t="shared" ca="1" si="83"/>
        <v>0</v>
      </c>
      <c r="R842" s="3"/>
      <c r="S842" s="3"/>
      <c r="T842" s="9" t="str">
        <f t="shared" si="84"/>
        <v>-</v>
      </c>
      <c r="U842" s="3"/>
      <c r="V842" s="9" t="str">
        <f t="shared" si="85"/>
        <v/>
      </c>
      <c r="W842" s="4"/>
      <c r="X842" s="88"/>
      <c r="Y842" s="1">
        <f t="shared" ca="1" si="86"/>
        <v>46162</v>
      </c>
      <c r="Z842" s="1" cm="1">
        <f t="array" ref="Z842">IF(D842&gt;DATE(2015,5,16),0,
K842*
(
INT((MIN(Y842,DATE(2015,5,16))-D842)/365)
+
CEILING(MOD((MIN(Y842,DATE(2015,5,16))-D842)/365,1),0.25)
)
*
_xlfn.SWITCH(J842,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42" s="1" cm="1">
        <f t="array" aca="1" ref="AA842" ca="1">IF(Y842&lt;DATE(2015,5,17),0,
K842*
(
INT((MIN(Y842,DATE(2018,9,23))-MAX(D842,DATE(2015,5,17)))/365)
+
CEILING(MOD((MIN(Y842,DATE(2018,9,23))-MAX(D842,DATE(2015,5,17)))/365,1),0.25)
)
*
_xlfn.SWITCH(J842,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42" s="1" cm="1">
        <f t="array" aca="1" ref="AB842" ca="1">IF(Y842&lt;DATE(2018,9,24),0,
IF(J842="زراعة",
K842*
(
INT((MIN(Y842,DATE(2023,4,30))-MAX(D842,DATE(2018,9,24)))/365)
+
CEILING(MOD((MIN(Y842,DATE(2023,4,30))-MAX(D842,DATE(2018,9,24)))/365,1),0.25)
)
*1,
K842*
(
DATEDIF(MAX(D842,DATE(2018,9,24)),MIN(Y842,DATE(2023,4,30)),"m")+1
)
*
_xlfn.SWITCH(J842,
"موقف/تندة",IF(D842&lt;DATE(2019,11,30),6,30),
"تشوينات",IF(D842&lt;DATE(2019,11,30),4,20),
"مشاتل",IF(D842&lt;DATE(2019,11,30),2,10),
"كافيتيريا",IF(D842&lt;DATE(2019,11,30),30,150),
"نوادي",IF(D842&lt;DATE(2019,11,30),6,30),
"رسو مراكب",IF(D842&lt;DATE(2019,11,30),2,10),
"مباني",IF(D842&lt;DATE(2018,9,24),2,10),
"عشش",IF(D842&lt;DATE(2019,11,30),2,10),
"كشك (تجاري/صناعي)",IF(D842&lt;DATE(2019,11,30),10,50),
"ردم",20,
0)))</f>
        <v>0</v>
      </c>
      <c r="AC842" s="1" cm="1">
        <f t="array" aca="1" ref="AC842" ca="1">IF(Y842&lt;DATE(2023,5,1),0,
IF(J842="زراعة",
K842*
(
INT((Y842-MAX(DATE(2023,5,1),D842))/365)
+
CEILING(MOD((Y842-MAX(DATE(2023,5,1),D842))/365,1),0.25)
)
*3,
IF(J842="ردم",
K842*20,
K842*
(
DATEDIF(MAX(DATE(2023,5,1),D842),Y842,"m")+1
)
*
_xlfn.SWITCH(J842,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42" s="1">
        <f t="shared" ca="1" si="87"/>
        <v>55</v>
      </c>
    </row>
    <row r="843" spans="1:30" ht="18.75" x14ac:dyDescent="0.25">
      <c r="A843" s="37">
        <v>778</v>
      </c>
      <c r="B843" s="63">
        <v>40</v>
      </c>
      <c r="C843" s="63">
        <v>2025</v>
      </c>
      <c r="D843" s="64" t="s">
        <v>971</v>
      </c>
      <c r="E843" s="11"/>
      <c r="F843" s="3"/>
      <c r="G843" s="63" t="s">
        <v>1015</v>
      </c>
      <c r="H843" s="3"/>
      <c r="I843" s="63" t="s">
        <v>50</v>
      </c>
      <c r="J843" s="3" t="s">
        <v>27</v>
      </c>
      <c r="K843" s="3"/>
      <c r="L843" s="3" t="s">
        <v>672</v>
      </c>
      <c r="M843" s="2"/>
      <c r="N843" s="3"/>
      <c r="O843" s="9">
        <f>0.47*Table2[[#This Row],[قيمة المحضر]]</f>
        <v>0</v>
      </c>
      <c r="P843" s="9">
        <f>0.17*Table2[[#This Row],[قيمة المحضر]]</f>
        <v>0</v>
      </c>
      <c r="Q843" s="9">
        <f t="shared" ca="1" si="83"/>
        <v>0</v>
      </c>
      <c r="R843" s="3"/>
      <c r="S843" s="3"/>
      <c r="T843" s="9" t="str">
        <f t="shared" si="84"/>
        <v>-</v>
      </c>
      <c r="U843" s="3"/>
      <c r="V843" s="9" t="str">
        <f t="shared" si="85"/>
        <v/>
      </c>
      <c r="W843" s="4"/>
      <c r="X843" s="88"/>
      <c r="Y843" s="1">
        <f t="shared" ca="1" si="86"/>
        <v>46162</v>
      </c>
      <c r="Z843" s="1" cm="1">
        <f t="array" ref="Z843">IF(D843&gt;DATE(2015,5,16),0,
K843*
(
INT((MIN(Y843,DATE(2015,5,16))-D843)/365)
+
CEILING(MOD((MIN(Y843,DATE(2015,5,16))-D843)/365,1),0.25)
)
*
_xlfn.SWITCH(J843,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43" s="1" cm="1">
        <f t="array" aca="1" ref="AA843" ca="1">IF(Y843&lt;DATE(2015,5,17),0,
K843*
(
INT((MIN(Y843,DATE(2018,9,23))-MAX(D843,DATE(2015,5,17)))/365)
+
CEILING(MOD((MIN(Y843,DATE(2018,9,23))-MAX(D843,DATE(2015,5,17)))/365,1),0.25)
)
*
_xlfn.SWITCH(J843,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43" s="1" cm="1">
        <f t="array" aca="1" ref="AB843" ca="1">IF(Y843&lt;DATE(2018,9,24),0,
IF(J843="زراعة",
K843*
(
INT((MIN(Y843,DATE(2023,4,30))-MAX(D843,DATE(2018,9,24)))/365)
+
CEILING(MOD((MIN(Y843,DATE(2023,4,30))-MAX(D843,DATE(2018,9,24)))/365,1),0.25)
)
*1,
K843*
(
DATEDIF(MAX(D843,DATE(2018,9,24)),MIN(Y843,DATE(2023,4,30)),"m")+1
)
*
_xlfn.SWITCH(J843,
"موقف/تندة",IF(D843&lt;DATE(2019,11,30),6,30),
"تشوينات",IF(D843&lt;DATE(2019,11,30),4,20),
"مشاتل",IF(D843&lt;DATE(2019,11,30),2,10),
"كافيتيريا",IF(D843&lt;DATE(2019,11,30),30,150),
"نوادي",IF(D843&lt;DATE(2019,11,30),6,30),
"رسو مراكب",IF(D843&lt;DATE(2019,11,30),2,10),
"مباني",IF(D843&lt;DATE(2018,9,24),2,10),
"عشش",IF(D843&lt;DATE(2019,11,30),2,10),
"كشك (تجاري/صناعي)",IF(D843&lt;DATE(2019,11,30),10,50),
"ردم",20,
0)))</f>
        <v>0</v>
      </c>
      <c r="AC843" s="1" cm="1">
        <f t="array" aca="1" ref="AC843" ca="1">IF(Y843&lt;DATE(2023,5,1),0,
IF(J843="زراعة",
K843*
(
INT((Y843-MAX(DATE(2023,5,1),D843))/365)
+
CEILING(MOD((Y843-MAX(DATE(2023,5,1),D843))/365,1),0.25)
)
*3,
IF(J843="ردم",
K843*20,
K843*
(
DATEDIF(MAX(DATE(2023,5,1),D843),Y843,"m")+1
)
*
_xlfn.SWITCH(J843,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43" s="1">
        <f t="shared" ca="1" si="87"/>
        <v>55</v>
      </c>
    </row>
    <row r="844" spans="1:30" ht="18.75" x14ac:dyDescent="0.25">
      <c r="A844" s="37">
        <v>779</v>
      </c>
      <c r="B844" s="63">
        <v>41</v>
      </c>
      <c r="C844" s="63">
        <v>2025</v>
      </c>
      <c r="D844" s="64" t="s">
        <v>971</v>
      </c>
      <c r="E844" s="11"/>
      <c r="F844" s="3"/>
      <c r="G844" s="63" t="s">
        <v>739</v>
      </c>
      <c r="H844" s="3"/>
      <c r="I844" s="63" t="s">
        <v>50</v>
      </c>
      <c r="J844" s="3" t="s">
        <v>27</v>
      </c>
      <c r="K844" s="3"/>
      <c r="L844" s="3" t="s">
        <v>672</v>
      </c>
      <c r="M844" s="2"/>
      <c r="N844" s="3"/>
      <c r="O844" s="9">
        <f>0.47*Table2[[#This Row],[قيمة المحضر]]</f>
        <v>0</v>
      </c>
      <c r="P844" s="9">
        <f>0.17*Table2[[#This Row],[قيمة المحضر]]</f>
        <v>0</v>
      </c>
      <c r="Q844" s="9">
        <f t="shared" ca="1" si="83"/>
        <v>0</v>
      </c>
      <c r="R844" s="3"/>
      <c r="S844" s="3"/>
      <c r="T844" s="9" t="str">
        <f t="shared" si="84"/>
        <v>-</v>
      </c>
      <c r="U844" s="3"/>
      <c r="V844" s="9" t="str">
        <f t="shared" si="85"/>
        <v/>
      </c>
      <c r="W844" s="4"/>
      <c r="X844" s="88"/>
      <c r="Y844" s="1">
        <f t="shared" ca="1" si="86"/>
        <v>46162</v>
      </c>
      <c r="Z844" s="1" cm="1">
        <f t="array" ref="Z844">IF(D844&gt;DATE(2015,5,16),0,
K844*
(
INT((MIN(Y844,DATE(2015,5,16))-D844)/365)
+
CEILING(MOD((MIN(Y844,DATE(2015,5,16))-D844)/365,1),0.25)
)
*
_xlfn.SWITCH(J844,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44" s="1" cm="1">
        <f t="array" aca="1" ref="AA844" ca="1">IF(Y844&lt;DATE(2015,5,17),0,
K844*
(
INT((MIN(Y844,DATE(2018,9,23))-MAX(D844,DATE(2015,5,17)))/365)
+
CEILING(MOD((MIN(Y844,DATE(2018,9,23))-MAX(D844,DATE(2015,5,17)))/365,1),0.25)
)
*
_xlfn.SWITCH(J844,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44" s="1" cm="1">
        <f t="array" aca="1" ref="AB844" ca="1">IF(Y844&lt;DATE(2018,9,24),0,
IF(J844="زراعة",
K844*
(
INT((MIN(Y844,DATE(2023,4,30))-MAX(D844,DATE(2018,9,24)))/365)
+
CEILING(MOD((MIN(Y844,DATE(2023,4,30))-MAX(D844,DATE(2018,9,24)))/365,1),0.25)
)
*1,
K844*
(
DATEDIF(MAX(D844,DATE(2018,9,24)),MIN(Y844,DATE(2023,4,30)),"m")+1
)
*
_xlfn.SWITCH(J844,
"موقف/تندة",IF(D844&lt;DATE(2019,11,30),6,30),
"تشوينات",IF(D844&lt;DATE(2019,11,30),4,20),
"مشاتل",IF(D844&lt;DATE(2019,11,30),2,10),
"كافيتيريا",IF(D844&lt;DATE(2019,11,30),30,150),
"نوادي",IF(D844&lt;DATE(2019,11,30),6,30),
"رسو مراكب",IF(D844&lt;DATE(2019,11,30),2,10),
"مباني",IF(D844&lt;DATE(2018,9,24),2,10),
"عشش",IF(D844&lt;DATE(2019,11,30),2,10),
"كشك (تجاري/صناعي)",IF(D844&lt;DATE(2019,11,30),10,50),
"ردم",20,
0)))</f>
        <v>0</v>
      </c>
      <c r="AC844" s="1" cm="1">
        <f t="array" aca="1" ref="AC844" ca="1">IF(Y844&lt;DATE(2023,5,1),0,
IF(J844="زراعة",
K844*
(
INT((Y844-MAX(DATE(2023,5,1),D844))/365)
+
CEILING(MOD((Y844-MAX(DATE(2023,5,1),D844))/365,1),0.25)
)
*3,
IF(J844="ردم",
K844*20,
K844*
(
DATEDIF(MAX(DATE(2023,5,1),D844),Y844,"m")+1
)
*
_xlfn.SWITCH(J844,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44" s="1">
        <f t="shared" ca="1" si="87"/>
        <v>55</v>
      </c>
    </row>
    <row r="845" spans="1:30" ht="18.75" x14ac:dyDescent="0.25">
      <c r="A845" s="37">
        <v>780</v>
      </c>
      <c r="B845" s="63">
        <v>42</v>
      </c>
      <c r="C845" s="63">
        <v>2025</v>
      </c>
      <c r="D845" s="64" t="s">
        <v>971</v>
      </c>
      <c r="E845" s="11"/>
      <c r="F845" s="3"/>
      <c r="G845" s="63" t="s">
        <v>1016</v>
      </c>
      <c r="H845" s="3"/>
      <c r="I845" s="63" t="s">
        <v>50</v>
      </c>
      <c r="J845" s="3" t="s">
        <v>27</v>
      </c>
      <c r="K845" s="3"/>
      <c r="L845" s="3" t="s">
        <v>672</v>
      </c>
      <c r="M845" s="2"/>
      <c r="N845" s="3"/>
      <c r="O845" s="9">
        <f>0.47*Table2[[#This Row],[قيمة المحضر]]</f>
        <v>0</v>
      </c>
      <c r="P845" s="9">
        <f>0.17*Table2[[#This Row],[قيمة المحضر]]</f>
        <v>0</v>
      </c>
      <c r="Q845" s="9">
        <f t="shared" ca="1" si="83"/>
        <v>0</v>
      </c>
      <c r="R845" s="3"/>
      <c r="S845" s="3"/>
      <c r="T845" s="9" t="str">
        <f t="shared" si="84"/>
        <v>-</v>
      </c>
      <c r="U845" s="3"/>
      <c r="V845" s="9" t="str">
        <f t="shared" si="85"/>
        <v/>
      </c>
      <c r="W845" s="4"/>
      <c r="X845" s="88"/>
      <c r="Y845" s="1">
        <f t="shared" ca="1" si="86"/>
        <v>46162</v>
      </c>
      <c r="Z845" s="1" cm="1">
        <f t="array" ref="Z845">IF(D845&gt;DATE(2015,5,16),0,
K845*
(
INT((MIN(Y845,DATE(2015,5,16))-D845)/365)
+
CEILING(MOD((MIN(Y845,DATE(2015,5,16))-D845)/365,1),0.25)
)
*
_xlfn.SWITCH(J845,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45" s="1" cm="1">
        <f t="array" aca="1" ref="AA845" ca="1">IF(Y845&lt;DATE(2015,5,17),0,
K845*
(
INT((MIN(Y845,DATE(2018,9,23))-MAX(D845,DATE(2015,5,17)))/365)
+
CEILING(MOD((MIN(Y845,DATE(2018,9,23))-MAX(D845,DATE(2015,5,17)))/365,1),0.25)
)
*
_xlfn.SWITCH(J845,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45" s="1" cm="1">
        <f t="array" aca="1" ref="AB845" ca="1">IF(Y845&lt;DATE(2018,9,24),0,
IF(J845="زراعة",
K845*
(
INT((MIN(Y845,DATE(2023,4,30))-MAX(D845,DATE(2018,9,24)))/365)
+
CEILING(MOD((MIN(Y845,DATE(2023,4,30))-MAX(D845,DATE(2018,9,24)))/365,1),0.25)
)
*1,
K845*
(
DATEDIF(MAX(D845,DATE(2018,9,24)),MIN(Y845,DATE(2023,4,30)),"m")+1
)
*
_xlfn.SWITCH(J845,
"موقف/تندة",IF(D845&lt;DATE(2019,11,30),6,30),
"تشوينات",IF(D845&lt;DATE(2019,11,30),4,20),
"مشاتل",IF(D845&lt;DATE(2019,11,30),2,10),
"كافيتيريا",IF(D845&lt;DATE(2019,11,30),30,150),
"نوادي",IF(D845&lt;DATE(2019,11,30),6,30),
"رسو مراكب",IF(D845&lt;DATE(2019,11,30),2,10),
"مباني",IF(D845&lt;DATE(2018,9,24),2,10),
"عشش",IF(D845&lt;DATE(2019,11,30),2,10),
"كشك (تجاري/صناعي)",IF(D845&lt;DATE(2019,11,30),10,50),
"ردم",20,
0)))</f>
        <v>0</v>
      </c>
      <c r="AC845" s="1" cm="1">
        <f t="array" aca="1" ref="AC845" ca="1">IF(Y845&lt;DATE(2023,5,1),0,
IF(J845="زراعة",
K845*
(
INT((Y845-MAX(DATE(2023,5,1),D845))/365)
+
CEILING(MOD((Y845-MAX(DATE(2023,5,1),D845))/365,1),0.25)
)
*3,
IF(J845="ردم",
K845*20,
K845*
(
DATEDIF(MAX(DATE(2023,5,1),D845),Y845,"m")+1
)
*
_xlfn.SWITCH(J845,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45" s="1">
        <f t="shared" ca="1" si="87"/>
        <v>55</v>
      </c>
    </row>
    <row r="846" spans="1:30" ht="18.75" x14ac:dyDescent="0.25">
      <c r="A846" s="37">
        <v>781</v>
      </c>
      <c r="B846" s="63">
        <v>43</v>
      </c>
      <c r="C846" s="63">
        <v>2025</v>
      </c>
      <c r="D846" s="64" t="s">
        <v>971</v>
      </c>
      <c r="E846" s="11"/>
      <c r="F846" s="3"/>
      <c r="G846" s="63" t="s">
        <v>1017</v>
      </c>
      <c r="H846" s="3"/>
      <c r="I846" s="63" t="s">
        <v>50</v>
      </c>
      <c r="J846" s="3" t="s">
        <v>27</v>
      </c>
      <c r="K846" s="3"/>
      <c r="L846" s="3" t="s">
        <v>672</v>
      </c>
      <c r="M846" s="2"/>
      <c r="N846" s="3"/>
      <c r="O846" s="9">
        <f>0.47*Table2[[#This Row],[قيمة المحضر]]</f>
        <v>0</v>
      </c>
      <c r="P846" s="9">
        <f>0.17*Table2[[#This Row],[قيمة المحضر]]</f>
        <v>0</v>
      </c>
      <c r="Q846" s="9">
        <f t="shared" ca="1" si="83"/>
        <v>0</v>
      </c>
      <c r="R846" s="3"/>
      <c r="S846" s="3"/>
      <c r="T846" s="9" t="str">
        <f t="shared" si="84"/>
        <v>-</v>
      </c>
      <c r="U846" s="3"/>
      <c r="V846" s="9" t="str">
        <f t="shared" si="85"/>
        <v/>
      </c>
      <c r="W846" s="4"/>
      <c r="X846" s="88"/>
      <c r="Y846" s="1">
        <f t="shared" ca="1" si="86"/>
        <v>46162</v>
      </c>
      <c r="Z846" s="1" cm="1">
        <f t="array" ref="Z846">IF(D846&gt;DATE(2015,5,16),0,
K846*
(
INT((MIN(Y846,DATE(2015,5,16))-D846)/365)
+
CEILING(MOD((MIN(Y846,DATE(2015,5,16))-D846)/365,1),0.25)
)
*
_xlfn.SWITCH(J846,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46" s="1" cm="1">
        <f t="array" aca="1" ref="AA846" ca="1">IF(Y846&lt;DATE(2015,5,17),0,
K846*
(
INT((MIN(Y846,DATE(2018,9,23))-MAX(D846,DATE(2015,5,17)))/365)
+
CEILING(MOD((MIN(Y846,DATE(2018,9,23))-MAX(D846,DATE(2015,5,17)))/365,1),0.25)
)
*
_xlfn.SWITCH(J846,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46" s="1" cm="1">
        <f t="array" aca="1" ref="AB846" ca="1">IF(Y846&lt;DATE(2018,9,24),0,
IF(J846="زراعة",
K846*
(
INT((MIN(Y846,DATE(2023,4,30))-MAX(D846,DATE(2018,9,24)))/365)
+
CEILING(MOD((MIN(Y846,DATE(2023,4,30))-MAX(D846,DATE(2018,9,24)))/365,1),0.25)
)
*1,
K846*
(
DATEDIF(MAX(D846,DATE(2018,9,24)),MIN(Y846,DATE(2023,4,30)),"m")+1
)
*
_xlfn.SWITCH(J846,
"موقف/تندة",IF(D846&lt;DATE(2019,11,30),6,30),
"تشوينات",IF(D846&lt;DATE(2019,11,30),4,20),
"مشاتل",IF(D846&lt;DATE(2019,11,30),2,10),
"كافيتيريا",IF(D846&lt;DATE(2019,11,30),30,150),
"نوادي",IF(D846&lt;DATE(2019,11,30),6,30),
"رسو مراكب",IF(D846&lt;DATE(2019,11,30),2,10),
"مباني",IF(D846&lt;DATE(2018,9,24),2,10),
"عشش",IF(D846&lt;DATE(2019,11,30),2,10),
"كشك (تجاري/صناعي)",IF(D846&lt;DATE(2019,11,30),10,50),
"ردم",20,
0)))</f>
        <v>0</v>
      </c>
      <c r="AC846" s="1" cm="1">
        <f t="array" aca="1" ref="AC846" ca="1">IF(Y846&lt;DATE(2023,5,1),0,
IF(J846="زراعة",
K846*
(
INT((Y846-MAX(DATE(2023,5,1),D846))/365)
+
CEILING(MOD((Y846-MAX(DATE(2023,5,1),D846))/365,1),0.25)
)
*3,
IF(J846="ردم",
K846*20,
K846*
(
DATEDIF(MAX(DATE(2023,5,1),D846),Y846,"m")+1
)
*
_xlfn.SWITCH(J846,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46" s="1">
        <f t="shared" ca="1" si="87"/>
        <v>55</v>
      </c>
    </row>
    <row r="847" spans="1:30" ht="18.75" x14ac:dyDescent="0.25">
      <c r="A847" s="37">
        <v>782</v>
      </c>
      <c r="B847" s="63">
        <v>44</v>
      </c>
      <c r="C847" s="63">
        <v>2025</v>
      </c>
      <c r="D847" s="64" t="s">
        <v>971</v>
      </c>
      <c r="E847" s="11"/>
      <c r="F847" s="3"/>
      <c r="G847" s="63" t="s">
        <v>1018</v>
      </c>
      <c r="H847" s="3"/>
      <c r="I847" s="63" t="s">
        <v>50</v>
      </c>
      <c r="J847" s="3" t="s">
        <v>27</v>
      </c>
      <c r="K847" s="3"/>
      <c r="L847" s="3" t="s">
        <v>672</v>
      </c>
      <c r="M847" s="2"/>
      <c r="N847" s="3"/>
      <c r="O847" s="9">
        <f>0.47*Table2[[#This Row],[قيمة المحضر]]</f>
        <v>0</v>
      </c>
      <c r="P847" s="9">
        <f>0.17*Table2[[#This Row],[قيمة المحضر]]</f>
        <v>0</v>
      </c>
      <c r="Q847" s="9">
        <f t="shared" ca="1" si="83"/>
        <v>0</v>
      </c>
      <c r="R847" s="3"/>
      <c r="S847" s="3"/>
      <c r="T847" s="9" t="str">
        <f t="shared" si="84"/>
        <v>-</v>
      </c>
      <c r="U847" s="3"/>
      <c r="V847" s="9" t="str">
        <f t="shared" si="85"/>
        <v/>
      </c>
      <c r="W847" s="4"/>
      <c r="X847" s="88"/>
      <c r="Y847" s="1">
        <f t="shared" ca="1" si="86"/>
        <v>46162</v>
      </c>
      <c r="Z847" s="1" cm="1">
        <f t="array" ref="Z847">IF(D847&gt;DATE(2015,5,16),0,
K847*
(
INT((MIN(Y847,DATE(2015,5,16))-D847)/365)
+
CEILING(MOD((MIN(Y847,DATE(2015,5,16))-D847)/365,1),0.25)
)
*
_xlfn.SWITCH(J847,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47" s="1" cm="1">
        <f t="array" aca="1" ref="AA847" ca="1">IF(Y847&lt;DATE(2015,5,17),0,
K847*
(
INT((MIN(Y847,DATE(2018,9,23))-MAX(D847,DATE(2015,5,17)))/365)
+
CEILING(MOD((MIN(Y847,DATE(2018,9,23))-MAX(D847,DATE(2015,5,17)))/365,1),0.25)
)
*
_xlfn.SWITCH(J847,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47" s="1" cm="1">
        <f t="array" aca="1" ref="AB847" ca="1">IF(Y847&lt;DATE(2018,9,24),0,
IF(J847="زراعة",
K847*
(
INT((MIN(Y847,DATE(2023,4,30))-MAX(D847,DATE(2018,9,24)))/365)
+
CEILING(MOD((MIN(Y847,DATE(2023,4,30))-MAX(D847,DATE(2018,9,24)))/365,1),0.25)
)
*1,
K847*
(
DATEDIF(MAX(D847,DATE(2018,9,24)),MIN(Y847,DATE(2023,4,30)),"m")+1
)
*
_xlfn.SWITCH(J847,
"موقف/تندة",IF(D847&lt;DATE(2019,11,30),6,30),
"تشوينات",IF(D847&lt;DATE(2019,11,30),4,20),
"مشاتل",IF(D847&lt;DATE(2019,11,30),2,10),
"كافيتيريا",IF(D847&lt;DATE(2019,11,30),30,150),
"نوادي",IF(D847&lt;DATE(2019,11,30),6,30),
"رسو مراكب",IF(D847&lt;DATE(2019,11,30),2,10),
"مباني",IF(D847&lt;DATE(2018,9,24),2,10),
"عشش",IF(D847&lt;DATE(2019,11,30),2,10),
"كشك (تجاري/صناعي)",IF(D847&lt;DATE(2019,11,30),10,50),
"ردم",20,
0)))</f>
        <v>0</v>
      </c>
      <c r="AC847" s="1" cm="1">
        <f t="array" aca="1" ref="AC847" ca="1">IF(Y847&lt;DATE(2023,5,1),0,
IF(J847="زراعة",
K847*
(
INT((Y847-MAX(DATE(2023,5,1),D847))/365)
+
CEILING(MOD((Y847-MAX(DATE(2023,5,1),D847))/365,1),0.25)
)
*3,
IF(J847="ردم",
K847*20,
K847*
(
DATEDIF(MAX(DATE(2023,5,1),D847),Y847,"m")+1
)
*
_xlfn.SWITCH(J847,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47" s="1">
        <f t="shared" ca="1" si="87"/>
        <v>55</v>
      </c>
    </row>
    <row r="848" spans="1:30" ht="18.75" x14ac:dyDescent="0.25">
      <c r="A848" s="37">
        <v>783</v>
      </c>
      <c r="B848" s="63">
        <v>45</v>
      </c>
      <c r="C848" s="63">
        <v>2025</v>
      </c>
      <c r="D848" s="64" t="s">
        <v>971</v>
      </c>
      <c r="E848" s="11"/>
      <c r="F848" s="3"/>
      <c r="G848" s="63" t="s">
        <v>1019</v>
      </c>
      <c r="H848" s="3"/>
      <c r="I848" s="63" t="s">
        <v>50</v>
      </c>
      <c r="J848" s="3" t="s">
        <v>27</v>
      </c>
      <c r="K848" s="3"/>
      <c r="L848" s="3" t="s">
        <v>672</v>
      </c>
      <c r="M848" s="2"/>
      <c r="N848" s="3"/>
      <c r="O848" s="9">
        <f>0.47*Table2[[#This Row],[قيمة المحضر]]</f>
        <v>0</v>
      </c>
      <c r="P848" s="9">
        <f>0.17*Table2[[#This Row],[قيمة المحضر]]</f>
        <v>0</v>
      </c>
      <c r="Q848" s="9">
        <f t="shared" ca="1" si="83"/>
        <v>0</v>
      </c>
      <c r="R848" s="3"/>
      <c r="S848" s="3"/>
      <c r="T848" s="9" t="str">
        <f t="shared" si="84"/>
        <v>-</v>
      </c>
      <c r="U848" s="3"/>
      <c r="V848" s="9" t="str">
        <f t="shared" si="85"/>
        <v/>
      </c>
      <c r="W848" s="4"/>
      <c r="X848" s="88"/>
      <c r="Y848" s="1">
        <f t="shared" ca="1" si="86"/>
        <v>46162</v>
      </c>
      <c r="Z848" s="1" cm="1">
        <f t="array" ref="Z848">IF(D848&gt;DATE(2015,5,16),0,
K848*
(
INT((MIN(Y848,DATE(2015,5,16))-D848)/365)
+
CEILING(MOD((MIN(Y848,DATE(2015,5,16))-D848)/365,1),0.25)
)
*
_xlfn.SWITCH(J848,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48" s="1" cm="1">
        <f t="array" aca="1" ref="AA848" ca="1">IF(Y848&lt;DATE(2015,5,17),0,
K848*
(
INT((MIN(Y848,DATE(2018,9,23))-MAX(D848,DATE(2015,5,17)))/365)
+
CEILING(MOD((MIN(Y848,DATE(2018,9,23))-MAX(D848,DATE(2015,5,17)))/365,1),0.25)
)
*
_xlfn.SWITCH(J848,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48" s="1" cm="1">
        <f t="array" aca="1" ref="AB848" ca="1">IF(Y848&lt;DATE(2018,9,24),0,
IF(J848="زراعة",
K848*
(
INT((MIN(Y848,DATE(2023,4,30))-MAX(D848,DATE(2018,9,24)))/365)
+
CEILING(MOD((MIN(Y848,DATE(2023,4,30))-MAX(D848,DATE(2018,9,24)))/365,1),0.25)
)
*1,
K848*
(
DATEDIF(MAX(D848,DATE(2018,9,24)),MIN(Y848,DATE(2023,4,30)),"m")+1
)
*
_xlfn.SWITCH(J848,
"موقف/تندة",IF(D848&lt;DATE(2019,11,30),6,30),
"تشوينات",IF(D848&lt;DATE(2019,11,30),4,20),
"مشاتل",IF(D848&lt;DATE(2019,11,30),2,10),
"كافيتيريا",IF(D848&lt;DATE(2019,11,30),30,150),
"نوادي",IF(D848&lt;DATE(2019,11,30),6,30),
"رسو مراكب",IF(D848&lt;DATE(2019,11,30),2,10),
"مباني",IF(D848&lt;DATE(2018,9,24),2,10),
"عشش",IF(D848&lt;DATE(2019,11,30),2,10),
"كشك (تجاري/صناعي)",IF(D848&lt;DATE(2019,11,30),10,50),
"ردم",20,
0)))</f>
        <v>0</v>
      </c>
      <c r="AC848" s="1" cm="1">
        <f t="array" aca="1" ref="AC848" ca="1">IF(Y848&lt;DATE(2023,5,1),0,
IF(J848="زراعة",
K848*
(
INT((Y848-MAX(DATE(2023,5,1),D848))/365)
+
CEILING(MOD((Y848-MAX(DATE(2023,5,1),D848))/365,1),0.25)
)
*3,
IF(J848="ردم",
K848*20,
K848*
(
DATEDIF(MAX(DATE(2023,5,1),D848),Y848,"m")+1
)
*
_xlfn.SWITCH(J848,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48" s="1">
        <f t="shared" ca="1" si="87"/>
        <v>55</v>
      </c>
    </row>
    <row r="849" spans="1:30" ht="18.75" x14ac:dyDescent="0.25">
      <c r="A849" s="37">
        <v>784</v>
      </c>
      <c r="B849" s="63">
        <v>46</v>
      </c>
      <c r="C849" s="63">
        <v>2025</v>
      </c>
      <c r="D849" s="64" t="s">
        <v>971</v>
      </c>
      <c r="E849" s="11"/>
      <c r="F849" s="3"/>
      <c r="G849" s="63" t="s">
        <v>1020</v>
      </c>
      <c r="H849" s="3"/>
      <c r="I849" s="63" t="s">
        <v>50</v>
      </c>
      <c r="J849" s="3" t="s">
        <v>27</v>
      </c>
      <c r="K849" s="3"/>
      <c r="L849" s="3" t="s">
        <v>672</v>
      </c>
      <c r="M849" s="2"/>
      <c r="N849" s="3"/>
      <c r="O849" s="9">
        <f>0.47*Table2[[#This Row],[قيمة المحضر]]</f>
        <v>0</v>
      </c>
      <c r="P849" s="9">
        <f>0.17*Table2[[#This Row],[قيمة المحضر]]</f>
        <v>0</v>
      </c>
      <c r="Q849" s="9">
        <f t="shared" ca="1" si="83"/>
        <v>0</v>
      </c>
      <c r="R849" s="3"/>
      <c r="S849" s="3"/>
      <c r="T849" s="9" t="str">
        <f t="shared" si="84"/>
        <v>-</v>
      </c>
      <c r="U849" s="3"/>
      <c r="V849" s="9" t="str">
        <f t="shared" si="85"/>
        <v/>
      </c>
      <c r="W849" s="4"/>
      <c r="X849" s="88"/>
      <c r="Y849" s="1">
        <f t="shared" ca="1" si="86"/>
        <v>46162</v>
      </c>
      <c r="Z849" s="1" cm="1">
        <f t="array" ref="Z849">IF(D849&gt;DATE(2015,5,16),0,
K849*
(
INT((MIN(Y849,DATE(2015,5,16))-D849)/365)
+
CEILING(MOD((MIN(Y849,DATE(2015,5,16))-D849)/365,1),0.25)
)
*
_xlfn.SWITCH(J849,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49" s="1" cm="1">
        <f t="array" aca="1" ref="AA849" ca="1">IF(Y849&lt;DATE(2015,5,17),0,
K849*
(
INT((MIN(Y849,DATE(2018,9,23))-MAX(D849,DATE(2015,5,17)))/365)
+
CEILING(MOD((MIN(Y849,DATE(2018,9,23))-MAX(D849,DATE(2015,5,17)))/365,1),0.25)
)
*
_xlfn.SWITCH(J849,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49" s="1" cm="1">
        <f t="array" aca="1" ref="AB849" ca="1">IF(Y849&lt;DATE(2018,9,24),0,
IF(J849="زراعة",
K849*
(
INT((MIN(Y849,DATE(2023,4,30))-MAX(D849,DATE(2018,9,24)))/365)
+
CEILING(MOD((MIN(Y849,DATE(2023,4,30))-MAX(D849,DATE(2018,9,24)))/365,1),0.25)
)
*1,
K849*
(
DATEDIF(MAX(D849,DATE(2018,9,24)),MIN(Y849,DATE(2023,4,30)),"m")+1
)
*
_xlfn.SWITCH(J849,
"موقف/تندة",IF(D849&lt;DATE(2019,11,30),6,30),
"تشوينات",IF(D849&lt;DATE(2019,11,30),4,20),
"مشاتل",IF(D849&lt;DATE(2019,11,30),2,10),
"كافيتيريا",IF(D849&lt;DATE(2019,11,30),30,150),
"نوادي",IF(D849&lt;DATE(2019,11,30),6,30),
"رسو مراكب",IF(D849&lt;DATE(2019,11,30),2,10),
"مباني",IF(D849&lt;DATE(2018,9,24),2,10),
"عشش",IF(D849&lt;DATE(2019,11,30),2,10),
"كشك (تجاري/صناعي)",IF(D849&lt;DATE(2019,11,30),10,50),
"ردم",20,
0)))</f>
        <v>0</v>
      </c>
      <c r="AC849" s="1" cm="1">
        <f t="array" aca="1" ref="AC849" ca="1">IF(Y849&lt;DATE(2023,5,1),0,
IF(J849="زراعة",
K849*
(
INT((Y849-MAX(DATE(2023,5,1),D849))/365)
+
CEILING(MOD((Y849-MAX(DATE(2023,5,1),D849))/365,1),0.25)
)
*3,
IF(J849="ردم",
K849*20,
K849*
(
DATEDIF(MAX(DATE(2023,5,1),D849),Y849,"m")+1
)
*
_xlfn.SWITCH(J849,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49" s="1">
        <f t="shared" ca="1" si="87"/>
        <v>55</v>
      </c>
    </row>
    <row r="850" spans="1:30" ht="18.75" x14ac:dyDescent="0.25">
      <c r="A850" s="37">
        <v>785</v>
      </c>
      <c r="B850" s="63">
        <v>47</v>
      </c>
      <c r="C850" s="63">
        <v>2025</v>
      </c>
      <c r="D850" s="64" t="s">
        <v>971</v>
      </c>
      <c r="E850" s="11"/>
      <c r="F850" s="3"/>
      <c r="G850" s="63" t="s">
        <v>1021</v>
      </c>
      <c r="H850" s="3"/>
      <c r="I850" s="63" t="s">
        <v>50</v>
      </c>
      <c r="J850" s="3" t="s">
        <v>27</v>
      </c>
      <c r="K850" s="3"/>
      <c r="L850" s="3" t="s">
        <v>672</v>
      </c>
      <c r="M850" s="2"/>
      <c r="N850" s="3"/>
      <c r="O850" s="9">
        <f>0.47*Table2[[#This Row],[قيمة المحضر]]</f>
        <v>0</v>
      </c>
      <c r="P850" s="9">
        <f>0.17*Table2[[#This Row],[قيمة المحضر]]</f>
        <v>0</v>
      </c>
      <c r="Q850" s="9">
        <f t="shared" ca="1" si="83"/>
        <v>0</v>
      </c>
      <c r="R850" s="3"/>
      <c r="S850" s="3"/>
      <c r="T850" s="9" t="str">
        <f t="shared" si="84"/>
        <v>-</v>
      </c>
      <c r="U850" s="3"/>
      <c r="V850" s="9" t="str">
        <f t="shared" si="85"/>
        <v/>
      </c>
      <c r="W850" s="4"/>
      <c r="X850" s="88"/>
      <c r="Y850" s="1">
        <f t="shared" ca="1" si="86"/>
        <v>46162</v>
      </c>
      <c r="Z850" s="1" cm="1">
        <f t="array" ref="Z850">IF(D850&gt;DATE(2015,5,16),0,
K850*
(
INT((MIN(Y850,DATE(2015,5,16))-D850)/365)
+
CEILING(MOD((MIN(Y850,DATE(2015,5,16))-D850)/365,1),0.25)
)
*
_xlfn.SWITCH(J850,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50" s="1" cm="1">
        <f t="array" aca="1" ref="AA850" ca="1">IF(Y850&lt;DATE(2015,5,17),0,
K850*
(
INT((MIN(Y850,DATE(2018,9,23))-MAX(D850,DATE(2015,5,17)))/365)
+
CEILING(MOD((MIN(Y850,DATE(2018,9,23))-MAX(D850,DATE(2015,5,17)))/365,1),0.25)
)
*
_xlfn.SWITCH(J850,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50" s="1" cm="1">
        <f t="array" aca="1" ref="AB850" ca="1">IF(Y850&lt;DATE(2018,9,24),0,
IF(J850="زراعة",
K850*
(
INT((MIN(Y850,DATE(2023,4,30))-MAX(D850,DATE(2018,9,24)))/365)
+
CEILING(MOD((MIN(Y850,DATE(2023,4,30))-MAX(D850,DATE(2018,9,24)))/365,1),0.25)
)
*1,
K850*
(
DATEDIF(MAX(D850,DATE(2018,9,24)),MIN(Y850,DATE(2023,4,30)),"m")+1
)
*
_xlfn.SWITCH(J850,
"موقف/تندة",IF(D850&lt;DATE(2019,11,30),6,30),
"تشوينات",IF(D850&lt;DATE(2019,11,30),4,20),
"مشاتل",IF(D850&lt;DATE(2019,11,30),2,10),
"كافيتيريا",IF(D850&lt;DATE(2019,11,30),30,150),
"نوادي",IF(D850&lt;DATE(2019,11,30),6,30),
"رسو مراكب",IF(D850&lt;DATE(2019,11,30),2,10),
"مباني",IF(D850&lt;DATE(2018,9,24),2,10),
"عشش",IF(D850&lt;DATE(2019,11,30),2,10),
"كشك (تجاري/صناعي)",IF(D850&lt;DATE(2019,11,30),10,50),
"ردم",20,
0)))</f>
        <v>0</v>
      </c>
      <c r="AC850" s="1" cm="1">
        <f t="array" aca="1" ref="AC850" ca="1">IF(Y850&lt;DATE(2023,5,1),0,
IF(J850="زراعة",
K850*
(
INT((Y850-MAX(DATE(2023,5,1),D850))/365)
+
CEILING(MOD((Y850-MAX(DATE(2023,5,1),D850))/365,1),0.25)
)
*3,
IF(J850="ردم",
K850*20,
K850*
(
DATEDIF(MAX(DATE(2023,5,1),D850),Y850,"m")+1
)
*
_xlfn.SWITCH(J850,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50" s="1">
        <f t="shared" ca="1" si="87"/>
        <v>55</v>
      </c>
    </row>
    <row r="851" spans="1:30" ht="18.75" x14ac:dyDescent="0.25">
      <c r="A851" s="37">
        <v>786</v>
      </c>
      <c r="B851" s="63">
        <v>48</v>
      </c>
      <c r="C851" s="63">
        <v>2025</v>
      </c>
      <c r="D851" s="64" t="s">
        <v>971</v>
      </c>
      <c r="E851" s="11"/>
      <c r="F851" s="3"/>
      <c r="G851" s="63" t="s">
        <v>1022</v>
      </c>
      <c r="H851" s="3"/>
      <c r="I851" s="63" t="s">
        <v>50</v>
      </c>
      <c r="J851" s="3" t="s">
        <v>27</v>
      </c>
      <c r="K851" s="3"/>
      <c r="L851" s="3" t="s">
        <v>672</v>
      </c>
      <c r="M851" s="2"/>
      <c r="N851" s="3"/>
      <c r="O851" s="9">
        <f>0.47*Table2[[#This Row],[قيمة المحضر]]</f>
        <v>0</v>
      </c>
      <c r="P851" s="9">
        <f>0.17*Table2[[#This Row],[قيمة المحضر]]</f>
        <v>0</v>
      </c>
      <c r="Q851" s="9">
        <f t="shared" ca="1" si="83"/>
        <v>0</v>
      </c>
      <c r="R851" s="3"/>
      <c r="S851" s="3"/>
      <c r="T851" s="9" t="str">
        <f t="shared" si="84"/>
        <v>-</v>
      </c>
      <c r="U851" s="3"/>
      <c r="V851" s="9" t="str">
        <f t="shared" si="85"/>
        <v/>
      </c>
      <c r="W851" s="4"/>
      <c r="X851" s="88"/>
      <c r="Y851" s="1">
        <f t="shared" ca="1" si="86"/>
        <v>46162</v>
      </c>
      <c r="Z851" s="1" cm="1">
        <f t="array" ref="Z851">IF(D851&gt;DATE(2015,5,16),0,
K851*
(
INT((MIN(Y851,DATE(2015,5,16))-D851)/365)
+
CEILING(MOD((MIN(Y851,DATE(2015,5,16))-D851)/365,1),0.25)
)
*
_xlfn.SWITCH(J851,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51" s="1" cm="1">
        <f t="array" aca="1" ref="AA851" ca="1">IF(Y851&lt;DATE(2015,5,17),0,
K851*
(
INT((MIN(Y851,DATE(2018,9,23))-MAX(D851,DATE(2015,5,17)))/365)
+
CEILING(MOD((MIN(Y851,DATE(2018,9,23))-MAX(D851,DATE(2015,5,17)))/365,1),0.25)
)
*
_xlfn.SWITCH(J851,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51" s="1" cm="1">
        <f t="array" aca="1" ref="AB851" ca="1">IF(Y851&lt;DATE(2018,9,24),0,
IF(J851="زراعة",
K851*
(
INT((MIN(Y851,DATE(2023,4,30))-MAX(D851,DATE(2018,9,24)))/365)
+
CEILING(MOD((MIN(Y851,DATE(2023,4,30))-MAX(D851,DATE(2018,9,24)))/365,1),0.25)
)
*1,
K851*
(
DATEDIF(MAX(D851,DATE(2018,9,24)),MIN(Y851,DATE(2023,4,30)),"m")+1
)
*
_xlfn.SWITCH(J851,
"موقف/تندة",IF(D851&lt;DATE(2019,11,30),6,30),
"تشوينات",IF(D851&lt;DATE(2019,11,30),4,20),
"مشاتل",IF(D851&lt;DATE(2019,11,30),2,10),
"كافيتيريا",IF(D851&lt;DATE(2019,11,30),30,150),
"نوادي",IF(D851&lt;DATE(2019,11,30),6,30),
"رسو مراكب",IF(D851&lt;DATE(2019,11,30),2,10),
"مباني",IF(D851&lt;DATE(2018,9,24),2,10),
"عشش",IF(D851&lt;DATE(2019,11,30),2,10),
"كشك (تجاري/صناعي)",IF(D851&lt;DATE(2019,11,30),10,50),
"ردم",20,
0)))</f>
        <v>0</v>
      </c>
      <c r="AC851" s="1" cm="1">
        <f t="array" aca="1" ref="AC851" ca="1">IF(Y851&lt;DATE(2023,5,1),0,
IF(J851="زراعة",
K851*
(
INT((Y851-MAX(DATE(2023,5,1),D851))/365)
+
CEILING(MOD((Y851-MAX(DATE(2023,5,1),D851))/365,1),0.25)
)
*3,
IF(J851="ردم",
K851*20,
K851*
(
DATEDIF(MAX(DATE(2023,5,1),D851),Y851,"m")+1
)
*
_xlfn.SWITCH(J851,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51" s="1">
        <f t="shared" ca="1" si="87"/>
        <v>55</v>
      </c>
    </row>
    <row r="852" spans="1:30" ht="18.75" x14ac:dyDescent="0.25">
      <c r="A852" s="37">
        <v>787</v>
      </c>
      <c r="B852" s="63">
        <v>49</v>
      </c>
      <c r="C852" s="63">
        <v>2025</v>
      </c>
      <c r="D852" s="64" t="s">
        <v>971</v>
      </c>
      <c r="E852" s="11"/>
      <c r="F852" s="3"/>
      <c r="G852" s="63" t="s">
        <v>1023</v>
      </c>
      <c r="H852" s="3"/>
      <c r="I852" s="63" t="s">
        <v>50</v>
      </c>
      <c r="J852" s="3" t="s">
        <v>27</v>
      </c>
      <c r="K852" s="3"/>
      <c r="L852" s="3" t="s">
        <v>672</v>
      </c>
      <c r="M852" s="2"/>
      <c r="N852" s="3"/>
      <c r="O852" s="9">
        <f>0.47*Table2[[#This Row],[قيمة المحضر]]</f>
        <v>0</v>
      </c>
      <c r="P852" s="9">
        <f>0.17*Table2[[#This Row],[قيمة المحضر]]</f>
        <v>0</v>
      </c>
      <c r="Q852" s="9">
        <f t="shared" ca="1" si="83"/>
        <v>0</v>
      </c>
      <c r="R852" s="3"/>
      <c r="S852" s="3"/>
      <c r="T852" s="9" t="str">
        <f t="shared" si="84"/>
        <v>-</v>
      </c>
      <c r="U852" s="3"/>
      <c r="V852" s="9" t="str">
        <f t="shared" si="85"/>
        <v/>
      </c>
      <c r="W852" s="4"/>
      <c r="X852" s="88"/>
      <c r="Y852" s="1">
        <f t="shared" ca="1" si="86"/>
        <v>46162</v>
      </c>
      <c r="Z852" s="1" cm="1">
        <f t="array" ref="Z852">IF(D852&gt;DATE(2015,5,16),0,
K852*
(
INT((MIN(Y852,DATE(2015,5,16))-D852)/365)
+
CEILING(MOD((MIN(Y852,DATE(2015,5,16))-D852)/365,1),0.25)
)
*
_xlfn.SWITCH(J852,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52" s="1" cm="1">
        <f t="array" aca="1" ref="AA852" ca="1">IF(Y852&lt;DATE(2015,5,17),0,
K852*
(
INT((MIN(Y852,DATE(2018,9,23))-MAX(D852,DATE(2015,5,17)))/365)
+
CEILING(MOD((MIN(Y852,DATE(2018,9,23))-MAX(D852,DATE(2015,5,17)))/365,1),0.25)
)
*
_xlfn.SWITCH(J852,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52" s="1" cm="1">
        <f t="array" aca="1" ref="AB852" ca="1">IF(Y852&lt;DATE(2018,9,24),0,
IF(J852="زراعة",
K852*
(
INT((MIN(Y852,DATE(2023,4,30))-MAX(D852,DATE(2018,9,24)))/365)
+
CEILING(MOD((MIN(Y852,DATE(2023,4,30))-MAX(D852,DATE(2018,9,24)))/365,1),0.25)
)
*1,
K852*
(
DATEDIF(MAX(D852,DATE(2018,9,24)),MIN(Y852,DATE(2023,4,30)),"m")+1
)
*
_xlfn.SWITCH(J852,
"موقف/تندة",IF(D852&lt;DATE(2019,11,30),6,30),
"تشوينات",IF(D852&lt;DATE(2019,11,30),4,20),
"مشاتل",IF(D852&lt;DATE(2019,11,30),2,10),
"كافيتيريا",IF(D852&lt;DATE(2019,11,30),30,150),
"نوادي",IF(D852&lt;DATE(2019,11,30),6,30),
"رسو مراكب",IF(D852&lt;DATE(2019,11,30),2,10),
"مباني",IF(D852&lt;DATE(2018,9,24),2,10),
"عشش",IF(D852&lt;DATE(2019,11,30),2,10),
"كشك (تجاري/صناعي)",IF(D852&lt;DATE(2019,11,30),10,50),
"ردم",20,
0)))</f>
        <v>0</v>
      </c>
      <c r="AC852" s="1" cm="1">
        <f t="array" aca="1" ref="AC852" ca="1">IF(Y852&lt;DATE(2023,5,1),0,
IF(J852="زراعة",
K852*
(
INT((Y852-MAX(DATE(2023,5,1),D852))/365)
+
CEILING(MOD((Y852-MAX(DATE(2023,5,1),D852))/365,1),0.25)
)
*3,
IF(J852="ردم",
K852*20,
K852*
(
DATEDIF(MAX(DATE(2023,5,1),D852),Y852,"m")+1
)
*
_xlfn.SWITCH(J852,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52" s="1">
        <f t="shared" ca="1" si="87"/>
        <v>55</v>
      </c>
    </row>
    <row r="853" spans="1:30" ht="18.75" x14ac:dyDescent="0.25">
      <c r="A853" s="37">
        <v>788</v>
      </c>
      <c r="B853" s="63">
        <v>50</v>
      </c>
      <c r="C853" s="63">
        <v>2025</v>
      </c>
      <c r="D853" s="64" t="s">
        <v>971</v>
      </c>
      <c r="E853" s="11"/>
      <c r="F853" s="3"/>
      <c r="G853" s="63" t="s">
        <v>953</v>
      </c>
      <c r="H853" s="3"/>
      <c r="I853" s="63" t="s">
        <v>50</v>
      </c>
      <c r="J853" s="3" t="s">
        <v>27</v>
      </c>
      <c r="K853" s="3"/>
      <c r="L853" s="3" t="s">
        <v>672</v>
      </c>
      <c r="M853" s="2"/>
      <c r="N853" s="3"/>
      <c r="O853" s="9">
        <f>0.47*Table2[[#This Row],[قيمة المحضر]]</f>
        <v>0</v>
      </c>
      <c r="P853" s="9">
        <f>0.17*Table2[[#This Row],[قيمة المحضر]]</f>
        <v>0</v>
      </c>
      <c r="Q853" s="9">
        <f t="shared" ca="1" si="83"/>
        <v>0</v>
      </c>
      <c r="R853" s="3"/>
      <c r="S853" s="3"/>
      <c r="T853" s="9" t="str">
        <f t="shared" si="84"/>
        <v>-</v>
      </c>
      <c r="U853" s="3"/>
      <c r="V853" s="9" t="str">
        <f t="shared" si="85"/>
        <v/>
      </c>
      <c r="W853" s="4"/>
      <c r="X853" s="88"/>
      <c r="Y853" s="1">
        <f t="shared" ca="1" si="86"/>
        <v>46162</v>
      </c>
      <c r="Z853" s="1" cm="1">
        <f t="array" ref="Z853">IF(D853&gt;DATE(2015,5,16),0,
K853*
(
INT((MIN(Y853,DATE(2015,5,16))-D853)/365)
+
CEILING(MOD((MIN(Y853,DATE(2015,5,16))-D853)/365,1),0.25)
)
*
_xlfn.SWITCH(J853,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53" s="1" cm="1">
        <f t="array" aca="1" ref="AA853" ca="1">IF(Y853&lt;DATE(2015,5,17),0,
K853*
(
INT((MIN(Y853,DATE(2018,9,23))-MAX(D853,DATE(2015,5,17)))/365)
+
CEILING(MOD((MIN(Y853,DATE(2018,9,23))-MAX(D853,DATE(2015,5,17)))/365,1),0.25)
)
*
_xlfn.SWITCH(J853,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53" s="1" cm="1">
        <f t="array" aca="1" ref="AB853" ca="1">IF(Y853&lt;DATE(2018,9,24),0,
IF(J853="زراعة",
K853*
(
INT((MIN(Y853,DATE(2023,4,30))-MAX(D853,DATE(2018,9,24)))/365)
+
CEILING(MOD((MIN(Y853,DATE(2023,4,30))-MAX(D853,DATE(2018,9,24)))/365,1),0.25)
)
*1,
K853*
(
DATEDIF(MAX(D853,DATE(2018,9,24)),MIN(Y853,DATE(2023,4,30)),"m")+1
)
*
_xlfn.SWITCH(J853,
"موقف/تندة",IF(D853&lt;DATE(2019,11,30),6,30),
"تشوينات",IF(D853&lt;DATE(2019,11,30),4,20),
"مشاتل",IF(D853&lt;DATE(2019,11,30),2,10),
"كافيتيريا",IF(D853&lt;DATE(2019,11,30),30,150),
"نوادي",IF(D853&lt;DATE(2019,11,30),6,30),
"رسو مراكب",IF(D853&lt;DATE(2019,11,30),2,10),
"مباني",IF(D853&lt;DATE(2018,9,24),2,10),
"عشش",IF(D853&lt;DATE(2019,11,30),2,10),
"كشك (تجاري/صناعي)",IF(D853&lt;DATE(2019,11,30),10,50),
"ردم",20,
0)))</f>
        <v>0</v>
      </c>
      <c r="AC853" s="1" cm="1">
        <f t="array" aca="1" ref="AC853" ca="1">IF(Y853&lt;DATE(2023,5,1),0,
IF(J853="زراعة",
K853*
(
INT((Y853-MAX(DATE(2023,5,1),D853))/365)
+
CEILING(MOD((Y853-MAX(DATE(2023,5,1),D853))/365,1),0.25)
)
*3,
IF(J853="ردم",
K853*20,
K853*
(
DATEDIF(MAX(DATE(2023,5,1),D853),Y853,"m")+1
)
*
_xlfn.SWITCH(J853,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53" s="1">
        <f t="shared" ca="1" si="87"/>
        <v>55</v>
      </c>
    </row>
    <row r="854" spans="1:30" ht="18.75" x14ac:dyDescent="0.25">
      <c r="A854" s="37">
        <v>789</v>
      </c>
      <c r="B854" s="63">
        <v>51</v>
      </c>
      <c r="C854" s="63">
        <v>2025</v>
      </c>
      <c r="D854" s="64" t="s">
        <v>971</v>
      </c>
      <c r="E854" s="11"/>
      <c r="F854" s="3"/>
      <c r="G854" s="63" t="s">
        <v>1024</v>
      </c>
      <c r="H854" s="3"/>
      <c r="I854" s="63" t="s">
        <v>50</v>
      </c>
      <c r="J854" s="3" t="s">
        <v>27</v>
      </c>
      <c r="K854" s="3"/>
      <c r="L854" s="3" t="s">
        <v>672</v>
      </c>
      <c r="M854" s="2"/>
      <c r="N854" s="3"/>
      <c r="O854" s="9">
        <f>0.47*Table2[[#This Row],[قيمة المحضر]]</f>
        <v>0</v>
      </c>
      <c r="P854" s="9">
        <f>0.17*Table2[[#This Row],[قيمة المحضر]]</f>
        <v>0</v>
      </c>
      <c r="Q854" s="9">
        <f t="shared" ca="1" si="83"/>
        <v>0</v>
      </c>
      <c r="R854" s="3"/>
      <c r="S854" s="3"/>
      <c r="T854" s="9" t="str">
        <f t="shared" si="84"/>
        <v>-</v>
      </c>
      <c r="U854" s="3"/>
      <c r="V854" s="9" t="str">
        <f t="shared" si="85"/>
        <v/>
      </c>
      <c r="W854" s="4"/>
      <c r="X854" s="88"/>
      <c r="Y854" s="1">
        <f t="shared" ca="1" si="86"/>
        <v>46162</v>
      </c>
      <c r="Z854" s="1" cm="1">
        <f t="array" ref="Z854">IF(D854&gt;DATE(2015,5,16),0,
K854*
(
INT((MIN(Y854,DATE(2015,5,16))-D854)/365)
+
CEILING(MOD((MIN(Y854,DATE(2015,5,16))-D854)/365,1),0.25)
)
*
_xlfn.SWITCH(J854,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54" s="1" cm="1">
        <f t="array" aca="1" ref="AA854" ca="1">IF(Y854&lt;DATE(2015,5,17),0,
K854*
(
INT((MIN(Y854,DATE(2018,9,23))-MAX(D854,DATE(2015,5,17)))/365)
+
CEILING(MOD((MIN(Y854,DATE(2018,9,23))-MAX(D854,DATE(2015,5,17)))/365,1),0.25)
)
*
_xlfn.SWITCH(J854,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54" s="1" cm="1">
        <f t="array" aca="1" ref="AB854" ca="1">IF(Y854&lt;DATE(2018,9,24),0,
IF(J854="زراعة",
K854*
(
INT((MIN(Y854,DATE(2023,4,30))-MAX(D854,DATE(2018,9,24)))/365)
+
CEILING(MOD((MIN(Y854,DATE(2023,4,30))-MAX(D854,DATE(2018,9,24)))/365,1),0.25)
)
*1,
K854*
(
DATEDIF(MAX(D854,DATE(2018,9,24)),MIN(Y854,DATE(2023,4,30)),"m")+1
)
*
_xlfn.SWITCH(J854,
"موقف/تندة",IF(D854&lt;DATE(2019,11,30),6,30),
"تشوينات",IF(D854&lt;DATE(2019,11,30),4,20),
"مشاتل",IF(D854&lt;DATE(2019,11,30),2,10),
"كافيتيريا",IF(D854&lt;DATE(2019,11,30),30,150),
"نوادي",IF(D854&lt;DATE(2019,11,30),6,30),
"رسو مراكب",IF(D854&lt;DATE(2019,11,30),2,10),
"مباني",IF(D854&lt;DATE(2018,9,24),2,10),
"عشش",IF(D854&lt;DATE(2019,11,30),2,10),
"كشك (تجاري/صناعي)",IF(D854&lt;DATE(2019,11,30),10,50),
"ردم",20,
0)))</f>
        <v>0</v>
      </c>
      <c r="AC854" s="1" cm="1">
        <f t="array" aca="1" ref="AC854" ca="1">IF(Y854&lt;DATE(2023,5,1),0,
IF(J854="زراعة",
K854*
(
INT((Y854-MAX(DATE(2023,5,1),D854))/365)
+
CEILING(MOD((Y854-MAX(DATE(2023,5,1),D854))/365,1),0.25)
)
*3,
IF(J854="ردم",
K854*20,
K854*
(
DATEDIF(MAX(DATE(2023,5,1),D854),Y854,"m")+1
)
*
_xlfn.SWITCH(J854,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54" s="1">
        <f t="shared" ca="1" si="87"/>
        <v>55</v>
      </c>
    </row>
    <row r="855" spans="1:30" ht="18.75" x14ac:dyDescent="0.25">
      <c r="A855" s="37">
        <v>790</v>
      </c>
      <c r="B855" s="63">
        <v>52</v>
      </c>
      <c r="C855" s="63">
        <v>2025</v>
      </c>
      <c r="D855" s="64" t="s">
        <v>971</v>
      </c>
      <c r="E855" s="11"/>
      <c r="F855" s="3"/>
      <c r="G855" s="70" t="s">
        <v>1025</v>
      </c>
      <c r="H855" s="3"/>
      <c r="I855" s="63" t="s">
        <v>50</v>
      </c>
      <c r="J855" s="3" t="s">
        <v>27</v>
      </c>
      <c r="K855" s="3"/>
      <c r="L855" s="3" t="s">
        <v>672</v>
      </c>
      <c r="M855" s="2"/>
      <c r="N855" s="3"/>
      <c r="O855" s="9">
        <f>0.47*Table2[[#This Row],[قيمة المحضر]]</f>
        <v>0</v>
      </c>
      <c r="P855" s="9">
        <f>0.17*Table2[[#This Row],[قيمة المحضر]]</f>
        <v>0</v>
      </c>
      <c r="Q855" s="9">
        <f t="shared" ca="1" si="83"/>
        <v>0</v>
      </c>
      <c r="R855" s="3"/>
      <c r="S855" s="3"/>
      <c r="T855" s="9" t="str">
        <f t="shared" si="84"/>
        <v>-</v>
      </c>
      <c r="U855" s="3"/>
      <c r="V855" s="9" t="str">
        <f t="shared" si="85"/>
        <v/>
      </c>
      <c r="W855" s="4"/>
      <c r="X855" s="88"/>
      <c r="Y855" s="1">
        <f t="shared" ca="1" si="86"/>
        <v>46162</v>
      </c>
      <c r="Z855" s="1" cm="1">
        <f t="array" ref="Z855">IF(D855&gt;DATE(2015,5,16),0,
K855*
(
INT((MIN(Y855,DATE(2015,5,16))-D855)/365)
+
CEILING(MOD((MIN(Y855,DATE(2015,5,16))-D855)/365,1),0.25)
)
*
_xlfn.SWITCH(J855,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55" s="1" cm="1">
        <f t="array" aca="1" ref="AA855" ca="1">IF(Y855&lt;DATE(2015,5,17),0,
K855*
(
INT((MIN(Y855,DATE(2018,9,23))-MAX(D855,DATE(2015,5,17)))/365)
+
CEILING(MOD((MIN(Y855,DATE(2018,9,23))-MAX(D855,DATE(2015,5,17)))/365,1),0.25)
)
*
_xlfn.SWITCH(J855,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55" s="1" cm="1">
        <f t="array" aca="1" ref="AB855" ca="1">IF(Y855&lt;DATE(2018,9,24),0,
IF(J855="زراعة",
K855*
(
INT((MIN(Y855,DATE(2023,4,30))-MAX(D855,DATE(2018,9,24)))/365)
+
CEILING(MOD((MIN(Y855,DATE(2023,4,30))-MAX(D855,DATE(2018,9,24)))/365,1),0.25)
)
*1,
K855*
(
DATEDIF(MAX(D855,DATE(2018,9,24)),MIN(Y855,DATE(2023,4,30)),"m")+1
)
*
_xlfn.SWITCH(J855,
"موقف/تندة",IF(D855&lt;DATE(2019,11,30),6,30),
"تشوينات",IF(D855&lt;DATE(2019,11,30),4,20),
"مشاتل",IF(D855&lt;DATE(2019,11,30),2,10),
"كافيتيريا",IF(D855&lt;DATE(2019,11,30),30,150),
"نوادي",IF(D855&lt;DATE(2019,11,30),6,30),
"رسو مراكب",IF(D855&lt;DATE(2019,11,30),2,10),
"مباني",IF(D855&lt;DATE(2018,9,24),2,10),
"عشش",IF(D855&lt;DATE(2019,11,30),2,10),
"كشك (تجاري/صناعي)",IF(D855&lt;DATE(2019,11,30),10,50),
"ردم",20,
0)))</f>
        <v>0</v>
      </c>
      <c r="AC855" s="1" cm="1">
        <f t="array" aca="1" ref="AC855" ca="1">IF(Y855&lt;DATE(2023,5,1),0,
IF(J855="زراعة",
K855*
(
INT((Y855-MAX(DATE(2023,5,1),D855))/365)
+
CEILING(MOD((Y855-MAX(DATE(2023,5,1),D855))/365,1),0.25)
)
*3,
IF(J855="ردم",
K855*20,
K855*
(
DATEDIF(MAX(DATE(2023,5,1),D855),Y855,"m")+1
)
*
_xlfn.SWITCH(J855,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55" s="1">
        <f t="shared" ca="1" si="87"/>
        <v>55</v>
      </c>
    </row>
    <row r="856" spans="1:30" ht="18.75" x14ac:dyDescent="0.25">
      <c r="A856" s="37">
        <v>791</v>
      </c>
      <c r="B856" s="63">
        <v>53</v>
      </c>
      <c r="C856" s="63">
        <v>2025</v>
      </c>
      <c r="D856" s="64" t="s">
        <v>971</v>
      </c>
      <c r="E856" s="11"/>
      <c r="F856" s="3"/>
      <c r="G856" s="70" t="s">
        <v>1026</v>
      </c>
      <c r="H856" s="3"/>
      <c r="I856" s="63" t="s">
        <v>50</v>
      </c>
      <c r="J856" s="3" t="s">
        <v>27</v>
      </c>
      <c r="K856" s="3"/>
      <c r="L856" s="3" t="s">
        <v>672</v>
      </c>
      <c r="M856" s="2"/>
      <c r="N856" s="3"/>
      <c r="O856" s="9">
        <f>0.47*Table2[[#This Row],[قيمة المحضر]]</f>
        <v>0</v>
      </c>
      <c r="P856" s="9">
        <f>0.17*Table2[[#This Row],[قيمة المحضر]]</f>
        <v>0</v>
      </c>
      <c r="Q856" s="9">
        <f t="shared" ca="1" si="83"/>
        <v>0</v>
      </c>
      <c r="R856" s="3"/>
      <c r="S856" s="3"/>
      <c r="T856" s="9" t="str">
        <f t="shared" si="84"/>
        <v>-</v>
      </c>
      <c r="U856" s="3"/>
      <c r="V856" s="9" t="str">
        <f t="shared" si="85"/>
        <v/>
      </c>
      <c r="W856" s="4"/>
      <c r="X856" s="88"/>
      <c r="Y856" s="1">
        <f t="shared" ca="1" si="86"/>
        <v>46162</v>
      </c>
      <c r="Z856" s="1" cm="1">
        <f t="array" ref="Z856">IF(D856&gt;DATE(2015,5,16),0,
K856*
(
INT((MIN(Y856,DATE(2015,5,16))-D856)/365)
+
CEILING(MOD((MIN(Y856,DATE(2015,5,16))-D856)/365,1),0.25)
)
*
_xlfn.SWITCH(J856,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56" s="1" cm="1">
        <f t="array" aca="1" ref="AA856" ca="1">IF(Y856&lt;DATE(2015,5,17),0,
K856*
(
INT((MIN(Y856,DATE(2018,9,23))-MAX(D856,DATE(2015,5,17)))/365)
+
CEILING(MOD((MIN(Y856,DATE(2018,9,23))-MAX(D856,DATE(2015,5,17)))/365,1),0.25)
)
*
_xlfn.SWITCH(J856,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56" s="1" cm="1">
        <f t="array" aca="1" ref="AB856" ca="1">IF(Y856&lt;DATE(2018,9,24),0,
IF(J856="زراعة",
K856*
(
INT((MIN(Y856,DATE(2023,4,30))-MAX(D856,DATE(2018,9,24)))/365)
+
CEILING(MOD((MIN(Y856,DATE(2023,4,30))-MAX(D856,DATE(2018,9,24)))/365,1),0.25)
)
*1,
K856*
(
DATEDIF(MAX(D856,DATE(2018,9,24)),MIN(Y856,DATE(2023,4,30)),"m")+1
)
*
_xlfn.SWITCH(J856,
"موقف/تندة",IF(D856&lt;DATE(2019,11,30),6,30),
"تشوينات",IF(D856&lt;DATE(2019,11,30),4,20),
"مشاتل",IF(D856&lt;DATE(2019,11,30),2,10),
"كافيتيريا",IF(D856&lt;DATE(2019,11,30),30,150),
"نوادي",IF(D856&lt;DATE(2019,11,30),6,30),
"رسو مراكب",IF(D856&lt;DATE(2019,11,30),2,10),
"مباني",IF(D856&lt;DATE(2018,9,24),2,10),
"عشش",IF(D856&lt;DATE(2019,11,30),2,10),
"كشك (تجاري/صناعي)",IF(D856&lt;DATE(2019,11,30),10,50),
"ردم",20,
0)))</f>
        <v>0</v>
      </c>
      <c r="AC856" s="1" cm="1">
        <f t="array" aca="1" ref="AC856" ca="1">IF(Y856&lt;DATE(2023,5,1),0,
IF(J856="زراعة",
K856*
(
INT((Y856-MAX(DATE(2023,5,1),D856))/365)
+
CEILING(MOD((Y856-MAX(DATE(2023,5,1),D856))/365,1),0.25)
)
*3,
IF(J856="ردم",
K856*20,
K856*
(
DATEDIF(MAX(DATE(2023,5,1),D856),Y856,"m")+1
)
*
_xlfn.SWITCH(J856,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56" s="1">
        <f t="shared" ca="1" si="87"/>
        <v>55</v>
      </c>
    </row>
    <row r="857" spans="1:30" ht="18.75" x14ac:dyDescent="0.25">
      <c r="A857" s="37">
        <v>792</v>
      </c>
      <c r="B857" s="63">
        <v>54</v>
      </c>
      <c r="C857" s="63">
        <v>2025</v>
      </c>
      <c r="D857" s="64" t="s">
        <v>971</v>
      </c>
      <c r="E857" s="11"/>
      <c r="F857" s="3"/>
      <c r="G857" s="70" t="s">
        <v>954</v>
      </c>
      <c r="H857" s="3"/>
      <c r="I857" s="63" t="s">
        <v>50</v>
      </c>
      <c r="J857" s="3" t="s">
        <v>27</v>
      </c>
      <c r="K857" s="3"/>
      <c r="L857" s="3" t="s">
        <v>672</v>
      </c>
      <c r="M857" s="2"/>
      <c r="N857" s="3"/>
      <c r="O857" s="9">
        <f>0.47*Table2[[#This Row],[قيمة المحضر]]</f>
        <v>0</v>
      </c>
      <c r="P857" s="9">
        <f>0.17*Table2[[#This Row],[قيمة المحضر]]</f>
        <v>0</v>
      </c>
      <c r="Q857" s="9">
        <f t="shared" ca="1" si="83"/>
        <v>0</v>
      </c>
      <c r="R857" s="3"/>
      <c r="S857" s="3"/>
      <c r="T857" s="9" t="str">
        <f t="shared" si="84"/>
        <v>-</v>
      </c>
      <c r="U857" s="3"/>
      <c r="V857" s="9" t="str">
        <f t="shared" si="85"/>
        <v/>
      </c>
      <c r="W857" s="4"/>
      <c r="X857" s="88"/>
      <c r="Y857" s="1">
        <f t="shared" ca="1" si="86"/>
        <v>46162</v>
      </c>
      <c r="Z857" s="1" cm="1">
        <f t="array" ref="Z857">IF(D857&gt;DATE(2015,5,16),0,
K857*
(
INT((MIN(Y857,DATE(2015,5,16))-D857)/365)
+
CEILING(MOD((MIN(Y857,DATE(2015,5,16))-D857)/365,1),0.25)
)
*
_xlfn.SWITCH(J857,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57" s="1" cm="1">
        <f t="array" aca="1" ref="AA857" ca="1">IF(Y857&lt;DATE(2015,5,17),0,
K857*
(
INT((MIN(Y857,DATE(2018,9,23))-MAX(D857,DATE(2015,5,17)))/365)
+
CEILING(MOD((MIN(Y857,DATE(2018,9,23))-MAX(D857,DATE(2015,5,17)))/365,1),0.25)
)
*
_xlfn.SWITCH(J857,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57" s="1" cm="1">
        <f t="array" aca="1" ref="AB857" ca="1">IF(Y857&lt;DATE(2018,9,24),0,
IF(J857="زراعة",
K857*
(
INT((MIN(Y857,DATE(2023,4,30))-MAX(D857,DATE(2018,9,24)))/365)
+
CEILING(MOD((MIN(Y857,DATE(2023,4,30))-MAX(D857,DATE(2018,9,24)))/365,1),0.25)
)
*1,
K857*
(
DATEDIF(MAX(D857,DATE(2018,9,24)),MIN(Y857,DATE(2023,4,30)),"m")+1
)
*
_xlfn.SWITCH(J857,
"موقف/تندة",IF(D857&lt;DATE(2019,11,30),6,30),
"تشوينات",IF(D857&lt;DATE(2019,11,30),4,20),
"مشاتل",IF(D857&lt;DATE(2019,11,30),2,10),
"كافيتيريا",IF(D857&lt;DATE(2019,11,30),30,150),
"نوادي",IF(D857&lt;DATE(2019,11,30),6,30),
"رسو مراكب",IF(D857&lt;DATE(2019,11,30),2,10),
"مباني",IF(D857&lt;DATE(2018,9,24),2,10),
"عشش",IF(D857&lt;DATE(2019,11,30),2,10),
"كشك (تجاري/صناعي)",IF(D857&lt;DATE(2019,11,30),10,50),
"ردم",20,
0)))</f>
        <v>0</v>
      </c>
      <c r="AC857" s="1" cm="1">
        <f t="array" aca="1" ref="AC857" ca="1">IF(Y857&lt;DATE(2023,5,1),0,
IF(J857="زراعة",
K857*
(
INT((Y857-MAX(DATE(2023,5,1),D857))/365)
+
CEILING(MOD((Y857-MAX(DATE(2023,5,1),D857))/365,1),0.25)
)
*3,
IF(J857="ردم",
K857*20,
K857*
(
DATEDIF(MAX(DATE(2023,5,1),D857),Y857,"m")+1
)
*
_xlfn.SWITCH(J857,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57" s="1">
        <f t="shared" ca="1" si="87"/>
        <v>55</v>
      </c>
    </row>
    <row r="858" spans="1:30" ht="18.75" x14ac:dyDescent="0.25">
      <c r="A858" s="37">
        <v>793</v>
      </c>
      <c r="B858" s="63">
        <v>55</v>
      </c>
      <c r="C858" s="63">
        <v>2025</v>
      </c>
      <c r="D858" s="64" t="s">
        <v>971</v>
      </c>
      <c r="E858" s="11"/>
      <c r="F858" s="3"/>
      <c r="G858" s="70" t="s">
        <v>1027</v>
      </c>
      <c r="H858" s="3"/>
      <c r="I858" s="63" t="s">
        <v>50</v>
      </c>
      <c r="J858" s="3" t="s">
        <v>27</v>
      </c>
      <c r="K858" s="3"/>
      <c r="L858" s="3" t="s">
        <v>672</v>
      </c>
      <c r="M858" s="2"/>
      <c r="N858" s="3"/>
      <c r="O858" s="9">
        <f>0.47*Table2[[#This Row],[قيمة المحضر]]</f>
        <v>0</v>
      </c>
      <c r="P858" s="9">
        <f>0.17*Table2[[#This Row],[قيمة المحضر]]</f>
        <v>0</v>
      </c>
      <c r="Q858" s="9">
        <f t="shared" ca="1" si="83"/>
        <v>0</v>
      </c>
      <c r="R858" s="3"/>
      <c r="S858" s="3"/>
      <c r="T858" s="9" t="str">
        <f t="shared" si="84"/>
        <v>-</v>
      </c>
      <c r="U858" s="3"/>
      <c r="V858" s="9" t="str">
        <f t="shared" si="85"/>
        <v/>
      </c>
      <c r="W858" s="4"/>
      <c r="X858" s="88"/>
      <c r="Y858" s="1">
        <f t="shared" ca="1" si="86"/>
        <v>46162</v>
      </c>
      <c r="Z858" s="1" cm="1">
        <f t="array" ref="Z858">IF(D858&gt;DATE(2015,5,16),0,
K858*
(
INT((MIN(Y858,DATE(2015,5,16))-D858)/365)
+
CEILING(MOD((MIN(Y858,DATE(2015,5,16))-D858)/365,1),0.25)
)
*
_xlfn.SWITCH(J858,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58" s="1" cm="1">
        <f t="array" aca="1" ref="AA858" ca="1">IF(Y858&lt;DATE(2015,5,17),0,
K858*
(
INT((MIN(Y858,DATE(2018,9,23))-MAX(D858,DATE(2015,5,17)))/365)
+
CEILING(MOD((MIN(Y858,DATE(2018,9,23))-MAX(D858,DATE(2015,5,17)))/365,1),0.25)
)
*
_xlfn.SWITCH(J858,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58" s="1" cm="1">
        <f t="array" aca="1" ref="AB858" ca="1">IF(Y858&lt;DATE(2018,9,24),0,
IF(J858="زراعة",
K858*
(
INT((MIN(Y858,DATE(2023,4,30))-MAX(D858,DATE(2018,9,24)))/365)
+
CEILING(MOD((MIN(Y858,DATE(2023,4,30))-MAX(D858,DATE(2018,9,24)))/365,1),0.25)
)
*1,
K858*
(
DATEDIF(MAX(D858,DATE(2018,9,24)),MIN(Y858,DATE(2023,4,30)),"m")+1
)
*
_xlfn.SWITCH(J858,
"موقف/تندة",IF(D858&lt;DATE(2019,11,30),6,30),
"تشوينات",IF(D858&lt;DATE(2019,11,30),4,20),
"مشاتل",IF(D858&lt;DATE(2019,11,30),2,10),
"كافيتيريا",IF(D858&lt;DATE(2019,11,30),30,150),
"نوادي",IF(D858&lt;DATE(2019,11,30),6,30),
"رسو مراكب",IF(D858&lt;DATE(2019,11,30),2,10),
"مباني",IF(D858&lt;DATE(2018,9,24),2,10),
"عشش",IF(D858&lt;DATE(2019,11,30),2,10),
"كشك (تجاري/صناعي)",IF(D858&lt;DATE(2019,11,30),10,50),
"ردم",20,
0)))</f>
        <v>0</v>
      </c>
      <c r="AC858" s="1" cm="1">
        <f t="array" aca="1" ref="AC858" ca="1">IF(Y858&lt;DATE(2023,5,1),0,
IF(J858="زراعة",
K858*
(
INT((Y858-MAX(DATE(2023,5,1),D858))/365)
+
CEILING(MOD((Y858-MAX(DATE(2023,5,1),D858))/365,1),0.25)
)
*3,
IF(J858="ردم",
K858*20,
K858*
(
DATEDIF(MAX(DATE(2023,5,1),D858),Y858,"m")+1
)
*
_xlfn.SWITCH(J858,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58" s="1">
        <f t="shared" ca="1" si="87"/>
        <v>55</v>
      </c>
    </row>
    <row r="859" spans="1:30" ht="18.75" x14ac:dyDescent="0.25">
      <c r="A859" s="37">
        <v>794</v>
      </c>
      <c r="B859" s="63">
        <v>56</v>
      </c>
      <c r="C859" s="63">
        <v>2025</v>
      </c>
      <c r="D859" s="64" t="s">
        <v>971</v>
      </c>
      <c r="E859" s="11"/>
      <c r="F859" s="3"/>
      <c r="G859" s="70" t="s">
        <v>1028</v>
      </c>
      <c r="H859" s="3"/>
      <c r="I859" s="63" t="s">
        <v>50</v>
      </c>
      <c r="J859" s="3" t="s">
        <v>27</v>
      </c>
      <c r="K859" s="3"/>
      <c r="L859" s="3" t="s">
        <v>672</v>
      </c>
      <c r="M859" s="2"/>
      <c r="N859" s="3"/>
      <c r="O859" s="9">
        <f>0.47*Table2[[#This Row],[قيمة المحضر]]</f>
        <v>0</v>
      </c>
      <c r="P859" s="9">
        <f>0.17*Table2[[#This Row],[قيمة المحضر]]</f>
        <v>0</v>
      </c>
      <c r="Q859" s="9">
        <f t="shared" ca="1" si="83"/>
        <v>0</v>
      </c>
      <c r="R859" s="3"/>
      <c r="S859" s="3"/>
      <c r="T859" s="9" t="str">
        <f t="shared" si="84"/>
        <v>-</v>
      </c>
      <c r="U859" s="3"/>
      <c r="V859" s="9" t="str">
        <f t="shared" si="85"/>
        <v/>
      </c>
      <c r="W859" s="4"/>
      <c r="X859" s="88"/>
      <c r="Y859" s="1">
        <f t="shared" ca="1" si="86"/>
        <v>46162</v>
      </c>
      <c r="Z859" s="1" cm="1">
        <f t="array" ref="Z859">IF(D859&gt;DATE(2015,5,16),0,
K859*
(
INT((MIN(Y859,DATE(2015,5,16))-D859)/365)
+
CEILING(MOD((MIN(Y859,DATE(2015,5,16))-D859)/365,1),0.25)
)
*
_xlfn.SWITCH(J859,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59" s="1" cm="1">
        <f t="array" aca="1" ref="AA859" ca="1">IF(Y859&lt;DATE(2015,5,17),0,
K859*
(
INT((MIN(Y859,DATE(2018,9,23))-MAX(D859,DATE(2015,5,17)))/365)
+
CEILING(MOD((MIN(Y859,DATE(2018,9,23))-MAX(D859,DATE(2015,5,17)))/365,1),0.25)
)
*
_xlfn.SWITCH(J859,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59" s="1" cm="1">
        <f t="array" aca="1" ref="AB859" ca="1">IF(Y859&lt;DATE(2018,9,24),0,
IF(J859="زراعة",
K859*
(
INT((MIN(Y859,DATE(2023,4,30))-MAX(D859,DATE(2018,9,24)))/365)
+
CEILING(MOD((MIN(Y859,DATE(2023,4,30))-MAX(D859,DATE(2018,9,24)))/365,1),0.25)
)
*1,
K859*
(
DATEDIF(MAX(D859,DATE(2018,9,24)),MIN(Y859,DATE(2023,4,30)),"m")+1
)
*
_xlfn.SWITCH(J859,
"موقف/تندة",IF(D859&lt;DATE(2019,11,30),6,30),
"تشوينات",IF(D859&lt;DATE(2019,11,30),4,20),
"مشاتل",IF(D859&lt;DATE(2019,11,30),2,10),
"كافيتيريا",IF(D859&lt;DATE(2019,11,30),30,150),
"نوادي",IF(D859&lt;DATE(2019,11,30),6,30),
"رسو مراكب",IF(D859&lt;DATE(2019,11,30),2,10),
"مباني",IF(D859&lt;DATE(2018,9,24),2,10),
"عشش",IF(D859&lt;DATE(2019,11,30),2,10),
"كشك (تجاري/صناعي)",IF(D859&lt;DATE(2019,11,30),10,50),
"ردم",20,
0)))</f>
        <v>0</v>
      </c>
      <c r="AC859" s="1" cm="1">
        <f t="array" aca="1" ref="AC859" ca="1">IF(Y859&lt;DATE(2023,5,1),0,
IF(J859="زراعة",
K859*
(
INT((Y859-MAX(DATE(2023,5,1),D859))/365)
+
CEILING(MOD((Y859-MAX(DATE(2023,5,1),D859))/365,1),0.25)
)
*3,
IF(J859="ردم",
K859*20,
K859*
(
DATEDIF(MAX(DATE(2023,5,1),D859),Y859,"m")+1
)
*
_xlfn.SWITCH(J859,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59" s="1">
        <f t="shared" ca="1" si="87"/>
        <v>55</v>
      </c>
    </row>
    <row r="860" spans="1:30" ht="18.75" x14ac:dyDescent="0.25">
      <c r="A860" s="37">
        <v>795</v>
      </c>
      <c r="B860" s="63">
        <v>57</v>
      </c>
      <c r="C860" s="63">
        <v>2025</v>
      </c>
      <c r="D860" s="64" t="s">
        <v>971</v>
      </c>
      <c r="E860" s="11"/>
      <c r="F860" s="3"/>
      <c r="G860" s="70" t="s">
        <v>1029</v>
      </c>
      <c r="H860" s="3"/>
      <c r="I860" s="63" t="s">
        <v>50</v>
      </c>
      <c r="J860" s="3" t="s">
        <v>27</v>
      </c>
      <c r="K860" s="3"/>
      <c r="L860" s="3" t="s">
        <v>672</v>
      </c>
      <c r="M860" s="2"/>
      <c r="N860" s="3"/>
      <c r="O860" s="9">
        <f>0.47*Table2[[#This Row],[قيمة المحضر]]</f>
        <v>0</v>
      </c>
      <c r="P860" s="9">
        <f>0.17*Table2[[#This Row],[قيمة المحضر]]</f>
        <v>0</v>
      </c>
      <c r="Q860" s="9">
        <f t="shared" ca="1" si="83"/>
        <v>0</v>
      </c>
      <c r="R860" s="3"/>
      <c r="S860" s="3"/>
      <c r="T860" s="9" t="str">
        <f t="shared" si="84"/>
        <v>-</v>
      </c>
      <c r="U860" s="3"/>
      <c r="V860" s="9" t="str">
        <f t="shared" si="85"/>
        <v/>
      </c>
      <c r="W860" s="4"/>
      <c r="X860" s="88"/>
      <c r="Y860" s="1">
        <f t="shared" ca="1" si="86"/>
        <v>46162</v>
      </c>
      <c r="Z860" s="1" cm="1">
        <f t="array" ref="Z860">IF(D860&gt;DATE(2015,5,16),0,
K860*
(
INT((MIN(Y860,DATE(2015,5,16))-D860)/365)
+
CEILING(MOD((MIN(Y860,DATE(2015,5,16))-D860)/365,1),0.25)
)
*
_xlfn.SWITCH(J860,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60" s="1" cm="1">
        <f t="array" aca="1" ref="AA860" ca="1">IF(Y860&lt;DATE(2015,5,17),0,
K860*
(
INT((MIN(Y860,DATE(2018,9,23))-MAX(D860,DATE(2015,5,17)))/365)
+
CEILING(MOD((MIN(Y860,DATE(2018,9,23))-MAX(D860,DATE(2015,5,17)))/365,1),0.25)
)
*
_xlfn.SWITCH(J860,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60" s="1" cm="1">
        <f t="array" aca="1" ref="AB860" ca="1">IF(Y860&lt;DATE(2018,9,24),0,
IF(J860="زراعة",
K860*
(
INT((MIN(Y860,DATE(2023,4,30))-MAX(D860,DATE(2018,9,24)))/365)
+
CEILING(MOD((MIN(Y860,DATE(2023,4,30))-MAX(D860,DATE(2018,9,24)))/365,1),0.25)
)
*1,
K860*
(
DATEDIF(MAX(D860,DATE(2018,9,24)),MIN(Y860,DATE(2023,4,30)),"m")+1
)
*
_xlfn.SWITCH(J860,
"موقف/تندة",IF(D860&lt;DATE(2019,11,30),6,30),
"تشوينات",IF(D860&lt;DATE(2019,11,30),4,20),
"مشاتل",IF(D860&lt;DATE(2019,11,30),2,10),
"كافيتيريا",IF(D860&lt;DATE(2019,11,30),30,150),
"نوادي",IF(D860&lt;DATE(2019,11,30),6,30),
"رسو مراكب",IF(D860&lt;DATE(2019,11,30),2,10),
"مباني",IF(D860&lt;DATE(2018,9,24),2,10),
"عشش",IF(D860&lt;DATE(2019,11,30),2,10),
"كشك (تجاري/صناعي)",IF(D860&lt;DATE(2019,11,30),10,50),
"ردم",20,
0)))</f>
        <v>0</v>
      </c>
      <c r="AC860" s="1" cm="1">
        <f t="array" aca="1" ref="AC860" ca="1">IF(Y860&lt;DATE(2023,5,1),0,
IF(J860="زراعة",
K860*
(
INT((Y860-MAX(DATE(2023,5,1),D860))/365)
+
CEILING(MOD((Y860-MAX(DATE(2023,5,1),D860))/365,1),0.25)
)
*3,
IF(J860="ردم",
K860*20,
K860*
(
DATEDIF(MAX(DATE(2023,5,1),D860),Y860,"m")+1
)
*
_xlfn.SWITCH(J860,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60" s="1">
        <f t="shared" ca="1" si="87"/>
        <v>55</v>
      </c>
    </row>
    <row r="861" spans="1:30" ht="18.75" x14ac:dyDescent="0.25">
      <c r="A861" s="37">
        <v>796</v>
      </c>
      <c r="B861" s="63">
        <v>58</v>
      </c>
      <c r="C861" s="63">
        <v>2025</v>
      </c>
      <c r="D861" s="64" t="s">
        <v>971</v>
      </c>
      <c r="E861" s="11"/>
      <c r="F861" s="3"/>
      <c r="G861" s="70" t="s">
        <v>1030</v>
      </c>
      <c r="H861" s="3"/>
      <c r="I861" s="63" t="s">
        <v>50</v>
      </c>
      <c r="J861" s="3" t="s">
        <v>27</v>
      </c>
      <c r="K861" s="3"/>
      <c r="L861" s="3" t="s">
        <v>672</v>
      </c>
      <c r="M861" s="2"/>
      <c r="N861" s="3"/>
      <c r="O861" s="9">
        <f>0.47*Table2[[#This Row],[قيمة المحضر]]</f>
        <v>0</v>
      </c>
      <c r="P861" s="9">
        <f>0.17*Table2[[#This Row],[قيمة المحضر]]</f>
        <v>0</v>
      </c>
      <c r="Q861" s="9">
        <f t="shared" ca="1" si="83"/>
        <v>0</v>
      </c>
      <c r="R861" s="3"/>
      <c r="S861" s="3"/>
      <c r="T861" s="9" t="str">
        <f t="shared" si="84"/>
        <v>-</v>
      </c>
      <c r="U861" s="3"/>
      <c r="V861" s="9" t="str">
        <f t="shared" si="85"/>
        <v/>
      </c>
      <c r="W861" s="4"/>
      <c r="X861" s="88"/>
      <c r="Y861" s="1">
        <f t="shared" ca="1" si="86"/>
        <v>46162</v>
      </c>
      <c r="Z861" s="1" cm="1">
        <f t="array" ref="Z861">IF(D861&gt;DATE(2015,5,16),0,
K861*
(
INT((MIN(Y861,DATE(2015,5,16))-D861)/365)
+
CEILING(MOD((MIN(Y861,DATE(2015,5,16))-D861)/365,1),0.25)
)
*
_xlfn.SWITCH(J861,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61" s="1" cm="1">
        <f t="array" aca="1" ref="AA861" ca="1">IF(Y861&lt;DATE(2015,5,17),0,
K861*
(
INT((MIN(Y861,DATE(2018,9,23))-MAX(D861,DATE(2015,5,17)))/365)
+
CEILING(MOD((MIN(Y861,DATE(2018,9,23))-MAX(D861,DATE(2015,5,17)))/365,1),0.25)
)
*
_xlfn.SWITCH(J861,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61" s="1" cm="1">
        <f t="array" aca="1" ref="AB861" ca="1">IF(Y861&lt;DATE(2018,9,24),0,
IF(J861="زراعة",
K861*
(
INT((MIN(Y861,DATE(2023,4,30))-MAX(D861,DATE(2018,9,24)))/365)
+
CEILING(MOD((MIN(Y861,DATE(2023,4,30))-MAX(D861,DATE(2018,9,24)))/365,1),0.25)
)
*1,
K861*
(
DATEDIF(MAX(D861,DATE(2018,9,24)),MIN(Y861,DATE(2023,4,30)),"m")+1
)
*
_xlfn.SWITCH(J861,
"موقف/تندة",IF(D861&lt;DATE(2019,11,30),6,30),
"تشوينات",IF(D861&lt;DATE(2019,11,30),4,20),
"مشاتل",IF(D861&lt;DATE(2019,11,30),2,10),
"كافيتيريا",IF(D861&lt;DATE(2019,11,30),30,150),
"نوادي",IF(D861&lt;DATE(2019,11,30),6,30),
"رسو مراكب",IF(D861&lt;DATE(2019,11,30),2,10),
"مباني",IF(D861&lt;DATE(2018,9,24),2,10),
"عشش",IF(D861&lt;DATE(2019,11,30),2,10),
"كشك (تجاري/صناعي)",IF(D861&lt;DATE(2019,11,30),10,50),
"ردم",20,
0)))</f>
        <v>0</v>
      </c>
      <c r="AC861" s="1" cm="1">
        <f t="array" aca="1" ref="AC861" ca="1">IF(Y861&lt;DATE(2023,5,1),0,
IF(J861="زراعة",
K861*
(
INT((Y861-MAX(DATE(2023,5,1),D861))/365)
+
CEILING(MOD((Y861-MAX(DATE(2023,5,1),D861))/365,1),0.25)
)
*3,
IF(J861="ردم",
K861*20,
K861*
(
DATEDIF(MAX(DATE(2023,5,1),D861),Y861,"m")+1
)
*
_xlfn.SWITCH(J861,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61" s="1">
        <f t="shared" ca="1" si="87"/>
        <v>55</v>
      </c>
    </row>
    <row r="862" spans="1:30" ht="18.75" x14ac:dyDescent="0.25">
      <c r="A862" s="37">
        <v>797</v>
      </c>
      <c r="B862" s="63">
        <v>59</v>
      </c>
      <c r="C862" s="63">
        <v>2025</v>
      </c>
      <c r="D862" s="64" t="s">
        <v>971</v>
      </c>
      <c r="E862" s="11"/>
      <c r="F862" s="3"/>
      <c r="G862" s="70" t="s">
        <v>1031</v>
      </c>
      <c r="H862" s="3"/>
      <c r="I862" s="63" t="s">
        <v>50</v>
      </c>
      <c r="J862" s="3" t="s">
        <v>27</v>
      </c>
      <c r="K862" s="3"/>
      <c r="L862" s="3" t="s">
        <v>672</v>
      </c>
      <c r="M862" s="2"/>
      <c r="N862" s="3"/>
      <c r="O862" s="9">
        <f>0.47*Table2[[#This Row],[قيمة المحضر]]</f>
        <v>0</v>
      </c>
      <c r="P862" s="9">
        <f>0.17*Table2[[#This Row],[قيمة المحضر]]</f>
        <v>0</v>
      </c>
      <c r="Q862" s="9">
        <f t="shared" ca="1" si="83"/>
        <v>0</v>
      </c>
      <c r="R862" s="3"/>
      <c r="S862" s="3"/>
      <c r="T862" s="9" t="str">
        <f t="shared" si="84"/>
        <v>-</v>
      </c>
      <c r="U862" s="3"/>
      <c r="V862" s="9" t="str">
        <f t="shared" si="85"/>
        <v/>
      </c>
      <c r="W862" s="4"/>
      <c r="X862" s="88"/>
      <c r="Y862" s="1">
        <f t="shared" ca="1" si="86"/>
        <v>46162</v>
      </c>
      <c r="Z862" s="1" cm="1">
        <f t="array" ref="Z862">IF(D862&gt;DATE(2015,5,16),0,
K862*
(
INT((MIN(Y862,DATE(2015,5,16))-D862)/365)
+
CEILING(MOD((MIN(Y862,DATE(2015,5,16))-D862)/365,1),0.25)
)
*
_xlfn.SWITCH(J862,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62" s="1" cm="1">
        <f t="array" aca="1" ref="AA862" ca="1">IF(Y862&lt;DATE(2015,5,17),0,
K862*
(
INT((MIN(Y862,DATE(2018,9,23))-MAX(D862,DATE(2015,5,17)))/365)
+
CEILING(MOD((MIN(Y862,DATE(2018,9,23))-MAX(D862,DATE(2015,5,17)))/365,1),0.25)
)
*
_xlfn.SWITCH(J862,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62" s="1" cm="1">
        <f t="array" aca="1" ref="AB862" ca="1">IF(Y862&lt;DATE(2018,9,24),0,
IF(J862="زراعة",
K862*
(
INT((MIN(Y862,DATE(2023,4,30))-MAX(D862,DATE(2018,9,24)))/365)
+
CEILING(MOD((MIN(Y862,DATE(2023,4,30))-MAX(D862,DATE(2018,9,24)))/365,1),0.25)
)
*1,
K862*
(
DATEDIF(MAX(D862,DATE(2018,9,24)),MIN(Y862,DATE(2023,4,30)),"m")+1
)
*
_xlfn.SWITCH(J862,
"موقف/تندة",IF(D862&lt;DATE(2019,11,30),6,30),
"تشوينات",IF(D862&lt;DATE(2019,11,30),4,20),
"مشاتل",IF(D862&lt;DATE(2019,11,30),2,10),
"كافيتيريا",IF(D862&lt;DATE(2019,11,30),30,150),
"نوادي",IF(D862&lt;DATE(2019,11,30),6,30),
"رسو مراكب",IF(D862&lt;DATE(2019,11,30),2,10),
"مباني",IF(D862&lt;DATE(2018,9,24),2,10),
"عشش",IF(D862&lt;DATE(2019,11,30),2,10),
"كشك (تجاري/صناعي)",IF(D862&lt;DATE(2019,11,30),10,50),
"ردم",20,
0)))</f>
        <v>0</v>
      </c>
      <c r="AC862" s="1" cm="1">
        <f t="array" aca="1" ref="AC862" ca="1">IF(Y862&lt;DATE(2023,5,1),0,
IF(J862="زراعة",
K862*
(
INT((Y862-MAX(DATE(2023,5,1),D862))/365)
+
CEILING(MOD((Y862-MAX(DATE(2023,5,1),D862))/365,1),0.25)
)
*3,
IF(J862="ردم",
K862*20,
K862*
(
DATEDIF(MAX(DATE(2023,5,1),D862),Y862,"m")+1
)
*
_xlfn.SWITCH(J862,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62" s="1">
        <f t="shared" ca="1" si="87"/>
        <v>55</v>
      </c>
    </row>
    <row r="863" spans="1:30" ht="18.75" x14ac:dyDescent="0.25">
      <c r="A863" s="37">
        <v>798</v>
      </c>
      <c r="B863" s="63">
        <v>60</v>
      </c>
      <c r="C863" s="63">
        <v>2025</v>
      </c>
      <c r="D863" s="64" t="s">
        <v>971</v>
      </c>
      <c r="E863" s="11"/>
      <c r="F863" s="3"/>
      <c r="G863" s="70" t="s">
        <v>952</v>
      </c>
      <c r="H863" s="3"/>
      <c r="I863" s="63" t="s">
        <v>50</v>
      </c>
      <c r="J863" s="3" t="s">
        <v>27</v>
      </c>
      <c r="K863" s="3"/>
      <c r="L863" s="3" t="s">
        <v>672</v>
      </c>
      <c r="M863" s="2"/>
      <c r="N863" s="3"/>
      <c r="O863" s="9">
        <f>0.47*Table2[[#This Row],[قيمة المحضر]]</f>
        <v>0</v>
      </c>
      <c r="P863" s="9">
        <f>0.17*Table2[[#This Row],[قيمة المحضر]]</f>
        <v>0</v>
      </c>
      <c r="Q863" s="9">
        <f t="shared" ca="1" si="83"/>
        <v>0</v>
      </c>
      <c r="R863" s="3"/>
      <c r="S863" s="3"/>
      <c r="T863" s="9" t="str">
        <f t="shared" si="84"/>
        <v>-</v>
      </c>
      <c r="U863" s="3"/>
      <c r="V863" s="9" t="str">
        <f t="shared" si="85"/>
        <v/>
      </c>
      <c r="W863" s="4"/>
      <c r="X863" s="88"/>
      <c r="Y863" s="1">
        <f t="shared" ca="1" si="86"/>
        <v>46162</v>
      </c>
      <c r="Z863" s="1" cm="1">
        <f t="array" ref="Z863">IF(D863&gt;DATE(2015,5,16),0,
K863*
(
INT((MIN(Y863,DATE(2015,5,16))-D863)/365)
+
CEILING(MOD((MIN(Y863,DATE(2015,5,16))-D863)/365,1),0.25)
)
*
_xlfn.SWITCH(J863,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63" s="1" cm="1">
        <f t="array" aca="1" ref="AA863" ca="1">IF(Y863&lt;DATE(2015,5,17),0,
K863*
(
INT((MIN(Y863,DATE(2018,9,23))-MAX(D863,DATE(2015,5,17)))/365)
+
CEILING(MOD((MIN(Y863,DATE(2018,9,23))-MAX(D863,DATE(2015,5,17)))/365,1),0.25)
)
*
_xlfn.SWITCH(J863,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63" s="1" cm="1">
        <f t="array" aca="1" ref="AB863" ca="1">IF(Y863&lt;DATE(2018,9,24),0,
IF(J863="زراعة",
K863*
(
INT((MIN(Y863,DATE(2023,4,30))-MAX(D863,DATE(2018,9,24)))/365)
+
CEILING(MOD((MIN(Y863,DATE(2023,4,30))-MAX(D863,DATE(2018,9,24)))/365,1),0.25)
)
*1,
K863*
(
DATEDIF(MAX(D863,DATE(2018,9,24)),MIN(Y863,DATE(2023,4,30)),"m")+1
)
*
_xlfn.SWITCH(J863,
"موقف/تندة",IF(D863&lt;DATE(2019,11,30),6,30),
"تشوينات",IF(D863&lt;DATE(2019,11,30),4,20),
"مشاتل",IF(D863&lt;DATE(2019,11,30),2,10),
"كافيتيريا",IF(D863&lt;DATE(2019,11,30),30,150),
"نوادي",IF(D863&lt;DATE(2019,11,30),6,30),
"رسو مراكب",IF(D863&lt;DATE(2019,11,30),2,10),
"مباني",IF(D863&lt;DATE(2018,9,24),2,10),
"عشش",IF(D863&lt;DATE(2019,11,30),2,10),
"كشك (تجاري/صناعي)",IF(D863&lt;DATE(2019,11,30),10,50),
"ردم",20,
0)))</f>
        <v>0</v>
      </c>
      <c r="AC863" s="1" cm="1">
        <f t="array" aca="1" ref="AC863" ca="1">IF(Y863&lt;DATE(2023,5,1),0,
IF(J863="زراعة",
K863*
(
INT((Y863-MAX(DATE(2023,5,1),D863))/365)
+
CEILING(MOD((Y863-MAX(DATE(2023,5,1),D863))/365,1),0.25)
)
*3,
IF(J863="ردم",
K863*20,
K863*
(
DATEDIF(MAX(DATE(2023,5,1),D863),Y863,"m")+1
)
*
_xlfn.SWITCH(J863,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63" s="1">
        <f t="shared" ca="1" si="87"/>
        <v>55</v>
      </c>
    </row>
    <row r="864" spans="1:30" ht="18.75" x14ac:dyDescent="0.25">
      <c r="A864" s="37">
        <v>799</v>
      </c>
      <c r="B864" s="63">
        <v>61</v>
      </c>
      <c r="C864" s="63">
        <v>2025</v>
      </c>
      <c r="D864" s="64" t="s">
        <v>971</v>
      </c>
      <c r="E864" s="11"/>
      <c r="F864" s="3"/>
      <c r="G864" s="70" t="s">
        <v>1032</v>
      </c>
      <c r="H864" s="3"/>
      <c r="I864" s="63" t="s">
        <v>50</v>
      </c>
      <c r="J864" s="3" t="s">
        <v>27</v>
      </c>
      <c r="K864" s="3"/>
      <c r="L864" s="3" t="s">
        <v>672</v>
      </c>
      <c r="M864" s="2"/>
      <c r="N864" s="3"/>
      <c r="O864" s="9">
        <f>0.47*Table2[[#This Row],[قيمة المحضر]]</f>
        <v>0</v>
      </c>
      <c r="P864" s="9">
        <f>0.17*Table2[[#This Row],[قيمة المحضر]]</f>
        <v>0</v>
      </c>
      <c r="Q864" s="9">
        <f t="shared" ca="1" si="83"/>
        <v>0</v>
      </c>
      <c r="R864" s="3"/>
      <c r="S864" s="3"/>
      <c r="T864" s="9" t="str">
        <f t="shared" si="84"/>
        <v>-</v>
      </c>
      <c r="U864" s="3"/>
      <c r="V864" s="9" t="str">
        <f t="shared" si="85"/>
        <v/>
      </c>
      <c r="W864" s="4"/>
      <c r="X864" s="88"/>
      <c r="Y864" s="1">
        <f t="shared" ca="1" si="86"/>
        <v>46162</v>
      </c>
      <c r="Z864" s="1" cm="1">
        <f t="array" ref="Z864">IF(D864&gt;DATE(2015,5,16),0,
K864*
(
INT((MIN(Y864,DATE(2015,5,16))-D864)/365)
+
CEILING(MOD((MIN(Y864,DATE(2015,5,16))-D864)/365,1),0.25)
)
*
_xlfn.SWITCH(J864,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64" s="1" cm="1">
        <f t="array" aca="1" ref="AA864" ca="1">IF(Y864&lt;DATE(2015,5,17),0,
K864*
(
INT((MIN(Y864,DATE(2018,9,23))-MAX(D864,DATE(2015,5,17)))/365)
+
CEILING(MOD((MIN(Y864,DATE(2018,9,23))-MAX(D864,DATE(2015,5,17)))/365,1),0.25)
)
*
_xlfn.SWITCH(J864,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64" s="1" cm="1">
        <f t="array" aca="1" ref="AB864" ca="1">IF(Y864&lt;DATE(2018,9,24),0,
IF(J864="زراعة",
K864*
(
INT((MIN(Y864,DATE(2023,4,30))-MAX(D864,DATE(2018,9,24)))/365)
+
CEILING(MOD((MIN(Y864,DATE(2023,4,30))-MAX(D864,DATE(2018,9,24)))/365,1),0.25)
)
*1,
K864*
(
DATEDIF(MAX(D864,DATE(2018,9,24)),MIN(Y864,DATE(2023,4,30)),"m")+1
)
*
_xlfn.SWITCH(J864,
"موقف/تندة",IF(D864&lt;DATE(2019,11,30),6,30),
"تشوينات",IF(D864&lt;DATE(2019,11,30),4,20),
"مشاتل",IF(D864&lt;DATE(2019,11,30),2,10),
"كافيتيريا",IF(D864&lt;DATE(2019,11,30),30,150),
"نوادي",IF(D864&lt;DATE(2019,11,30),6,30),
"رسو مراكب",IF(D864&lt;DATE(2019,11,30),2,10),
"مباني",IF(D864&lt;DATE(2018,9,24),2,10),
"عشش",IF(D864&lt;DATE(2019,11,30),2,10),
"كشك (تجاري/صناعي)",IF(D864&lt;DATE(2019,11,30),10,50),
"ردم",20,
0)))</f>
        <v>0</v>
      </c>
      <c r="AC864" s="1" cm="1">
        <f t="array" aca="1" ref="AC864" ca="1">IF(Y864&lt;DATE(2023,5,1),0,
IF(J864="زراعة",
K864*
(
INT((Y864-MAX(DATE(2023,5,1),D864))/365)
+
CEILING(MOD((Y864-MAX(DATE(2023,5,1),D864))/365,1),0.25)
)
*3,
IF(J864="ردم",
K864*20,
K864*
(
DATEDIF(MAX(DATE(2023,5,1),D864),Y864,"m")+1
)
*
_xlfn.SWITCH(J864,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64" s="1">
        <f t="shared" ca="1" si="87"/>
        <v>55</v>
      </c>
    </row>
    <row r="865" spans="1:30" ht="18.75" x14ac:dyDescent="0.25">
      <c r="A865" s="37">
        <v>800</v>
      </c>
      <c r="B865" s="63">
        <v>62</v>
      </c>
      <c r="C865" s="63">
        <v>2025</v>
      </c>
      <c r="D865" s="64" t="s">
        <v>971</v>
      </c>
      <c r="E865" s="11"/>
      <c r="F865" s="3"/>
      <c r="G865" s="70" t="s">
        <v>1033</v>
      </c>
      <c r="H865" s="3"/>
      <c r="I865" s="63" t="s">
        <v>50</v>
      </c>
      <c r="J865" s="3" t="s">
        <v>27</v>
      </c>
      <c r="K865" s="3"/>
      <c r="L865" s="3" t="s">
        <v>672</v>
      </c>
      <c r="M865" s="2"/>
      <c r="N865" s="3"/>
      <c r="O865" s="9">
        <f>0.47*Table2[[#This Row],[قيمة المحضر]]</f>
        <v>0</v>
      </c>
      <c r="P865" s="9">
        <f>0.17*Table2[[#This Row],[قيمة المحضر]]</f>
        <v>0</v>
      </c>
      <c r="Q865" s="9">
        <f t="shared" ca="1" si="83"/>
        <v>0</v>
      </c>
      <c r="R865" s="3"/>
      <c r="S865" s="3"/>
      <c r="T865" s="9" t="str">
        <f t="shared" si="84"/>
        <v>-</v>
      </c>
      <c r="U865" s="3"/>
      <c r="V865" s="9" t="str">
        <f t="shared" si="85"/>
        <v/>
      </c>
      <c r="W865" s="4"/>
      <c r="X865" s="88"/>
      <c r="Y865" s="1">
        <f t="shared" ca="1" si="86"/>
        <v>46162</v>
      </c>
      <c r="Z865" s="1" cm="1">
        <f t="array" ref="Z865">IF(D865&gt;DATE(2015,5,16),0,
K865*
(
INT((MIN(Y865,DATE(2015,5,16))-D865)/365)
+
CEILING(MOD((MIN(Y865,DATE(2015,5,16))-D865)/365,1),0.25)
)
*
_xlfn.SWITCH(J865,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65" s="1" cm="1">
        <f t="array" aca="1" ref="AA865" ca="1">IF(Y865&lt;DATE(2015,5,17),0,
K865*
(
INT((MIN(Y865,DATE(2018,9,23))-MAX(D865,DATE(2015,5,17)))/365)
+
CEILING(MOD((MIN(Y865,DATE(2018,9,23))-MAX(D865,DATE(2015,5,17)))/365,1),0.25)
)
*
_xlfn.SWITCH(J865,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65" s="1" cm="1">
        <f t="array" aca="1" ref="AB865" ca="1">IF(Y865&lt;DATE(2018,9,24),0,
IF(J865="زراعة",
K865*
(
INT((MIN(Y865,DATE(2023,4,30))-MAX(D865,DATE(2018,9,24)))/365)
+
CEILING(MOD((MIN(Y865,DATE(2023,4,30))-MAX(D865,DATE(2018,9,24)))/365,1),0.25)
)
*1,
K865*
(
DATEDIF(MAX(D865,DATE(2018,9,24)),MIN(Y865,DATE(2023,4,30)),"m")+1
)
*
_xlfn.SWITCH(J865,
"موقف/تندة",IF(D865&lt;DATE(2019,11,30),6,30),
"تشوينات",IF(D865&lt;DATE(2019,11,30),4,20),
"مشاتل",IF(D865&lt;DATE(2019,11,30),2,10),
"كافيتيريا",IF(D865&lt;DATE(2019,11,30),30,150),
"نوادي",IF(D865&lt;DATE(2019,11,30),6,30),
"رسو مراكب",IF(D865&lt;DATE(2019,11,30),2,10),
"مباني",IF(D865&lt;DATE(2018,9,24),2,10),
"عشش",IF(D865&lt;DATE(2019,11,30),2,10),
"كشك (تجاري/صناعي)",IF(D865&lt;DATE(2019,11,30),10,50),
"ردم",20,
0)))</f>
        <v>0</v>
      </c>
      <c r="AC865" s="1" cm="1">
        <f t="array" aca="1" ref="AC865" ca="1">IF(Y865&lt;DATE(2023,5,1),0,
IF(J865="زراعة",
K865*
(
INT((Y865-MAX(DATE(2023,5,1),D865))/365)
+
CEILING(MOD((Y865-MAX(DATE(2023,5,1),D865))/365,1),0.25)
)
*3,
IF(J865="ردم",
K865*20,
K865*
(
DATEDIF(MAX(DATE(2023,5,1),D865),Y865,"m")+1
)
*
_xlfn.SWITCH(J865,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65" s="1">
        <f t="shared" ca="1" si="87"/>
        <v>55</v>
      </c>
    </row>
    <row r="866" spans="1:30" ht="18.75" x14ac:dyDescent="0.25">
      <c r="A866" s="37">
        <v>801</v>
      </c>
      <c r="B866" s="63">
        <v>63</v>
      </c>
      <c r="C866" s="63">
        <v>2025</v>
      </c>
      <c r="D866" s="64" t="s">
        <v>971</v>
      </c>
      <c r="E866" s="11"/>
      <c r="F866" s="3"/>
      <c r="G866" s="70" t="s">
        <v>1034</v>
      </c>
      <c r="H866" s="3"/>
      <c r="I866" s="63" t="s">
        <v>50</v>
      </c>
      <c r="J866" s="3" t="s">
        <v>27</v>
      </c>
      <c r="K866" s="3"/>
      <c r="L866" s="3" t="s">
        <v>672</v>
      </c>
      <c r="M866" s="2"/>
      <c r="N866" s="3"/>
      <c r="O866" s="9">
        <f>0.47*Table2[[#This Row],[قيمة المحضر]]</f>
        <v>0</v>
      </c>
      <c r="P866" s="9">
        <f>0.17*Table2[[#This Row],[قيمة المحضر]]</f>
        <v>0</v>
      </c>
      <c r="Q866" s="9">
        <f t="shared" ca="1" si="83"/>
        <v>0</v>
      </c>
      <c r="R866" s="3"/>
      <c r="S866" s="3"/>
      <c r="T866" s="9" t="str">
        <f t="shared" si="84"/>
        <v>-</v>
      </c>
      <c r="U866" s="3"/>
      <c r="V866" s="9" t="str">
        <f t="shared" si="85"/>
        <v/>
      </c>
      <c r="W866" s="4"/>
      <c r="X866" s="88"/>
      <c r="Y866" s="1">
        <f t="shared" ca="1" si="86"/>
        <v>46162</v>
      </c>
      <c r="Z866" s="1" cm="1">
        <f t="array" ref="Z866">IF(D866&gt;DATE(2015,5,16),0,
K866*
(
INT((MIN(Y866,DATE(2015,5,16))-D866)/365)
+
CEILING(MOD((MIN(Y866,DATE(2015,5,16))-D866)/365,1),0.25)
)
*
_xlfn.SWITCH(J866,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66" s="1" cm="1">
        <f t="array" aca="1" ref="AA866" ca="1">IF(Y866&lt;DATE(2015,5,17),0,
K866*
(
INT((MIN(Y866,DATE(2018,9,23))-MAX(D866,DATE(2015,5,17)))/365)
+
CEILING(MOD((MIN(Y866,DATE(2018,9,23))-MAX(D866,DATE(2015,5,17)))/365,1),0.25)
)
*
_xlfn.SWITCH(J866,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66" s="1" cm="1">
        <f t="array" aca="1" ref="AB866" ca="1">IF(Y866&lt;DATE(2018,9,24),0,
IF(J866="زراعة",
K866*
(
INT((MIN(Y866,DATE(2023,4,30))-MAX(D866,DATE(2018,9,24)))/365)
+
CEILING(MOD((MIN(Y866,DATE(2023,4,30))-MAX(D866,DATE(2018,9,24)))/365,1),0.25)
)
*1,
K866*
(
DATEDIF(MAX(D866,DATE(2018,9,24)),MIN(Y866,DATE(2023,4,30)),"m")+1
)
*
_xlfn.SWITCH(J866,
"موقف/تندة",IF(D866&lt;DATE(2019,11,30),6,30),
"تشوينات",IF(D866&lt;DATE(2019,11,30),4,20),
"مشاتل",IF(D866&lt;DATE(2019,11,30),2,10),
"كافيتيريا",IF(D866&lt;DATE(2019,11,30),30,150),
"نوادي",IF(D866&lt;DATE(2019,11,30),6,30),
"رسو مراكب",IF(D866&lt;DATE(2019,11,30),2,10),
"مباني",IF(D866&lt;DATE(2018,9,24),2,10),
"عشش",IF(D866&lt;DATE(2019,11,30),2,10),
"كشك (تجاري/صناعي)",IF(D866&lt;DATE(2019,11,30),10,50),
"ردم",20,
0)))</f>
        <v>0</v>
      </c>
      <c r="AC866" s="1" cm="1">
        <f t="array" aca="1" ref="AC866" ca="1">IF(Y866&lt;DATE(2023,5,1),0,
IF(J866="زراعة",
K866*
(
INT((Y866-MAX(DATE(2023,5,1),D866))/365)
+
CEILING(MOD((Y866-MAX(DATE(2023,5,1),D866))/365,1),0.25)
)
*3,
IF(J866="ردم",
K866*20,
K866*
(
DATEDIF(MAX(DATE(2023,5,1),D866),Y866,"m")+1
)
*
_xlfn.SWITCH(J866,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66" s="1">
        <f t="shared" ca="1" si="87"/>
        <v>55</v>
      </c>
    </row>
    <row r="867" spans="1:30" ht="18.75" x14ac:dyDescent="0.25">
      <c r="A867" s="37">
        <v>802</v>
      </c>
      <c r="B867" s="63">
        <v>64</v>
      </c>
      <c r="C867" s="63">
        <v>2025</v>
      </c>
      <c r="D867" s="64" t="s">
        <v>971</v>
      </c>
      <c r="E867" s="11"/>
      <c r="F867" s="3"/>
      <c r="G867" s="70" t="s">
        <v>1034</v>
      </c>
      <c r="H867" s="3"/>
      <c r="I867" s="63" t="s">
        <v>50</v>
      </c>
      <c r="J867" s="3" t="s">
        <v>27</v>
      </c>
      <c r="K867" s="3"/>
      <c r="L867" s="3" t="s">
        <v>672</v>
      </c>
      <c r="M867" s="2"/>
      <c r="N867" s="3"/>
      <c r="O867" s="9">
        <f>0.47*Table2[[#This Row],[قيمة المحضر]]</f>
        <v>0</v>
      </c>
      <c r="P867" s="9">
        <f>0.17*Table2[[#This Row],[قيمة المحضر]]</f>
        <v>0</v>
      </c>
      <c r="Q867" s="9">
        <f t="shared" ca="1" si="83"/>
        <v>0</v>
      </c>
      <c r="R867" s="3"/>
      <c r="S867" s="3"/>
      <c r="T867" s="9" t="str">
        <f t="shared" si="84"/>
        <v>-</v>
      </c>
      <c r="U867" s="3"/>
      <c r="V867" s="9" t="str">
        <f t="shared" si="85"/>
        <v/>
      </c>
      <c r="W867" s="4"/>
      <c r="X867" s="88"/>
      <c r="Y867" s="1">
        <f t="shared" ca="1" si="86"/>
        <v>46162</v>
      </c>
      <c r="Z867" s="1" cm="1">
        <f t="array" ref="Z867">IF(D867&gt;DATE(2015,5,16),0,
K867*
(
INT((MIN(Y867,DATE(2015,5,16))-D867)/365)
+
CEILING(MOD((MIN(Y867,DATE(2015,5,16))-D867)/365,1),0.25)
)
*
_xlfn.SWITCH(J867,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67" s="1" cm="1">
        <f t="array" aca="1" ref="AA867" ca="1">IF(Y867&lt;DATE(2015,5,17),0,
K867*
(
INT((MIN(Y867,DATE(2018,9,23))-MAX(D867,DATE(2015,5,17)))/365)
+
CEILING(MOD((MIN(Y867,DATE(2018,9,23))-MAX(D867,DATE(2015,5,17)))/365,1),0.25)
)
*
_xlfn.SWITCH(J867,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67" s="1" cm="1">
        <f t="array" aca="1" ref="AB867" ca="1">IF(Y867&lt;DATE(2018,9,24),0,
IF(J867="زراعة",
K867*
(
INT((MIN(Y867,DATE(2023,4,30))-MAX(D867,DATE(2018,9,24)))/365)
+
CEILING(MOD((MIN(Y867,DATE(2023,4,30))-MAX(D867,DATE(2018,9,24)))/365,1),0.25)
)
*1,
K867*
(
DATEDIF(MAX(D867,DATE(2018,9,24)),MIN(Y867,DATE(2023,4,30)),"m")+1
)
*
_xlfn.SWITCH(J867,
"موقف/تندة",IF(D867&lt;DATE(2019,11,30),6,30),
"تشوينات",IF(D867&lt;DATE(2019,11,30),4,20),
"مشاتل",IF(D867&lt;DATE(2019,11,30),2,10),
"كافيتيريا",IF(D867&lt;DATE(2019,11,30),30,150),
"نوادي",IF(D867&lt;DATE(2019,11,30),6,30),
"رسو مراكب",IF(D867&lt;DATE(2019,11,30),2,10),
"مباني",IF(D867&lt;DATE(2018,9,24),2,10),
"عشش",IF(D867&lt;DATE(2019,11,30),2,10),
"كشك (تجاري/صناعي)",IF(D867&lt;DATE(2019,11,30),10,50),
"ردم",20,
0)))</f>
        <v>0</v>
      </c>
      <c r="AC867" s="1" cm="1">
        <f t="array" aca="1" ref="AC867" ca="1">IF(Y867&lt;DATE(2023,5,1),0,
IF(J867="زراعة",
K867*
(
INT((Y867-MAX(DATE(2023,5,1),D867))/365)
+
CEILING(MOD((Y867-MAX(DATE(2023,5,1),D867))/365,1),0.25)
)
*3,
IF(J867="ردم",
K867*20,
K867*
(
DATEDIF(MAX(DATE(2023,5,1),D867),Y867,"m")+1
)
*
_xlfn.SWITCH(J867,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67" s="1">
        <f t="shared" ca="1" si="87"/>
        <v>55</v>
      </c>
    </row>
    <row r="868" spans="1:30" ht="18.75" x14ac:dyDescent="0.25">
      <c r="A868" s="37">
        <v>803</v>
      </c>
      <c r="B868" s="63">
        <v>65</v>
      </c>
      <c r="C868" s="63">
        <v>2025</v>
      </c>
      <c r="D868" s="64" t="s">
        <v>971</v>
      </c>
      <c r="E868" s="11"/>
      <c r="F868" s="3"/>
      <c r="G868" s="70" t="s">
        <v>1035</v>
      </c>
      <c r="H868" s="3"/>
      <c r="I868" s="63" t="s">
        <v>50</v>
      </c>
      <c r="J868" s="3" t="s">
        <v>27</v>
      </c>
      <c r="K868" s="3"/>
      <c r="L868" s="3" t="s">
        <v>672</v>
      </c>
      <c r="M868" s="2"/>
      <c r="N868" s="3"/>
      <c r="O868" s="9">
        <f>0.47*Table2[[#This Row],[قيمة المحضر]]</f>
        <v>0</v>
      </c>
      <c r="P868" s="9">
        <f>0.17*Table2[[#This Row],[قيمة المحضر]]</f>
        <v>0</v>
      </c>
      <c r="Q868" s="9">
        <f t="shared" ref="Q868:Q870" ca="1" si="88">Z868+AA868+AB868+AC868</f>
        <v>0</v>
      </c>
      <c r="R868" s="3"/>
      <c r="S868" s="3"/>
      <c r="T868" s="9" t="str">
        <f t="shared" ref="T868:T870" si="89">IF(R868="تم الحجز",Q868+O868+N868,"-")</f>
        <v>-</v>
      </c>
      <c r="U868" s="3"/>
      <c r="V868" s="9" t="str">
        <f t="shared" ref="V868:V870" si="90">IF(OR(U868="قائم",U868="قائم و سدد مقابل انتفاع"),"-",
IF(U868="تم رد الشئ لأصله",P868+Q868,
IF(U868="ازالة جبرية",N868+O868+Q868,"")))</f>
        <v/>
      </c>
      <c r="W868" s="4"/>
      <c r="X868" s="88"/>
      <c r="Y868" s="1">
        <f t="shared" ca="1" si="86"/>
        <v>46162</v>
      </c>
      <c r="Z868" s="1" cm="1">
        <f t="array" ref="Z868">IF(D868&gt;DATE(2015,5,16),0,
K868*
(
INT((MIN(Y868,DATE(2015,5,16))-D868)/365)
+
CEILING(MOD((MIN(Y868,DATE(2015,5,16))-D868)/365,1),0.25)
)
*
_xlfn.SWITCH(J868,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68" s="1" cm="1">
        <f t="array" aca="1" ref="AA868" ca="1">IF(Y868&lt;DATE(2015,5,17),0,
K868*
(
INT((MIN(Y868,DATE(2018,9,23))-MAX(D868,DATE(2015,5,17)))/365)
+
CEILING(MOD((MIN(Y868,DATE(2018,9,23))-MAX(D868,DATE(2015,5,17)))/365,1),0.25)
)
*
_xlfn.SWITCH(J868,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68" s="1" cm="1">
        <f t="array" aca="1" ref="AB868" ca="1">IF(Y868&lt;DATE(2018,9,24),0,
IF(J868="زراعة",
K868*
(
INT((MIN(Y868,DATE(2023,4,30))-MAX(D868,DATE(2018,9,24)))/365)
+
CEILING(MOD((MIN(Y868,DATE(2023,4,30))-MAX(D868,DATE(2018,9,24)))/365,1),0.25)
)
*1,
K868*
(
DATEDIF(MAX(D868,DATE(2018,9,24)),MIN(Y868,DATE(2023,4,30)),"m")+1
)
*
_xlfn.SWITCH(J868,
"موقف/تندة",IF(D868&lt;DATE(2019,11,30),6,30),
"تشوينات",IF(D868&lt;DATE(2019,11,30),4,20),
"مشاتل",IF(D868&lt;DATE(2019,11,30),2,10),
"كافيتيريا",IF(D868&lt;DATE(2019,11,30),30,150),
"نوادي",IF(D868&lt;DATE(2019,11,30),6,30),
"رسو مراكب",IF(D868&lt;DATE(2019,11,30),2,10),
"مباني",IF(D868&lt;DATE(2018,9,24),2,10),
"عشش",IF(D868&lt;DATE(2019,11,30),2,10),
"كشك (تجاري/صناعي)",IF(D868&lt;DATE(2019,11,30),10,50),
"ردم",20,
0)))</f>
        <v>0</v>
      </c>
      <c r="AC868" s="1" cm="1">
        <f t="array" aca="1" ref="AC868" ca="1">IF(Y868&lt;DATE(2023,5,1),0,
IF(J868="زراعة",
K868*
(
INT((Y868-MAX(DATE(2023,5,1),D868))/365)
+
CEILING(MOD((Y868-MAX(DATE(2023,5,1),D868))/365,1),0.25)
)
*3,
IF(J868="ردم",
K868*20,
K868*
(
DATEDIF(MAX(DATE(2023,5,1),D868),Y868,"m")+1
)
*
_xlfn.SWITCH(J868,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68" s="1">
        <f t="shared" ca="1" si="87"/>
        <v>55</v>
      </c>
    </row>
    <row r="869" spans="1:30" ht="18.75" x14ac:dyDescent="0.25">
      <c r="A869" s="37">
        <v>804</v>
      </c>
      <c r="B869" s="63">
        <v>66</v>
      </c>
      <c r="C869" s="63">
        <v>2025</v>
      </c>
      <c r="D869" s="64" t="s">
        <v>971</v>
      </c>
      <c r="E869" s="11"/>
      <c r="F869" s="3"/>
      <c r="G869" s="70" t="s">
        <v>1036</v>
      </c>
      <c r="H869" s="3"/>
      <c r="I869" s="63" t="s">
        <v>50</v>
      </c>
      <c r="J869" s="3" t="s">
        <v>27</v>
      </c>
      <c r="K869" s="3"/>
      <c r="L869" s="3" t="s">
        <v>672</v>
      </c>
      <c r="M869" s="2"/>
      <c r="N869" s="3"/>
      <c r="O869" s="9">
        <f>0.47*Table2[[#This Row],[قيمة المحضر]]</f>
        <v>0</v>
      </c>
      <c r="P869" s="9">
        <f>0.17*Table2[[#This Row],[قيمة المحضر]]</f>
        <v>0</v>
      </c>
      <c r="Q869" s="9">
        <f t="shared" ca="1" si="88"/>
        <v>0</v>
      </c>
      <c r="R869" s="3"/>
      <c r="S869" s="3"/>
      <c r="T869" s="9" t="str">
        <f t="shared" si="89"/>
        <v>-</v>
      </c>
      <c r="U869" s="3"/>
      <c r="V869" s="9" t="str">
        <f t="shared" si="90"/>
        <v/>
      </c>
      <c r="W869" s="4"/>
      <c r="X869" s="88"/>
      <c r="Y869" s="1">
        <f t="shared" ca="1" si="86"/>
        <v>46162</v>
      </c>
      <c r="Z869" s="1" cm="1">
        <f t="array" ref="Z869">IF(D869&gt;DATE(2015,5,16),0,
K869*
(
INT((MIN(Y869,DATE(2015,5,16))-D869)/365)
+
CEILING(MOD((MIN(Y869,DATE(2015,5,16))-D869)/365,1),0.25)
)
*
_xlfn.SWITCH(J869,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69" s="1" cm="1">
        <f t="array" aca="1" ref="AA869" ca="1">IF(Y869&lt;DATE(2015,5,17),0,
K869*
(
INT((MIN(Y869,DATE(2018,9,23))-MAX(D869,DATE(2015,5,17)))/365)
+
CEILING(MOD((MIN(Y869,DATE(2018,9,23))-MAX(D869,DATE(2015,5,17)))/365,1),0.25)
)
*
_xlfn.SWITCH(J869,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69" s="1" cm="1">
        <f t="array" aca="1" ref="AB869" ca="1">IF(Y869&lt;DATE(2018,9,24),0,
IF(J869="زراعة",
K869*
(
INT((MIN(Y869,DATE(2023,4,30))-MAX(D869,DATE(2018,9,24)))/365)
+
CEILING(MOD((MIN(Y869,DATE(2023,4,30))-MAX(D869,DATE(2018,9,24)))/365,1),0.25)
)
*1,
K869*
(
DATEDIF(MAX(D869,DATE(2018,9,24)),MIN(Y869,DATE(2023,4,30)),"m")+1
)
*
_xlfn.SWITCH(J869,
"موقف/تندة",IF(D869&lt;DATE(2019,11,30),6,30),
"تشوينات",IF(D869&lt;DATE(2019,11,30),4,20),
"مشاتل",IF(D869&lt;DATE(2019,11,30),2,10),
"كافيتيريا",IF(D869&lt;DATE(2019,11,30),30,150),
"نوادي",IF(D869&lt;DATE(2019,11,30),6,30),
"رسو مراكب",IF(D869&lt;DATE(2019,11,30),2,10),
"مباني",IF(D869&lt;DATE(2018,9,24),2,10),
"عشش",IF(D869&lt;DATE(2019,11,30),2,10),
"كشك (تجاري/صناعي)",IF(D869&lt;DATE(2019,11,30),10,50),
"ردم",20,
0)))</f>
        <v>0</v>
      </c>
      <c r="AC869" s="1" cm="1">
        <f t="array" aca="1" ref="AC869" ca="1">IF(Y869&lt;DATE(2023,5,1),0,
IF(J869="زراعة",
K869*
(
INT((Y869-MAX(DATE(2023,5,1),D869))/365)
+
CEILING(MOD((Y869-MAX(DATE(2023,5,1),D869))/365,1),0.25)
)
*3,
IF(J869="ردم",
K869*20,
K869*
(
DATEDIF(MAX(DATE(2023,5,1),D869),Y869,"m")+1
)
*
_xlfn.SWITCH(J869,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69" s="1">
        <f t="shared" ca="1" si="87"/>
        <v>55</v>
      </c>
    </row>
    <row r="870" spans="1:30" ht="18.75" x14ac:dyDescent="0.25">
      <c r="A870" s="37">
        <v>805</v>
      </c>
      <c r="B870" s="63">
        <v>67</v>
      </c>
      <c r="C870" s="63">
        <v>2025</v>
      </c>
      <c r="D870" s="64" t="s">
        <v>971</v>
      </c>
      <c r="E870" s="11"/>
      <c r="F870" s="3"/>
      <c r="G870" s="70" t="s">
        <v>1035</v>
      </c>
      <c r="H870" s="3"/>
      <c r="I870" s="63" t="s">
        <v>50</v>
      </c>
      <c r="J870" s="3" t="s">
        <v>27</v>
      </c>
      <c r="K870" s="3"/>
      <c r="L870" s="3" t="s">
        <v>672</v>
      </c>
      <c r="M870" s="2"/>
      <c r="N870" s="3"/>
      <c r="O870" s="9">
        <f>0.47*Table2[[#This Row],[قيمة المحضر]]</f>
        <v>0</v>
      </c>
      <c r="P870" s="9">
        <f>0.17*Table2[[#This Row],[قيمة المحضر]]</f>
        <v>0</v>
      </c>
      <c r="Q870" s="9">
        <f t="shared" ca="1" si="88"/>
        <v>0</v>
      </c>
      <c r="R870" s="3"/>
      <c r="S870" s="3"/>
      <c r="T870" s="9" t="str">
        <f t="shared" si="89"/>
        <v>-</v>
      </c>
      <c r="U870" s="3"/>
      <c r="V870" s="9" t="str">
        <f t="shared" si="90"/>
        <v/>
      </c>
      <c r="W870" s="4"/>
      <c r="X870" s="88"/>
      <c r="Y870" s="1">
        <f t="shared" ca="1" si="86"/>
        <v>46162</v>
      </c>
      <c r="Z870" s="1" cm="1">
        <f t="array" ref="Z870">IF(D870&gt;DATE(2015,5,16),0,
K870*
(
INT((MIN(Y870,DATE(2015,5,16))-D870)/365)
+
CEILING(MOD((MIN(Y870,DATE(2015,5,16))-D870)/365,1),0.25)
)
*
_xlfn.SWITCH(J870,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70" s="1" cm="1">
        <f t="array" aca="1" ref="AA870" ca="1">IF(Y870&lt;DATE(2015,5,17),0,
K870*
(
INT((MIN(Y870,DATE(2018,9,23))-MAX(D870,DATE(2015,5,17)))/365)
+
CEILING(MOD((MIN(Y870,DATE(2018,9,23))-MAX(D870,DATE(2015,5,17)))/365,1),0.25)
)
*
_xlfn.SWITCH(J870,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70" s="1" cm="1">
        <f t="array" aca="1" ref="AB870" ca="1">IF(Y870&lt;DATE(2018,9,24),0,
IF(J870="زراعة",
K870*
(
INT((MIN(Y870,DATE(2023,4,30))-MAX(D870,DATE(2018,9,24)))/365)
+
CEILING(MOD((MIN(Y870,DATE(2023,4,30))-MAX(D870,DATE(2018,9,24)))/365,1),0.25)
)
*1,
K870*
(
DATEDIF(MAX(D870,DATE(2018,9,24)),MIN(Y870,DATE(2023,4,30)),"m")+1
)
*
_xlfn.SWITCH(J870,
"موقف/تندة",IF(D870&lt;DATE(2019,11,30),6,30),
"تشوينات",IF(D870&lt;DATE(2019,11,30),4,20),
"مشاتل",IF(D870&lt;DATE(2019,11,30),2,10),
"كافيتيريا",IF(D870&lt;DATE(2019,11,30),30,150),
"نوادي",IF(D870&lt;DATE(2019,11,30),6,30),
"رسو مراكب",IF(D870&lt;DATE(2019,11,30),2,10),
"مباني",IF(D870&lt;DATE(2018,9,24),2,10),
"عشش",IF(D870&lt;DATE(2019,11,30),2,10),
"كشك (تجاري/صناعي)",IF(D870&lt;DATE(2019,11,30),10,50),
"ردم",20,
0)))</f>
        <v>0</v>
      </c>
      <c r="AC870" s="1" cm="1">
        <f t="array" aca="1" ref="AC870" ca="1">IF(Y870&lt;DATE(2023,5,1),0,
IF(J870="زراعة",
K870*
(
INT((Y870-MAX(DATE(2023,5,1),D870))/365)
+
CEILING(MOD((Y870-MAX(DATE(2023,5,1),D870))/365,1),0.25)
)
*3,
IF(J870="ردم",
K870*20,
K870*
(
DATEDIF(MAX(DATE(2023,5,1),D870),Y870,"m")+1
)
*
_xlfn.SWITCH(J870,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70" s="1">
        <f t="shared" ca="1" si="87"/>
        <v>55</v>
      </c>
    </row>
    <row r="871" spans="1:30" ht="18.75" x14ac:dyDescent="0.25">
      <c r="A871" s="37">
        <v>806</v>
      </c>
      <c r="B871" s="63">
        <v>68</v>
      </c>
      <c r="C871" s="63">
        <v>2025</v>
      </c>
      <c r="D871" s="64" t="s">
        <v>971</v>
      </c>
      <c r="E871" s="11"/>
      <c r="F871" s="3"/>
      <c r="G871" s="70" t="s">
        <v>730</v>
      </c>
      <c r="H871" s="3"/>
      <c r="I871" s="63" t="s">
        <v>50</v>
      </c>
      <c r="J871" s="3" t="s">
        <v>27</v>
      </c>
      <c r="K871" s="3"/>
      <c r="L871" s="3" t="s">
        <v>672</v>
      </c>
      <c r="M871" s="2"/>
      <c r="N871" s="3"/>
      <c r="O871" s="9">
        <f>0.47*Table2[[#This Row],[قيمة المحضر]]</f>
        <v>0</v>
      </c>
      <c r="P871" s="9">
        <f>0.17*Table2[[#This Row],[قيمة المحضر]]</f>
        <v>0</v>
      </c>
      <c r="Q871" s="9">
        <f t="shared" ref="Q871:Q902" ca="1" si="91">Z871+AA871+AB871+AC871</f>
        <v>0</v>
      </c>
      <c r="R871" s="3"/>
      <c r="S871" s="3"/>
      <c r="T871" s="9" t="str">
        <f t="shared" ref="T871:T902" si="92">IF(R871="تم الحجز",Q871+O871+N871,"-")</f>
        <v>-</v>
      </c>
      <c r="U871" s="3"/>
      <c r="V871" s="9" t="str">
        <f t="shared" ref="V871:V902" si="93">IF(OR(U871="قائم",U871="قائم و سدد مقابل انتفاع"),"-",
IF(U871="تم رد الشئ لأصله",P871+Q871,
IF(U871="ازالة جبرية",N871+O871+Q871,"")))</f>
        <v/>
      </c>
      <c r="W871" s="67"/>
      <c r="X871" s="88"/>
      <c r="Y871" s="1">
        <f t="shared" ca="1" si="86"/>
        <v>46162</v>
      </c>
      <c r="Z871" s="1" cm="1">
        <f t="array" ref="Z871">IF(D871&gt;DATE(2015,5,16),0,
K871*
(
INT((MIN(Y871,DATE(2015,5,16))-D871)/365)
+
CEILING(MOD((MIN(Y871,DATE(2015,5,16))-D871)/365,1),0.25)
)
*
_xlfn.SWITCH(J871,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71" s="1" cm="1">
        <f t="array" aca="1" ref="AA871" ca="1">IF(Y871&lt;DATE(2015,5,17),0,
K871*
(
INT((MIN(Y871,DATE(2018,9,23))-MAX(D871,DATE(2015,5,17)))/365)
+
CEILING(MOD((MIN(Y871,DATE(2018,9,23))-MAX(D871,DATE(2015,5,17)))/365,1),0.25)
)
*
_xlfn.SWITCH(J871,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71" s="1" cm="1">
        <f t="array" aca="1" ref="AB871" ca="1">IF(Y871&lt;DATE(2018,9,24),0,
IF(J871="زراعة",
K871*
(
INT((MIN(Y871,DATE(2023,4,30))-MAX(D871,DATE(2018,9,24)))/365)
+
CEILING(MOD((MIN(Y871,DATE(2023,4,30))-MAX(D871,DATE(2018,9,24)))/365,1),0.25)
)
*1,
K871*
(
DATEDIF(MAX(D871,DATE(2018,9,24)),MIN(Y871,DATE(2023,4,30)),"m")+1
)
*
_xlfn.SWITCH(J871,
"موقف/تندة",IF(D871&lt;DATE(2019,11,30),6,30),
"تشوينات",IF(D871&lt;DATE(2019,11,30),4,20),
"مشاتل",IF(D871&lt;DATE(2019,11,30),2,10),
"كافيتيريا",IF(D871&lt;DATE(2019,11,30),30,150),
"نوادي",IF(D871&lt;DATE(2019,11,30),6,30),
"رسو مراكب",IF(D871&lt;DATE(2019,11,30),2,10),
"مباني",IF(D871&lt;DATE(2018,9,24),2,10),
"عشش",IF(D871&lt;DATE(2019,11,30),2,10),
"كشك (تجاري/صناعي)",IF(D871&lt;DATE(2019,11,30),10,50),
"ردم",20,
0)))</f>
        <v>0</v>
      </c>
      <c r="AC871" s="1" cm="1">
        <f t="array" aca="1" ref="AC871" ca="1">IF(Y871&lt;DATE(2023,5,1),0,
IF(J871="زراعة",
K871*
(
INT((Y871-MAX(DATE(2023,5,1),D871))/365)
+
CEILING(MOD((Y871-MAX(DATE(2023,5,1),D871))/365,1),0.25)
)
*3,
IF(J871="ردم",
K871*20,
K871*
(
DATEDIF(MAX(DATE(2023,5,1),D871),Y871,"m")+1
)
*
_xlfn.SWITCH(J871,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71" s="1">
        <f t="shared" ca="1" si="87"/>
        <v>55</v>
      </c>
    </row>
    <row r="872" spans="1:30" ht="18.75" x14ac:dyDescent="0.25">
      <c r="A872" s="37">
        <v>807</v>
      </c>
      <c r="B872" s="63">
        <v>69</v>
      </c>
      <c r="C872" s="63">
        <v>2025</v>
      </c>
      <c r="D872" s="64" t="s">
        <v>971</v>
      </c>
      <c r="E872" s="11"/>
      <c r="F872" s="3"/>
      <c r="G872" s="70" t="s">
        <v>1037</v>
      </c>
      <c r="H872" s="3"/>
      <c r="I872" s="63" t="s">
        <v>50</v>
      </c>
      <c r="J872" s="3" t="s">
        <v>27</v>
      </c>
      <c r="K872" s="3"/>
      <c r="L872" s="3" t="s">
        <v>672</v>
      </c>
      <c r="M872" s="2"/>
      <c r="N872" s="3"/>
      <c r="O872" s="9">
        <f>0.47*Table2[[#This Row],[قيمة المحضر]]</f>
        <v>0</v>
      </c>
      <c r="P872" s="9">
        <f>0.17*Table2[[#This Row],[قيمة المحضر]]</f>
        <v>0</v>
      </c>
      <c r="Q872" s="9">
        <f t="shared" ca="1" si="91"/>
        <v>0</v>
      </c>
      <c r="R872" s="3"/>
      <c r="S872" s="3"/>
      <c r="T872" s="9" t="str">
        <f t="shared" si="92"/>
        <v>-</v>
      </c>
      <c r="U872" s="3"/>
      <c r="V872" s="9" t="str">
        <f t="shared" si="93"/>
        <v/>
      </c>
      <c r="W872" s="67"/>
      <c r="X872" s="88"/>
      <c r="Y872" s="1">
        <f t="shared" ca="1" si="86"/>
        <v>46162</v>
      </c>
      <c r="Z872" s="1" cm="1">
        <f t="array" ref="Z872">IF(D872&gt;DATE(2015,5,16),0,
K872*
(
INT((MIN(Y872,DATE(2015,5,16))-D872)/365)
+
CEILING(MOD((MIN(Y872,DATE(2015,5,16))-D872)/365,1),0.25)
)
*
_xlfn.SWITCH(J872,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72" s="1" cm="1">
        <f t="array" aca="1" ref="AA872" ca="1">IF(Y872&lt;DATE(2015,5,17),0,
K872*
(
INT((MIN(Y872,DATE(2018,9,23))-MAX(D872,DATE(2015,5,17)))/365)
+
CEILING(MOD((MIN(Y872,DATE(2018,9,23))-MAX(D872,DATE(2015,5,17)))/365,1),0.25)
)
*
_xlfn.SWITCH(J872,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72" s="1" cm="1">
        <f t="array" aca="1" ref="AB872" ca="1">IF(Y872&lt;DATE(2018,9,24),0,
IF(J872="زراعة",
K872*
(
INT((MIN(Y872,DATE(2023,4,30))-MAX(D872,DATE(2018,9,24)))/365)
+
CEILING(MOD((MIN(Y872,DATE(2023,4,30))-MAX(D872,DATE(2018,9,24)))/365,1),0.25)
)
*1,
K872*
(
DATEDIF(MAX(D872,DATE(2018,9,24)),MIN(Y872,DATE(2023,4,30)),"m")+1
)
*
_xlfn.SWITCH(J872,
"موقف/تندة",IF(D872&lt;DATE(2019,11,30),6,30),
"تشوينات",IF(D872&lt;DATE(2019,11,30),4,20),
"مشاتل",IF(D872&lt;DATE(2019,11,30),2,10),
"كافيتيريا",IF(D872&lt;DATE(2019,11,30),30,150),
"نوادي",IF(D872&lt;DATE(2019,11,30),6,30),
"رسو مراكب",IF(D872&lt;DATE(2019,11,30),2,10),
"مباني",IF(D872&lt;DATE(2018,9,24),2,10),
"عشش",IF(D872&lt;DATE(2019,11,30),2,10),
"كشك (تجاري/صناعي)",IF(D872&lt;DATE(2019,11,30),10,50),
"ردم",20,
0)))</f>
        <v>0</v>
      </c>
      <c r="AC872" s="1" cm="1">
        <f t="array" aca="1" ref="AC872" ca="1">IF(Y872&lt;DATE(2023,5,1),0,
IF(J872="زراعة",
K872*
(
INT((Y872-MAX(DATE(2023,5,1),D872))/365)
+
CEILING(MOD((Y872-MAX(DATE(2023,5,1),D872))/365,1),0.25)
)
*3,
IF(J872="ردم",
K872*20,
K872*
(
DATEDIF(MAX(DATE(2023,5,1),D872),Y872,"m")+1
)
*
_xlfn.SWITCH(J872,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72" s="1">
        <f t="shared" ca="1" si="87"/>
        <v>55</v>
      </c>
    </row>
    <row r="873" spans="1:30" ht="18.75" x14ac:dyDescent="0.25">
      <c r="A873" s="37">
        <v>808</v>
      </c>
      <c r="B873" s="63">
        <v>70</v>
      </c>
      <c r="C873" s="63">
        <v>2025</v>
      </c>
      <c r="D873" s="64" t="s">
        <v>971</v>
      </c>
      <c r="E873" s="11"/>
      <c r="F873" s="3"/>
      <c r="G873" s="70" t="s">
        <v>949</v>
      </c>
      <c r="H873" s="3"/>
      <c r="I873" s="63" t="s">
        <v>50</v>
      </c>
      <c r="J873" s="3" t="s">
        <v>27</v>
      </c>
      <c r="K873" s="3"/>
      <c r="L873" s="3" t="s">
        <v>672</v>
      </c>
      <c r="M873" s="2"/>
      <c r="N873" s="3"/>
      <c r="O873" s="9">
        <f>0.47*Table2[[#This Row],[قيمة المحضر]]</f>
        <v>0</v>
      </c>
      <c r="P873" s="9">
        <f>0.17*Table2[[#This Row],[قيمة المحضر]]</f>
        <v>0</v>
      </c>
      <c r="Q873" s="9">
        <f t="shared" ca="1" si="91"/>
        <v>0</v>
      </c>
      <c r="R873" s="3"/>
      <c r="S873" s="3"/>
      <c r="T873" s="9" t="str">
        <f t="shared" si="92"/>
        <v>-</v>
      </c>
      <c r="U873" s="3"/>
      <c r="V873" s="9" t="str">
        <f t="shared" si="93"/>
        <v/>
      </c>
      <c r="W873" s="67"/>
      <c r="X873" s="88"/>
      <c r="Y873" s="1">
        <f t="shared" ca="1" si="86"/>
        <v>46162</v>
      </c>
      <c r="Z873" s="1" cm="1">
        <f t="array" ref="Z873">IF(D873&gt;DATE(2015,5,16),0,
K873*
(
INT((MIN(Y873,DATE(2015,5,16))-D873)/365)
+
CEILING(MOD((MIN(Y873,DATE(2015,5,16))-D873)/365,1),0.25)
)
*
_xlfn.SWITCH(J873,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73" s="1" cm="1">
        <f t="array" aca="1" ref="AA873" ca="1">IF(Y873&lt;DATE(2015,5,17),0,
K873*
(
INT((MIN(Y873,DATE(2018,9,23))-MAX(D873,DATE(2015,5,17)))/365)
+
CEILING(MOD((MIN(Y873,DATE(2018,9,23))-MAX(D873,DATE(2015,5,17)))/365,1),0.25)
)
*
_xlfn.SWITCH(J873,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73" s="1" cm="1">
        <f t="array" aca="1" ref="AB873" ca="1">IF(Y873&lt;DATE(2018,9,24),0,
IF(J873="زراعة",
K873*
(
INT((MIN(Y873,DATE(2023,4,30))-MAX(D873,DATE(2018,9,24)))/365)
+
CEILING(MOD((MIN(Y873,DATE(2023,4,30))-MAX(D873,DATE(2018,9,24)))/365,1),0.25)
)
*1,
K873*
(
DATEDIF(MAX(D873,DATE(2018,9,24)),MIN(Y873,DATE(2023,4,30)),"m")+1
)
*
_xlfn.SWITCH(J873,
"موقف/تندة",IF(D873&lt;DATE(2019,11,30),6,30),
"تشوينات",IF(D873&lt;DATE(2019,11,30),4,20),
"مشاتل",IF(D873&lt;DATE(2019,11,30),2,10),
"كافيتيريا",IF(D873&lt;DATE(2019,11,30),30,150),
"نوادي",IF(D873&lt;DATE(2019,11,30),6,30),
"رسو مراكب",IF(D873&lt;DATE(2019,11,30),2,10),
"مباني",IF(D873&lt;DATE(2018,9,24),2,10),
"عشش",IF(D873&lt;DATE(2019,11,30),2,10),
"كشك (تجاري/صناعي)",IF(D873&lt;DATE(2019,11,30),10,50),
"ردم",20,
0)))</f>
        <v>0</v>
      </c>
      <c r="AC873" s="1" cm="1">
        <f t="array" aca="1" ref="AC873" ca="1">IF(Y873&lt;DATE(2023,5,1),0,
IF(J873="زراعة",
K873*
(
INT((Y873-MAX(DATE(2023,5,1),D873))/365)
+
CEILING(MOD((Y873-MAX(DATE(2023,5,1),D873))/365,1),0.25)
)
*3,
IF(J873="ردم",
K873*20,
K873*
(
DATEDIF(MAX(DATE(2023,5,1),D873),Y873,"m")+1
)
*
_xlfn.SWITCH(J873,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73" s="1">
        <f t="shared" ca="1" si="87"/>
        <v>55</v>
      </c>
    </row>
    <row r="874" spans="1:30" ht="18.75" x14ac:dyDescent="0.25">
      <c r="A874" s="37">
        <v>809</v>
      </c>
      <c r="B874" s="63">
        <v>71</v>
      </c>
      <c r="C874" s="63">
        <v>2025</v>
      </c>
      <c r="D874" s="64" t="s">
        <v>971</v>
      </c>
      <c r="E874" s="11"/>
      <c r="F874" s="3"/>
      <c r="G874" s="70" t="s">
        <v>1038</v>
      </c>
      <c r="H874" s="3"/>
      <c r="I874" s="63" t="s">
        <v>50</v>
      </c>
      <c r="J874" s="3" t="s">
        <v>27</v>
      </c>
      <c r="K874" s="3"/>
      <c r="L874" s="3" t="s">
        <v>672</v>
      </c>
      <c r="M874" s="2"/>
      <c r="N874" s="3"/>
      <c r="O874" s="9">
        <f>0.47*Table2[[#This Row],[قيمة المحضر]]</f>
        <v>0</v>
      </c>
      <c r="P874" s="9">
        <f>0.17*Table2[[#This Row],[قيمة المحضر]]</f>
        <v>0</v>
      </c>
      <c r="Q874" s="9">
        <f t="shared" ca="1" si="91"/>
        <v>0</v>
      </c>
      <c r="R874" s="3"/>
      <c r="S874" s="3"/>
      <c r="T874" s="9" t="str">
        <f t="shared" si="92"/>
        <v>-</v>
      </c>
      <c r="U874" s="3"/>
      <c r="V874" s="9" t="str">
        <f t="shared" si="93"/>
        <v/>
      </c>
      <c r="W874" s="67"/>
      <c r="X874" s="88"/>
      <c r="Y874" s="1">
        <f t="shared" ca="1" si="86"/>
        <v>46162</v>
      </c>
      <c r="Z874" s="1" cm="1">
        <f t="array" ref="Z874">IF(D874&gt;DATE(2015,5,16),0,
K874*
(
INT((MIN(Y874,DATE(2015,5,16))-D874)/365)
+
CEILING(MOD((MIN(Y874,DATE(2015,5,16))-D874)/365,1),0.25)
)
*
_xlfn.SWITCH(J874,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74" s="1" cm="1">
        <f t="array" aca="1" ref="AA874" ca="1">IF(Y874&lt;DATE(2015,5,17),0,
K874*
(
INT((MIN(Y874,DATE(2018,9,23))-MAX(D874,DATE(2015,5,17)))/365)
+
CEILING(MOD((MIN(Y874,DATE(2018,9,23))-MAX(D874,DATE(2015,5,17)))/365,1),0.25)
)
*
_xlfn.SWITCH(J874,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74" s="1" cm="1">
        <f t="array" aca="1" ref="AB874" ca="1">IF(Y874&lt;DATE(2018,9,24),0,
IF(J874="زراعة",
K874*
(
INT((MIN(Y874,DATE(2023,4,30))-MAX(D874,DATE(2018,9,24)))/365)
+
CEILING(MOD((MIN(Y874,DATE(2023,4,30))-MAX(D874,DATE(2018,9,24)))/365,1),0.25)
)
*1,
K874*
(
DATEDIF(MAX(D874,DATE(2018,9,24)),MIN(Y874,DATE(2023,4,30)),"m")+1
)
*
_xlfn.SWITCH(J874,
"موقف/تندة",IF(D874&lt;DATE(2019,11,30),6,30),
"تشوينات",IF(D874&lt;DATE(2019,11,30),4,20),
"مشاتل",IF(D874&lt;DATE(2019,11,30),2,10),
"كافيتيريا",IF(D874&lt;DATE(2019,11,30),30,150),
"نوادي",IF(D874&lt;DATE(2019,11,30),6,30),
"رسو مراكب",IF(D874&lt;DATE(2019,11,30),2,10),
"مباني",IF(D874&lt;DATE(2018,9,24),2,10),
"عشش",IF(D874&lt;DATE(2019,11,30),2,10),
"كشك (تجاري/صناعي)",IF(D874&lt;DATE(2019,11,30),10,50),
"ردم",20,
0)))</f>
        <v>0</v>
      </c>
      <c r="AC874" s="1" cm="1">
        <f t="array" aca="1" ref="AC874" ca="1">IF(Y874&lt;DATE(2023,5,1),0,
IF(J874="زراعة",
K874*
(
INT((Y874-MAX(DATE(2023,5,1),D874))/365)
+
CEILING(MOD((Y874-MAX(DATE(2023,5,1),D874))/365,1),0.25)
)
*3,
IF(J874="ردم",
K874*20,
K874*
(
DATEDIF(MAX(DATE(2023,5,1),D874),Y874,"m")+1
)
*
_xlfn.SWITCH(J874,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74" s="1">
        <f t="shared" ca="1" si="87"/>
        <v>55</v>
      </c>
    </row>
    <row r="875" spans="1:30" ht="18.75" x14ac:dyDescent="0.25">
      <c r="A875" s="37">
        <v>810</v>
      </c>
      <c r="B875" s="63">
        <v>72</v>
      </c>
      <c r="C875" s="63">
        <v>2025</v>
      </c>
      <c r="D875" s="64" t="s">
        <v>971</v>
      </c>
      <c r="E875" s="11"/>
      <c r="F875" s="3"/>
      <c r="G875" s="70" t="s">
        <v>1039</v>
      </c>
      <c r="H875" s="3"/>
      <c r="I875" s="63" t="s">
        <v>50</v>
      </c>
      <c r="J875" s="3" t="s">
        <v>27</v>
      </c>
      <c r="K875" s="3"/>
      <c r="L875" s="3" t="s">
        <v>672</v>
      </c>
      <c r="M875" s="2"/>
      <c r="N875" s="3"/>
      <c r="O875" s="9">
        <f>0.47*Table2[[#This Row],[قيمة المحضر]]</f>
        <v>0</v>
      </c>
      <c r="P875" s="9">
        <f>0.17*Table2[[#This Row],[قيمة المحضر]]</f>
        <v>0</v>
      </c>
      <c r="Q875" s="9">
        <f t="shared" ca="1" si="91"/>
        <v>0</v>
      </c>
      <c r="R875" s="3"/>
      <c r="S875" s="3"/>
      <c r="T875" s="9" t="str">
        <f t="shared" si="92"/>
        <v>-</v>
      </c>
      <c r="U875" s="3"/>
      <c r="V875" s="9" t="str">
        <f t="shared" si="93"/>
        <v/>
      </c>
      <c r="W875" s="67"/>
      <c r="X875" s="88"/>
      <c r="Y875" s="1">
        <f t="shared" ca="1" si="86"/>
        <v>46162</v>
      </c>
      <c r="Z875" s="1" cm="1">
        <f t="array" ref="Z875">IF(D875&gt;DATE(2015,5,16),0,
K875*
(
INT((MIN(Y875,DATE(2015,5,16))-D875)/365)
+
CEILING(MOD((MIN(Y875,DATE(2015,5,16))-D875)/365,1),0.25)
)
*
_xlfn.SWITCH(J875,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75" s="1" cm="1">
        <f t="array" aca="1" ref="AA875" ca="1">IF(Y875&lt;DATE(2015,5,17),0,
K875*
(
INT((MIN(Y875,DATE(2018,9,23))-MAX(D875,DATE(2015,5,17)))/365)
+
CEILING(MOD((MIN(Y875,DATE(2018,9,23))-MAX(D875,DATE(2015,5,17)))/365,1),0.25)
)
*
_xlfn.SWITCH(J875,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75" s="1" cm="1">
        <f t="array" aca="1" ref="AB875" ca="1">IF(Y875&lt;DATE(2018,9,24),0,
IF(J875="زراعة",
K875*
(
INT((MIN(Y875,DATE(2023,4,30))-MAX(D875,DATE(2018,9,24)))/365)
+
CEILING(MOD((MIN(Y875,DATE(2023,4,30))-MAX(D875,DATE(2018,9,24)))/365,1),0.25)
)
*1,
K875*
(
DATEDIF(MAX(D875,DATE(2018,9,24)),MIN(Y875,DATE(2023,4,30)),"m")+1
)
*
_xlfn.SWITCH(J875,
"موقف/تندة",IF(D875&lt;DATE(2019,11,30),6,30),
"تشوينات",IF(D875&lt;DATE(2019,11,30),4,20),
"مشاتل",IF(D875&lt;DATE(2019,11,30),2,10),
"كافيتيريا",IF(D875&lt;DATE(2019,11,30),30,150),
"نوادي",IF(D875&lt;DATE(2019,11,30),6,30),
"رسو مراكب",IF(D875&lt;DATE(2019,11,30),2,10),
"مباني",IF(D875&lt;DATE(2018,9,24),2,10),
"عشش",IF(D875&lt;DATE(2019,11,30),2,10),
"كشك (تجاري/صناعي)",IF(D875&lt;DATE(2019,11,30),10,50),
"ردم",20,
0)))</f>
        <v>0</v>
      </c>
      <c r="AC875" s="1" cm="1">
        <f t="array" aca="1" ref="AC875" ca="1">IF(Y875&lt;DATE(2023,5,1),0,
IF(J875="زراعة",
K875*
(
INT((Y875-MAX(DATE(2023,5,1),D875))/365)
+
CEILING(MOD((Y875-MAX(DATE(2023,5,1),D875))/365,1),0.25)
)
*3,
IF(J875="ردم",
K875*20,
K875*
(
DATEDIF(MAX(DATE(2023,5,1),D875),Y875,"m")+1
)
*
_xlfn.SWITCH(J875,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75" s="1">
        <f t="shared" ca="1" si="87"/>
        <v>55</v>
      </c>
    </row>
    <row r="876" spans="1:30" ht="18.75" x14ac:dyDescent="0.25">
      <c r="A876" s="37">
        <v>811</v>
      </c>
      <c r="B876" s="63">
        <v>73</v>
      </c>
      <c r="C876" s="63">
        <v>2025</v>
      </c>
      <c r="D876" s="64" t="s">
        <v>971</v>
      </c>
      <c r="E876" s="11"/>
      <c r="F876" s="3"/>
      <c r="G876" s="70" t="s">
        <v>1040</v>
      </c>
      <c r="H876" s="3"/>
      <c r="I876" s="63" t="s">
        <v>50</v>
      </c>
      <c r="J876" s="3" t="s">
        <v>27</v>
      </c>
      <c r="K876" s="3"/>
      <c r="L876" s="3" t="s">
        <v>672</v>
      </c>
      <c r="M876" s="2"/>
      <c r="N876" s="3"/>
      <c r="O876" s="9">
        <f>0.47*Table2[[#This Row],[قيمة المحضر]]</f>
        <v>0</v>
      </c>
      <c r="P876" s="9">
        <f>0.17*Table2[[#This Row],[قيمة المحضر]]</f>
        <v>0</v>
      </c>
      <c r="Q876" s="9">
        <f t="shared" ca="1" si="91"/>
        <v>0</v>
      </c>
      <c r="R876" s="3"/>
      <c r="S876" s="3"/>
      <c r="T876" s="9" t="str">
        <f t="shared" si="92"/>
        <v>-</v>
      </c>
      <c r="U876" s="3"/>
      <c r="V876" s="9" t="str">
        <f t="shared" si="93"/>
        <v/>
      </c>
      <c r="W876" s="67"/>
      <c r="X876" s="88"/>
      <c r="Y876" s="1">
        <f t="shared" ca="1" si="86"/>
        <v>46162</v>
      </c>
      <c r="Z876" s="1" cm="1">
        <f t="array" ref="Z876">IF(D876&gt;DATE(2015,5,16),0,
K876*
(
INT((MIN(Y876,DATE(2015,5,16))-D876)/365)
+
CEILING(MOD((MIN(Y876,DATE(2015,5,16))-D876)/365,1),0.25)
)
*
_xlfn.SWITCH(J876,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76" s="1" cm="1">
        <f t="array" aca="1" ref="AA876" ca="1">IF(Y876&lt;DATE(2015,5,17),0,
K876*
(
INT((MIN(Y876,DATE(2018,9,23))-MAX(D876,DATE(2015,5,17)))/365)
+
CEILING(MOD((MIN(Y876,DATE(2018,9,23))-MAX(D876,DATE(2015,5,17)))/365,1),0.25)
)
*
_xlfn.SWITCH(J876,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76" s="1" cm="1">
        <f t="array" aca="1" ref="AB876" ca="1">IF(Y876&lt;DATE(2018,9,24),0,
IF(J876="زراعة",
K876*
(
INT((MIN(Y876,DATE(2023,4,30))-MAX(D876,DATE(2018,9,24)))/365)
+
CEILING(MOD((MIN(Y876,DATE(2023,4,30))-MAX(D876,DATE(2018,9,24)))/365,1),0.25)
)
*1,
K876*
(
DATEDIF(MAX(D876,DATE(2018,9,24)),MIN(Y876,DATE(2023,4,30)),"m")+1
)
*
_xlfn.SWITCH(J876,
"موقف/تندة",IF(D876&lt;DATE(2019,11,30),6,30),
"تشوينات",IF(D876&lt;DATE(2019,11,30),4,20),
"مشاتل",IF(D876&lt;DATE(2019,11,30),2,10),
"كافيتيريا",IF(D876&lt;DATE(2019,11,30),30,150),
"نوادي",IF(D876&lt;DATE(2019,11,30),6,30),
"رسو مراكب",IF(D876&lt;DATE(2019,11,30),2,10),
"مباني",IF(D876&lt;DATE(2018,9,24),2,10),
"عشش",IF(D876&lt;DATE(2019,11,30),2,10),
"كشك (تجاري/صناعي)",IF(D876&lt;DATE(2019,11,30),10,50),
"ردم",20,
0)))</f>
        <v>0</v>
      </c>
      <c r="AC876" s="1" cm="1">
        <f t="array" aca="1" ref="AC876" ca="1">IF(Y876&lt;DATE(2023,5,1),0,
IF(J876="زراعة",
K876*
(
INT((Y876-MAX(DATE(2023,5,1),D876))/365)
+
CEILING(MOD((Y876-MAX(DATE(2023,5,1),D876))/365,1),0.25)
)
*3,
IF(J876="ردم",
K876*20,
K876*
(
DATEDIF(MAX(DATE(2023,5,1),D876),Y876,"m")+1
)
*
_xlfn.SWITCH(J876,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76" s="1">
        <f t="shared" ca="1" si="87"/>
        <v>55</v>
      </c>
    </row>
    <row r="877" spans="1:30" ht="18.75" x14ac:dyDescent="0.25">
      <c r="A877" s="37">
        <v>812</v>
      </c>
      <c r="B877" s="63">
        <v>74</v>
      </c>
      <c r="C877" s="63">
        <v>2025</v>
      </c>
      <c r="D877" s="64" t="s">
        <v>971</v>
      </c>
      <c r="E877" s="11"/>
      <c r="F877" s="3"/>
      <c r="G877" s="70" t="s">
        <v>1041</v>
      </c>
      <c r="H877" s="3"/>
      <c r="I877" s="63" t="s">
        <v>50</v>
      </c>
      <c r="J877" s="3" t="s">
        <v>27</v>
      </c>
      <c r="K877" s="3"/>
      <c r="L877" s="3" t="s">
        <v>672</v>
      </c>
      <c r="M877" s="2"/>
      <c r="N877" s="3"/>
      <c r="O877" s="9">
        <f>0.47*Table2[[#This Row],[قيمة المحضر]]</f>
        <v>0</v>
      </c>
      <c r="P877" s="9">
        <f>0.17*Table2[[#This Row],[قيمة المحضر]]</f>
        <v>0</v>
      </c>
      <c r="Q877" s="9">
        <f t="shared" ca="1" si="91"/>
        <v>0</v>
      </c>
      <c r="R877" s="3"/>
      <c r="S877" s="3"/>
      <c r="T877" s="9" t="str">
        <f t="shared" si="92"/>
        <v>-</v>
      </c>
      <c r="U877" s="3"/>
      <c r="V877" s="9" t="str">
        <f t="shared" si="93"/>
        <v/>
      </c>
      <c r="W877" s="67"/>
      <c r="X877" s="88"/>
      <c r="Y877" s="1">
        <f t="shared" ca="1" si="86"/>
        <v>46162</v>
      </c>
      <c r="Z877" s="1" cm="1">
        <f t="array" ref="Z877">IF(D877&gt;DATE(2015,5,16),0,
K877*
(
INT((MIN(Y877,DATE(2015,5,16))-D877)/365)
+
CEILING(MOD((MIN(Y877,DATE(2015,5,16))-D877)/365,1),0.25)
)
*
_xlfn.SWITCH(J877,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77" s="1" cm="1">
        <f t="array" aca="1" ref="AA877" ca="1">IF(Y877&lt;DATE(2015,5,17),0,
K877*
(
INT((MIN(Y877,DATE(2018,9,23))-MAX(D877,DATE(2015,5,17)))/365)
+
CEILING(MOD((MIN(Y877,DATE(2018,9,23))-MAX(D877,DATE(2015,5,17)))/365,1),0.25)
)
*
_xlfn.SWITCH(J877,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77" s="1" cm="1">
        <f t="array" aca="1" ref="AB877" ca="1">IF(Y877&lt;DATE(2018,9,24),0,
IF(J877="زراعة",
K877*
(
INT((MIN(Y877,DATE(2023,4,30))-MAX(D877,DATE(2018,9,24)))/365)
+
CEILING(MOD((MIN(Y877,DATE(2023,4,30))-MAX(D877,DATE(2018,9,24)))/365,1),0.25)
)
*1,
K877*
(
DATEDIF(MAX(D877,DATE(2018,9,24)),MIN(Y877,DATE(2023,4,30)),"m")+1
)
*
_xlfn.SWITCH(J877,
"موقف/تندة",IF(D877&lt;DATE(2019,11,30),6,30),
"تشوينات",IF(D877&lt;DATE(2019,11,30),4,20),
"مشاتل",IF(D877&lt;DATE(2019,11,30),2,10),
"كافيتيريا",IF(D877&lt;DATE(2019,11,30),30,150),
"نوادي",IF(D877&lt;DATE(2019,11,30),6,30),
"رسو مراكب",IF(D877&lt;DATE(2019,11,30),2,10),
"مباني",IF(D877&lt;DATE(2018,9,24),2,10),
"عشش",IF(D877&lt;DATE(2019,11,30),2,10),
"كشك (تجاري/صناعي)",IF(D877&lt;DATE(2019,11,30),10,50),
"ردم",20,
0)))</f>
        <v>0</v>
      </c>
      <c r="AC877" s="1" cm="1">
        <f t="array" aca="1" ref="AC877" ca="1">IF(Y877&lt;DATE(2023,5,1),0,
IF(J877="زراعة",
K877*
(
INT((Y877-MAX(DATE(2023,5,1),D877))/365)
+
CEILING(MOD((Y877-MAX(DATE(2023,5,1),D877))/365,1),0.25)
)
*3,
IF(J877="ردم",
K877*20,
K877*
(
DATEDIF(MAX(DATE(2023,5,1),D877),Y877,"m")+1
)
*
_xlfn.SWITCH(J877,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77" s="1">
        <f t="shared" ca="1" si="87"/>
        <v>55</v>
      </c>
    </row>
    <row r="878" spans="1:30" ht="18.75" x14ac:dyDescent="0.25">
      <c r="A878" s="37">
        <v>813</v>
      </c>
      <c r="B878" s="63">
        <v>75</v>
      </c>
      <c r="C878" s="63">
        <v>2025</v>
      </c>
      <c r="D878" s="64" t="s">
        <v>971</v>
      </c>
      <c r="E878" s="11"/>
      <c r="F878" s="3"/>
      <c r="G878" s="70" t="s">
        <v>784</v>
      </c>
      <c r="H878" s="3"/>
      <c r="I878" s="63" t="s">
        <v>50</v>
      </c>
      <c r="J878" s="3" t="s">
        <v>27</v>
      </c>
      <c r="K878" s="3"/>
      <c r="L878" s="3" t="s">
        <v>672</v>
      </c>
      <c r="M878" s="2"/>
      <c r="N878" s="3"/>
      <c r="O878" s="9">
        <f>0.47*Table2[[#This Row],[قيمة المحضر]]</f>
        <v>0</v>
      </c>
      <c r="P878" s="9">
        <f>0.17*Table2[[#This Row],[قيمة المحضر]]</f>
        <v>0</v>
      </c>
      <c r="Q878" s="9">
        <f t="shared" ca="1" si="91"/>
        <v>0</v>
      </c>
      <c r="R878" s="3"/>
      <c r="S878" s="3"/>
      <c r="T878" s="9" t="str">
        <f t="shared" si="92"/>
        <v>-</v>
      </c>
      <c r="U878" s="3"/>
      <c r="V878" s="9" t="str">
        <f t="shared" si="93"/>
        <v/>
      </c>
      <c r="W878" s="67"/>
      <c r="X878" s="88"/>
      <c r="Y878" s="1">
        <f t="shared" ca="1" si="86"/>
        <v>46162</v>
      </c>
      <c r="Z878" s="1" cm="1">
        <f t="array" ref="Z878">IF(D878&gt;DATE(2015,5,16),0,
K878*
(
INT((MIN(Y878,DATE(2015,5,16))-D878)/365)
+
CEILING(MOD((MIN(Y878,DATE(2015,5,16))-D878)/365,1),0.25)
)
*
_xlfn.SWITCH(J878,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78" s="1" cm="1">
        <f t="array" aca="1" ref="AA878" ca="1">IF(Y878&lt;DATE(2015,5,17),0,
K878*
(
INT((MIN(Y878,DATE(2018,9,23))-MAX(D878,DATE(2015,5,17)))/365)
+
CEILING(MOD((MIN(Y878,DATE(2018,9,23))-MAX(D878,DATE(2015,5,17)))/365,1),0.25)
)
*
_xlfn.SWITCH(J878,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78" s="1" cm="1">
        <f t="array" aca="1" ref="AB878" ca="1">IF(Y878&lt;DATE(2018,9,24),0,
IF(J878="زراعة",
K878*
(
INT((MIN(Y878,DATE(2023,4,30))-MAX(D878,DATE(2018,9,24)))/365)
+
CEILING(MOD((MIN(Y878,DATE(2023,4,30))-MAX(D878,DATE(2018,9,24)))/365,1),0.25)
)
*1,
K878*
(
DATEDIF(MAX(D878,DATE(2018,9,24)),MIN(Y878,DATE(2023,4,30)),"m")+1
)
*
_xlfn.SWITCH(J878,
"موقف/تندة",IF(D878&lt;DATE(2019,11,30),6,30),
"تشوينات",IF(D878&lt;DATE(2019,11,30),4,20),
"مشاتل",IF(D878&lt;DATE(2019,11,30),2,10),
"كافيتيريا",IF(D878&lt;DATE(2019,11,30),30,150),
"نوادي",IF(D878&lt;DATE(2019,11,30),6,30),
"رسو مراكب",IF(D878&lt;DATE(2019,11,30),2,10),
"مباني",IF(D878&lt;DATE(2018,9,24),2,10),
"عشش",IF(D878&lt;DATE(2019,11,30),2,10),
"كشك (تجاري/صناعي)",IF(D878&lt;DATE(2019,11,30),10,50),
"ردم",20,
0)))</f>
        <v>0</v>
      </c>
      <c r="AC878" s="1" cm="1">
        <f t="array" aca="1" ref="AC878" ca="1">IF(Y878&lt;DATE(2023,5,1),0,
IF(J878="زراعة",
K878*
(
INT((Y878-MAX(DATE(2023,5,1),D878))/365)
+
CEILING(MOD((Y878-MAX(DATE(2023,5,1),D878))/365,1),0.25)
)
*3,
IF(J878="ردم",
K878*20,
K878*
(
DATEDIF(MAX(DATE(2023,5,1),D878),Y878,"m")+1
)
*
_xlfn.SWITCH(J878,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78" s="1">
        <f t="shared" ca="1" si="87"/>
        <v>55</v>
      </c>
    </row>
    <row r="879" spans="1:30" ht="18.75" x14ac:dyDescent="0.25">
      <c r="A879" s="37">
        <v>814</v>
      </c>
      <c r="B879" s="63">
        <v>76</v>
      </c>
      <c r="C879" s="63">
        <v>2025</v>
      </c>
      <c r="D879" s="64" t="s">
        <v>971</v>
      </c>
      <c r="E879" s="11"/>
      <c r="F879" s="3"/>
      <c r="G879" s="70" t="s">
        <v>1042</v>
      </c>
      <c r="H879" s="3"/>
      <c r="I879" s="63" t="s">
        <v>50</v>
      </c>
      <c r="J879" s="3" t="s">
        <v>27</v>
      </c>
      <c r="K879" s="3"/>
      <c r="L879" s="3" t="s">
        <v>672</v>
      </c>
      <c r="M879" s="2"/>
      <c r="N879" s="3"/>
      <c r="O879" s="9">
        <f>0.47*Table2[[#This Row],[قيمة المحضر]]</f>
        <v>0</v>
      </c>
      <c r="P879" s="9">
        <f>0.17*Table2[[#This Row],[قيمة المحضر]]</f>
        <v>0</v>
      </c>
      <c r="Q879" s="9">
        <f t="shared" ca="1" si="91"/>
        <v>0</v>
      </c>
      <c r="R879" s="3"/>
      <c r="S879" s="3"/>
      <c r="T879" s="9" t="str">
        <f t="shared" si="92"/>
        <v>-</v>
      </c>
      <c r="U879" s="3"/>
      <c r="V879" s="9" t="str">
        <f t="shared" si="93"/>
        <v/>
      </c>
      <c r="W879" s="67"/>
      <c r="X879" s="88"/>
      <c r="Y879" s="1">
        <f t="shared" ca="1" si="86"/>
        <v>46162</v>
      </c>
      <c r="Z879" s="1" cm="1">
        <f t="array" ref="Z879">IF(D879&gt;DATE(2015,5,16),0,
K879*
(
INT((MIN(Y879,DATE(2015,5,16))-D879)/365)
+
CEILING(MOD((MIN(Y879,DATE(2015,5,16))-D879)/365,1),0.25)
)
*
_xlfn.SWITCH(J879,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79" s="1" cm="1">
        <f t="array" aca="1" ref="AA879" ca="1">IF(Y879&lt;DATE(2015,5,17),0,
K879*
(
INT((MIN(Y879,DATE(2018,9,23))-MAX(D879,DATE(2015,5,17)))/365)
+
CEILING(MOD((MIN(Y879,DATE(2018,9,23))-MAX(D879,DATE(2015,5,17)))/365,1),0.25)
)
*
_xlfn.SWITCH(J879,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79" s="1" cm="1">
        <f t="array" aca="1" ref="AB879" ca="1">IF(Y879&lt;DATE(2018,9,24),0,
IF(J879="زراعة",
K879*
(
INT((MIN(Y879,DATE(2023,4,30))-MAX(D879,DATE(2018,9,24)))/365)
+
CEILING(MOD((MIN(Y879,DATE(2023,4,30))-MAX(D879,DATE(2018,9,24)))/365,1),0.25)
)
*1,
K879*
(
DATEDIF(MAX(D879,DATE(2018,9,24)),MIN(Y879,DATE(2023,4,30)),"m")+1
)
*
_xlfn.SWITCH(J879,
"موقف/تندة",IF(D879&lt;DATE(2019,11,30),6,30),
"تشوينات",IF(D879&lt;DATE(2019,11,30),4,20),
"مشاتل",IF(D879&lt;DATE(2019,11,30),2,10),
"كافيتيريا",IF(D879&lt;DATE(2019,11,30),30,150),
"نوادي",IF(D879&lt;DATE(2019,11,30),6,30),
"رسو مراكب",IF(D879&lt;DATE(2019,11,30),2,10),
"مباني",IF(D879&lt;DATE(2018,9,24),2,10),
"عشش",IF(D879&lt;DATE(2019,11,30),2,10),
"كشك (تجاري/صناعي)",IF(D879&lt;DATE(2019,11,30),10,50),
"ردم",20,
0)))</f>
        <v>0</v>
      </c>
      <c r="AC879" s="1" cm="1">
        <f t="array" aca="1" ref="AC879" ca="1">IF(Y879&lt;DATE(2023,5,1),0,
IF(J879="زراعة",
K879*
(
INT((Y879-MAX(DATE(2023,5,1),D879))/365)
+
CEILING(MOD((Y879-MAX(DATE(2023,5,1),D879))/365,1),0.25)
)
*3,
IF(J879="ردم",
K879*20,
K879*
(
DATEDIF(MAX(DATE(2023,5,1),D879),Y879,"m")+1
)
*
_xlfn.SWITCH(J879,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79" s="1">
        <f t="shared" ca="1" si="87"/>
        <v>55</v>
      </c>
    </row>
    <row r="880" spans="1:30" ht="18.75" x14ac:dyDescent="0.25">
      <c r="A880" s="37">
        <v>815</v>
      </c>
      <c r="B880" s="63">
        <v>77</v>
      </c>
      <c r="C880" s="63">
        <v>2025</v>
      </c>
      <c r="D880" s="64" t="s">
        <v>971</v>
      </c>
      <c r="E880" s="11"/>
      <c r="F880" s="3"/>
      <c r="G880" s="70" t="s">
        <v>1043</v>
      </c>
      <c r="H880" s="3"/>
      <c r="I880" s="63" t="s">
        <v>50</v>
      </c>
      <c r="J880" s="3" t="s">
        <v>27</v>
      </c>
      <c r="K880" s="3"/>
      <c r="L880" s="3" t="s">
        <v>672</v>
      </c>
      <c r="M880" s="2"/>
      <c r="N880" s="3"/>
      <c r="O880" s="9">
        <f>0.47*Table2[[#This Row],[قيمة المحضر]]</f>
        <v>0</v>
      </c>
      <c r="P880" s="9">
        <f>0.17*Table2[[#This Row],[قيمة المحضر]]</f>
        <v>0</v>
      </c>
      <c r="Q880" s="9">
        <f t="shared" ca="1" si="91"/>
        <v>0</v>
      </c>
      <c r="R880" s="3"/>
      <c r="S880" s="3"/>
      <c r="T880" s="9" t="str">
        <f t="shared" si="92"/>
        <v>-</v>
      </c>
      <c r="U880" s="3"/>
      <c r="V880" s="9" t="str">
        <f t="shared" si="93"/>
        <v/>
      </c>
      <c r="W880" s="67"/>
      <c r="X880" s="88"/>
      <c r="Y880" s="1">
        <f t="shared" ca="1" si="86"/>
        <v>46162</v>
      </c>
      <c r="Z880" s="1" cm="1">
        <f t="array" ref="Z880">IF(D880&gt;DATE(2015,5,16),0,
K880*
(
INT((MIN(Y880,DATE(2015,5,16))-D880)/365)
+
CEILING(MOD((MIN(Y880,DATE(2015,5,16))-D880)/365,1),0.25)
)
*
_xlfn.SWITCH(J880,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80" s="1" cm="1">
        <f t="array" aca="1" ref="AA880" ca="1">IF(Y880&lt;DATE(2015,5,17),0,
K880*
(
INT((MIN(Y880,DATE(2018,9,23))-MAX(D880,DATE(2015,5,17)))/365)
+
CEILING(MOD((MIN(Y880,DATE(2018,9,23))-MAX(D880,DATE(2015,5,17)))/365,1),0.25)
)
*
_xlfn.SWITCH(J880,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80" s="1" cm="1">
        <f t="array" aca="1" ref="AB880" ca="1">IF(Y880&lt;DATE(2018,9,24),0,
IF(J880="زراعة",
K880*
(
INT((MIN(Y880,DATE(2023,4,30))-MAX(D880,DATE(2018,9,24)))/365)
+
CEILING(MOD((MIN(Y880,DATE(2023,4,30))-MAX(D880,DATE(2018,9,24)))/365,1),0.25)
)
*1,
K880*
(
DATEDIF(MAX(D880,DATE(2018,9,24)),MIN(Y880,DATE(2023,4,30)),"m")+1
)
*
_xlfn.SWITCH(J880,
"موقف/تندة",IF(D880&lt;DATE(2019,11,30),6,30),
"تشوينات",IF(D880&lt;DATE(2019,11,30),4,20),
"مشاتل",IF(D880&lt;DATE(2019,11,30),2,10),
"كافيتيريا",IF(D880&lt;DATE(2019,11,30),30,150),
"نوادي",IF(D880&lt;DATE(2019,11,30),6,30),
"رسو مراكب",IF(D880&lt;DATE(2019,11,30),2,10),
"مباني",IF(D880&lt;DATE(2018,9,24),2,10),
"عشش",IF(D880&lt;DATE(2019,11,30),2,10),
"كشك (تجاري/صناعي)",IF(D880&lt;DATE(2019,11,30),10,50),
"ردم",20,
0)))</f>
        <v>0</v>
      </c>
      <c r="AC880" s="1" cm="1">
        <f t="array" aca="1" ref="AC880" ca="1">IF(Y880&lt;DATE(2023,5,1),0,
IF(J880="زراعة",
K880*
(
INT((Y880-MAX(DATE(2023,5,1),D880))/365)
+
CEILING(MOD((Y880-MAX(DATE(2023,5,1),D880))/365,1),0.25)
)
*3,
IF(J880="ردم",
K880*20,
K880*
(
DATEDIF(MAX(DATE(2023,5,1),D880),Y880,"m")+1
)
*
_xlfn.SWITCH(J880,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80" s="1">
        <f t="shared" ca="1" si="87"/>
        <v>55</v>
      </c>
    </row>
    <row r="881" spans="1:30" ht="18.75" x14ac:dyDescent="0.25">
      <c r="A881" s="37">
        <v>816</v>
      </c>
      <c r="B881" s="63">
        <v>78</v>
      </c>
      <c r="C881" s="63">
        <v>2025</v>
      </c>
      <c r="D881" s="64" t="s">
        <v>972</v>
      </c>
      <c r="E881" s="11"/>
      <c r="F881" s="3"/>
      <c r="G881" s="70" t="s">
        <v>1044</v>
      </c>
      <c r="H881" s="3"/>
      <c r="I881" s="63" t="s">
        <v>50</v>
      </c>
      <c r="J881" s="3" t="s">
        <v>27</v>
      </c>
      <c r="K881" s="3"/>
      <c r="L881" s="3" t="s">
        <v>672</v>
      </c>
      <c r="M881" s="2"/>
      <c r="N881" s="3"/>
      <c r="O881" s="9">
        <f>0.47*Table2[[#This Row],[قيمة المحضر]]</f>
        <v>0</v>
      </c>
      <c r="P881" s="9">
        <f>0.17*Table2[[#This Row],[قيمة المحضر]]</f>
        <v>0</v>
      </c>
      <c r="Q881" s="9">
        <f t="shared" ca="1" si="91"/>
        <v>0</v>
      </c>
      <c r="R881" s="3"/>
      <c r="S881" s="3"/>
      <c r="T881" s="9" t="str">
        <f t="shared" si="92"/>
        <v>-</v>
      </c>
      <c r="U881" s="3"/>
      <c r="V881" s="9" t="str">
        <f t="shared" si="93"/>
        <v/>
      </c>
      <c r="W881" s="67"/>
      <c r="X881" s="88"/>
      <c r="Y881" s="1">
        <f t="shared" ca="1" si="86"/>
        <v>46162</v>
      </c>
      <c r="Z881" s="1" cm="1">
        <f t="array" ref="Z881">IF(D881&gt;DATE(2015,5,16),0,
K881*
(
INT((MIN(Y881,DATE(2015,5,16))-D881)/365)
+
CEILING(MOD((MIN(Y881,DATE(2015,5,16))-D881)/365,1),0.25)
)
*
_xlfn.SWITCH(J881,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81" s="1" cm="1">
        <f t="array" aca="1" ref="AA881" ca="1">IF(Y881&lt;DATE(2015,5,17),0,
K881*
(
INT((MIN(Y881,DATE(2018,9,23))-MAX(D881,DATE(2015,5,17)))/365)
+
CEILING(MOD((MIN(Y881,DATE(2018,9,23))-MAX(D881,DATE(2015,5,17)))/365,1),0.25)
)
*
_xlfn.SWITCH(J881,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81" s="1" cm="1">
        <f t="array" aca="1" ref="AB881" ca="1">IF(Y881&lt;DATE(2018,9,24),0,
IF(J881="زراعة",
K881*
(
INT((MIN(Y881,DATE(2023,4,30))-MAX(D881,DATE(2018,9,24)))/365)
+
CEILING(MOD((MIN(Y881,DATE(2023,4,30))-MAX(D881,DATE(2018,9,24)))/365,1),0.25)
)
*1,
K881*
(
DATEDIF(MAX(D881,DATE(2018,9,24)),MIN(Y881,DATE(2023,4,30)),"m")+1
)
*
_xlfn.SWITCH(J881,
"موقف/تندة",IF(D881&lt;DATE(2019,11,30),6,30),
"تشوينات",IF(D881&lt;DATE(2019,11,30),4,20),
"مشاتل",IF(D881&lt;DATE(2019,11,30),2,10),
"كافيتيريا",IF(D881&lt;DATE(2019,11,30),30,150),
"نوادي",IF(D881&lt;DATE(2019,11,30),6,30),
"رسو مراكب",IF(D881&lt;DATE(2019,11,30),2,10),
"مباني",IF(D881&lt;DATE(2018,9,24),2,10),
"عشش",IF(D881&lt;DATE(2019,11,30),2,10),
"كشك (تجاري/صناعي)",IF(D881&lt;DATE(2019,11,30),10,50),
"ردم",20,
0)))</f>
        <v>0</v>
      </c>
      <c r="AC881" s="1" cm="1">
        <f t="array" aca="1" ref="AC881" ca="1">IF(Y881&lt;DATE(2023,5,1),0,
IF(J881="زراعة",
K881*
(
INT((Y881-MAX(DATE(2023,5,1),D881))/365)
+
CEILING(MOD((Y881-MAX(DATE(2023,5,1),D881))/365,1),0.25)
)
*3,
IF(J881="ردم",
K881*20,
K881*
(
DATEDIF(MAX(DATE(2023,5,1),D881),Y881,"m")+1
)
*
_xlfn.SWITCH(J881,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81" s="1">
        <f t="shared" ca="1" si="87"/>
        <v>55</v>
      </c>
    </row>
    <row r="882" spans="1:30" ht="18.75" x14ac:dyDescent="0.25">
      <c r="A882" s="37">
        <v>817</v>
      </c>
      <c r="B882" s="63">
        <v>79</v>
      </c>
      <c r="C882" s="63">
        <v>2025</v>
      </c>
      <c r="D882" s="64" t="s">
        <v>972</v>
      </c>
      <c r="E882" s="11"/>
      <c r="F882" s="3"/>
      <c r="G882" s="70" t="s">
        <v>1045</v>
      </c>
      <c r="H882" s="3"/>
      <c r="I882" s="63" t="s">
        <v>50</v>
      </c>
      <c r="J882" s="3" t="s">
        <v>27</v>
      </c>
      <c r="K882" s="3"/>
      <c r="L882" s="3" t="s">
        <v>672</v>
      </c>
      <c r="M882" s="2"/>
      <c r="N882" s="3"/>
      <c r="O882" s="9">
        <f>0.47*Table2[[#This Row],[قيمة المحضر]]</f>
        <v>0</v>
      </c>
      <c r="P882" s="9">
        <f>0.17*Table2[[#This Row],[قيمة المحضر]]</f>
        <v>0</v>
      </c>
      <c r="Q882" s="9">
        <f t="shared" ca="1" si="91"/>
        <v>0</v>
      </c>
      <c r="R882" s="3"/>
      <c r="S882" s="3"/>
      <c r="T882" s="9" t="str">
        <f t="shared" si="92"/>
        <v>-</v>
      </c>
      <c r="U882" s="3"/>
      <c r="V882" s="9" t="str">
        <f t="shared" si="93"/>
        <v/>
      </c>
      <c r="W882" s="67"/>
      <c r="X882" s="88"/>
      <c r="Y882" s="1">
        <f t="shared" ca="1" si="86"/>
        <v>46162</v>
      </c>
      <c r="Z882" s="1" cm="1">
        <f t="array" ref="Z882">IF(D882&gt;DATE(2015,5,16),0,
K882*
(
INT((MIN(Y882,DATE(2015,5,16))-D882)/365)
+
CEILING(MOD((MIN(Y882,DATE(2015,5,16))-D882)/365,1),0.25)
)
*
_xlfn.SWITCH(J882,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82" s="1" cm="1">
        <f t="array" aca="1" ref="AA882" ca="1">IF(Y882&lt;DATE(2015,5,17),0,
K882*
(
INT((MIN(Y882,DATE(2018,9,23))-MAX(D882,DATE(2015,5,17)))/365)
+
CEILING(MOD((MIN(Y882,DATE(2018,9,23))-MAX(D882,DATE(2015,5,17)))/365,1),0.25)
)
*
_xlfn.SWITCH(J882,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82" s="1" cm="1">
        <f t="array" aca="1" ref="AB882" ca="1">IF(Y882&lt;DATE(2018,9,24),0,
IF(J882="زراعة",
K882*
(
INT((MIN(Y882,DATE(2023,4,30))-MAX(D882,DATE(2018,9,24)))/365)
+
CEILING(MOD((MIN(Y882,DATE(2023,4,30))-MAX(D882,DATE(2018,9,24)))/365,1),0.25)
)
*1,
K882*
(
DATEDIF(MAX(D882,DATE(2018,9,24)),MIN(Y882,DATE(2023,4,30)),"m")+1
)
*
_xlfn.SWITCH(J882,
"موقف/تندة",IF(D882&lt;DATE(2019,11,30),6,30),
"تشوينات",IF(D882&lt;DATE(2019,11,30),4,20),
"مشاتل",IF(D882&lt;DATE(2019,11,30),2,10),
"كافيتيريا",IF(D882&lt;DATE(2019,11,30),30,150),
"نوادي",IF(D882&lt;DATE(2019,11,30),6,30),
"رسو مراكب",IF(D882&lt;DATE(2019,11,30),2,10),
"مباني",IF(D882&lt;DATE(2018,9,24),2,10),
"عشش",IF(D882&lt;DATE(2019,11,30),2,10),
"كشك (تجاري/صناعي)",IF(D882&lt;DATE(2019,11,30),10,50),
"ردم",20,
0)))</f>
        <v>0</v>
      </c>
      <c r="AC882" s="1" cm="1">
        <f t="array" aca="1" ref="AC882" ca="1">IF(Y882&lt;DATE(2023,5,1),0,
IF(J882="زراعة",
K882*
(
INT((Y882-MAX(DATE(2023,5,1),D882))/365)
+
CEILING(MOD((Y882-MAX(DATE(2023,5,1),D882))/365,1),0.25)
)
*3,
IF(J882="ردم",
K882*20,
K882*
(
DATEDIF(MAX(DATE(2023,5,1),D882),Y882,"m")+1
)
*
_xlfn.SWITCH(J882,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82" s="1">
        <f t="shared" ca="1" si="87"/>
        <v>55</v>
      </c>
    </row>
    <row r="883" spans="1:30" ht="18.75" x14ac:dyDescent="0.25">
      <c r="A883" s="37">
        <v>818</v>
      </c>
      <c r="B883" s="63">
        <v>80</v>
      </c>
      <c r="C883" s="63">
        <v>2025</v>
      </c>
      <c r="D883" s="64" t="s">
        <v>972</v>
      </c>
      <c r="E883" s="11"/>
      <c r="F883" s="3"/>
      <c r="G883" s="70" t="s">
        <v>1012</v>
      </c>
      <c r="H883" s="3"/>
      <c r="I883" s="63" t="s">
        <v>50</v>
      </c>
      <c r="J883" s="3" t="s">
        <v>27</v>
      </c>
      <c r="K883" s="3"/>
      <c r="L883" s="3" t="s">
        <v>672</v>
      </c>
      <c r="M883" s="2"/>
      <c r="N883" s="3"/>
      <c r="O883" s="9">
        <f>0.47*Table2[[#This Row],[قيمة المحضر]]</f>
        <v>0</v>
      </c>
      <c r="P883" s="9">
        <f>0.17*Table2[[#This Row],[قيمة المحضر]]</f>
        <v>0</v>
      </c>
      <c r="Q883" s="9">
        <f t="shared" ca="1" si="91"/>
        <v>0</v>
      </c>
      <c r="R883" s="3"/>
      <c r="S883" s="3"/>
      <c r="T883" s="9" t="str">
        <f t="shared" si="92"/>
        <v>-</v>
      </c>
      <c r="U883" s="3"/>
      <c r="V883" s="9" t="str">
        <f t="shared" si="93"/>
        <v/>
      </c>
      <c r="W883" s="67"/>
      <c r="X883" s="88"/>
      <c r="Y883" s="1">
        <f t="shared" ca="1" si="86"/>
        <v>46162</v>
      </c>
      <c r="Z883" s="1" cm="1">
        <f t="array" ref="Z883">IF(D883&gt;DATE(2015,5,16),0,
K883*
(
INT((MIN(Y883,DATE(2015,5,16))-D883)/365)
+
CEILING(MOD((MIN(Y883,DATE(2015,5,16))-D883)/365,1),0.25)
)
*
_xlfn.SWITCH(J883,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83" s="1" cm="1">
        <f t="array" aca="1" ref="AA883" ca="1">IF(Y883&lt;DATE(2015,5,17),0,
K883*
(
INT((MIN(Y883,DATE(2018,9,23))-MAX(D883,DATE(2015,5,17)))/365)
+
CEILING(MOD((MIN(Y883,DATE(2018,9,23))-MAX(D883,DATE(2015,5,17)))/365,1),0.25)
)
*
_xlfn.SWITCH(J883,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83" s="1" cm="1">
        <f t="array" aca="1" ref="AB883" ca="1">IF(Y883&lt;DATE(2018,9,24),0,
IF(J883="زراعة",
K883*
(
INT((MIN(Y883,DATE(2023,4,30))-MAX(D883,DATE(2018,9,24)))/365)
+
CEILING(MOD((MIN(Y883,DATE(2023,4,30))-MAX(D883,DATE(2018,9,24)))/365,1),0.25)
)
*1,
K883*
(
DATEDIF(MAX(D883,DATE(2018,9,24)),MIN(Y883,DATE(2023,4,30)),"m")+1
)
*
_xlfn.SWITCH(J883,
"موقف/تندة",IF(D883&lt;DATE(2019,11,30),6,30),
"تشوينات",IF(D883&lt;DATE(2019,11,30),4,20),
"مشاتل",IF(D883&lt;DATE(2019,11,30),2,10),
"كافيتيريا",IF(D883&lt;DATE(2019,11,30),30,150),
"نوادي",IF(D883&lt;DATE(2019,11,30),6,30),
"رسو مراكب",IF(D883&lt;DATE(2019,11,30),2,10),
"مباني",IF(D883&lt;DATE(2018,9,24),2,10),
"عشش",IF(D883&lt;DATE(2019,11,30),2,10),
"كشك (تجاري/صناعي)",IF(D883&lt;DATE(2019,11,30),10,50),
"ردم",20,
0)))</f>
        <v>0</v>
      </c>
      <c r="AC883" s="1" cm="1">
        <f t="array" aca="1" ref="AC883" ca="1">IF(Y883&lt;DATE(2023,5,1),0,
IF(J883="زراعة",
K883*
(
INT((Y883-MAX(DATE(2023,5,1),D883))/365)
+
CEILING(MOD((Y883-MAX(DATE(2023,5,1),D883))/365,1),0.25)
)
*3,
IF(J883="ردم",
K883*20,
K883*
(
DATEDIF(MAX(DATE(2023,5,1),D883),Y883,"m")+1
)
*
_xlfn.SWITCH(J883,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83" s="1">
        <f t="shared" ca="1" si="87"/>
        <v>55</v>
      </c>
    </row>
    <row r="884" spans="1:30" ht="18.75" x14ac:dyDescent="0.25">
      <c r="A884" s="37">
        <v>819</v>
      </c>
      <c r="B884" s="63">
        <v>81</v>
      </c>
      <c r="C884" s="63">
        <v>2025</v>
      </c>
      <c r="D884" s="64" t="s">
        <v>972</v>
      </c>
      <c r="E884" s="11"/>
      <c r="F884" s="3"/>
      <c r="G884" s="70" t="s">
        <v>1046</v>
      </c>
      <c r="H884" s="3"/>
      <c r="I884" s="63" t="s">
        <v>50</v>
      </c>
      <c r="J884" s="3" t="s">
        <v>27</v>
      </c>
      <c r="K884" s="3"/>
      <c r="L884" s="3" t="s">
        <v>672</v>
      </c>
      <c r="M884" s="2"/>
      <c r="N884" s="3"/>
      <c r="O884" s="9">
        <f>0.47*Table2[[#This Row],[قيمة المحضر]]</f>
        <v>0</v>
      </c>
      <c r="P884" s="9">
        <f>0.17*Table2[[#This Row],[قيمة المحضر]]</f>
        <v>0</v>
      </c>
      <c r="Q884" s="9">
        <f t="shared" ca="1" si="91"/>
        <v>0</v>
      </c>
      <c r="R884" s="3"/>
      <c r="S884" s="3"/>
      <c r="T884" s="9" t="str">
        <f t="shared" si="92"/>
        <v>-</v>
      </c>
      <c r="U884" s="3"/>
      <c r="V884" s="9" t="str">
        <f t="shared" si="93"/>
        <v/>
      </c>
      <c r="W884" s="67"/>
      <c r="X884" s="88"/>
      <c r="Y884" s="1">
        <f t="shared" ca="1" si="86"/>
        <v>46162</v>
      </c>
      <c r="Z884" s="1" cm="1">
        <f t="array" ref="Z884">IF(D884&gt;DATE(2015,5,16),0,
K884*
(
INT((MIN(Y884,DATE(2015,5,16))-D884)/365)
+
CEILING(MOD((MIN(Y884,DATE(2015,5,16))-D884)/365,1),0.25)
)
*
_xlfn.SWITCH(J884,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84" s="1" cm="1">
        <f t="array" aca="1" ref="AA884" ca="1">IF(Y884&lt;DATE(2015,5,17),0,
K884*
(
INT((MIN(Y884,DATE(2018,9,23))-MAX(D884,DATE(2015,5,17)))/365)
+
CEILING(MOD((MIN(Y884,DATE(2018,9,23))-MAX(D884,DATE(2015,5,17)))/365,1),0.25)
)
*
_xlfn.SWITCH(J884,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84" s="1" cm="1">
        <f t="array" aca="1" ref="AB884" ca="1">IF(Y884&lt;DATE(2018,9,24),0,
IF(J884="زراعة",
K884*
(
INT((MIN(Y884,DATE(2023,4,30))-MAX(D884,DATE(2018,9,24)))/365)
+
CEILING(MOD((MIN(Y884,DATE(2023,4,30))-MAX(D884,DATE(2018,9,24)))/365,1),0.25)
)
*1,
K884*
(
DATEDIF(MAX(D884,DATE(2018,9,24)),MIN(Y884,DATE(2023,4,30)),"m")+1
)
*
_xlfn.SWITCH(J884,
"موقف/تندة",IF(D884&lt;DATE(2019,11,30),6,30),
"تشوينات",IF(D884&lt;DATE(2019,11,30),4,20),
"مشاتل",IF(D884&lt;DATE(2019,11,30),2,10),
"كافيتيريا",IF(D884&lt;DATE(2019,11,30),30,150),
"نوادي",IF(D884&lt;DATE(2019,11,30),6,30),
"رسو مراكب",IF(D884&lt;DATE(2019,11,30),2,10),
"مباني",IF(D884&lt;DATE(2018,9,24),2,10),
"عشش",IF(D884&lt;DATE(2019,11,30),2,10),
"كشك (تجاري/صناعي)",IF(D884&lt;DATE(2019,11,30),10,50),
"ردم",20,
0)))</f>
        <v>0</v>
      </c>
      <c r="AC884" s="1" cm="1">
        <f t="array" aca="1" ref="AC884" ca="1">IF(Y884&lt;DATE(2023,5,1),0,
IF(J884="زراعة",
K884*
(
INT((Y884-MAX(DATE(2023,5,1),D884))/365)
+
CEILING(MOD((Y884-MAX(DATE(2023,5,1),D884))/365,1),0.25)
)
*3,
IF(J884="ردم",
K884*20,
K884*
(
DATEDIF(MAX(DATE(2023,5,1),D884),Y884,"m")+1
)
*
_xlfn.SWITCH(J884,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84" s="1">
        <f t="shared" ca="1" si="87"/>
        <v>55</v>
      </c>
    </row>
    <row r="885" spans="1:30" ht="18.75" x14ac:dyDescent="0.25">
      <c r="A885" s="37">
        <v>820</v>
      </c>
      <c r="B885" s="63">
        <v>82</v>
      </c>
      <c r="C885" s="63">
        <v>2025</v>
      </c>
      <c r="D885" s="64" t="s">
        <v>972</v>
      </c>
      <c r="E885" s="11"/>
      <c r="F885" s="3"/>
      <c r="G885" s="70" t="s">
        <v>1047</v>
      </c>
      <c r="H885" s="3"/>
      <c r="I885" s="63" t="s">
        <v>50</v>
      </c>
      <c r="J885" s="3" t="s">
        <v>27</v>
      </c>
      <c r="K885" s="3"/>
      <c r="L885" s="3" t="s">
        <v>672</v>
      </c>
      <c r="M885" s="2"/>
      <c r="N885" s="3"/>
      <c r="O885" s="9">
        <f>0.47*Table2[[#This Row],[قيمة المحضر]]</f>
        <v>0</v>
      </c>
      <c r="P885" s="9">
        <f>0.17*Table2[[#This Row],[قيمة المحضر]]</f>
        <v>0</v>
      </c>
      <c r="Q885" s="9">
        <f t="shared" ca="1" si="91"/>
        <v>0</v>
      </c>
      <c r="R885" s="3"/>
      <c r="S885" s="3"/>
      <c r="T885" s="9" t="str">
        <f t="shared" si="92"/>
        <v>-</v>
      </c>
      <c r="U885" s="3"/>
      <c r="V885" s="9" t="str">
        <f t="shared" si="93"/>
        <v/>
      </c>
      <c r="W885" s="67"/>
      <c r="X885" s="88"/>
      <c r="Y885" s="1">
        <f t="shared" ca="1" si="86"/>
        <v>46162</v>
      </c>
      <c r="Z885" s="1" cm="1">
        <f t="array" ref="Z885">IF(D885&gt;DATE(2015,5,16),0,
K885*
(
INT((MIN(Y885,DATE(2015,5,16))-D885)/365)
+
CEILING(MOD((MIN(Y885,DATE(2015,5,16))-D885)/365,1),0.25)
)
*
_xlfn.SWITCH(J885,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85" s="1" cm="1">
        <f t="array" aca="1" ref="AA885" ca="1">IF(Y885&lt;DATE(2015,5,17),0,
K885*
(
INT((MIN(Y885,DATE(2018,9,23))-MAX(D885,DATE(2015,5,17)))/365)
+
CEILING(MOD((MIN(Y885,DATE(2018,9,23))-MAX(D885,DATE(2015,5,17)))/365,1),0.25)
)
*
_xlfn.SWITCH(J885,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85" s="1" cm="1">
        <f t="array" aca="1" ref="AB885" ca="1">IF(Y885&lt;DATE(2018,9,24),0,
IF(J885="زراعة",
K885*
(
INT((MIN(Y885,DATE(2023,4,30))-MAX(D885,DATE(2018,9,24)))/365)
+
CEILING(MOD((MIN(Y885,DATE(2023,4,30))-MAX(D885,DATE(2018,9,24)))/365,1),0.25)
)
*1,
K885*
(
DATEDIF(MAX(D885,DATE(2018,9,24)),MIN(Y885,DATE(2023,4,30)),"m")+1
)
*
_xlfn.SWITCH(J885,
"موقف/تندة",IF(D885&lt;DATE(2019,11,30),6,30),
"تشوينات",IF(D885&lt;DATE(2019,11,30),4,20),
"مشاتل",IF(D885&lt;DATE(2019,11,30),2,10),
"كافيتيريا",IF(D885&lt;DATE(2019,11,30),30,150),
"نوادي",IF(D885&lt;DATE(2019,11,30),6,30),
"رسو مراكب",IF(D885&lt;DATE(2019,11,30),2,10),
"مباني",IF(D885&lt;DATE(2018,9,24),2,10),
"عشش",IF(D885&lt;DATE(2019,11,30),2,10),
"كشك (تجاري/صناعي)",IF(D885&lt;DATE(2019,11,30),10,50),
"ردم",20,
0)))</f>
        <v>0</v>
      </c>
      <c r="AC885" s="1" cm="1">
        <f t="array" aca="1" ref="AC885" ca="1">IF(Y885&lt;DATE(2023,5,1),0,
IF(J885="زراعة",
K885*
(
INT((Y885-MAX(DATE(2023,5,1),D885))/365)
+
CEILING(MOD((Y885-MAX(DATE(2023,5,1),D885))/365,1),0.25)
)
*3,
IF(J885="ردم",
K885*20,
K885*
(
DATEDIF(MAX(DATE(2023,5,1),D885),Y885,"m")+1
)
*
_xlfn.SWITCH(J885,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85" s="1">
        <f t="shared" ca="1" si="87"/>
        <v>55</v>
      </c>
    </row>
    <row r="886" spans="1:30" ht="18.75" x14ac:dyDescent="0.25">
      <c r="A886" s="37">
        <v>821</v>
      </c>
      <c r="B886" s="63">
        <v>83</v>
      </c>
      <c r="C886" s="63">
        <v>2025</v>
      </c>
      <c r="D886" s="64" t="s">
        <v>972</v>
      </c>
      <c r="E886" s="11"/>
      <c r="F886" s="3"/>
      <c r="G886" s="70" t="s">
        <v>1048</v>
      </c>
      <c r="H886" s="3"/>
      <c r="I886" s="63" t="s">
        <v>50</v>
      </c>
      <c r="J886" s="3" t="s">
        <v>27</v>
      </c>
      <c r="K886" s="3"/>
      <c r="L886" s="3" t="s">
        <v>672</v>
      </c>
      <c r="M886" s="2"/>
      <c r="N886" s="3"/>
      <c r="O886" s="9">
        <f>0.47*Table2[[#This Row],[قيمة المحضر]]</f>
        <v>0</v>
      </c>
      <c r="P886" s="9">
        <f>0.17*Table2[[#This Row],[قيمة المحضر]]</f>
        <v>0</v>
      </c>
      <c r="Q886" s="9">
        <f t="shared" ca="1" si="91"/>
        <v>0</v>
      </c>
      <c r="R886" s="3"/>
      <c r="S886" s="3"/>
      <c r="T886" s="9" t="str">
        <f t="shared" si="92"/>
        <v>-</v>
      </c>
      <c r="U886" s="3"/>
      <c r="V886" s="9" t="str">
        <f t="shared" si="93"/>
        <v/>
      </c>
      <c r="W886" s="67"/>
      <c r="X886" s="88"/>
      <c r="Y886" s="1">
        <f t="shared" ca="1" si="86"/>
        <v>46162</v>
      </c>
      <c r="Z886" s="1" cm="1">
        <f t="array" ref="Z886">IF(D886&gt;DATE(2015,5,16),0,
K886*
(
INT((MIN(Y886,DATE(2015,5,16))-D886)/365)
+
CEILING(MOD((MIN(Y886,DATE(2015,5,16))-D886)/365,1),0.25)
)
*
_xlfn.SWITCH(J886,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86" s="1" cm="1">
        <f t="array" aca="1" ref="AA886" ca="1">IF(Y886&lt;DATE(2015,5,17),0,
K886*
(
INT((MIN(Y886,DATE(2018,9,23))-MAX(D886,DATE(2015,5,17)))/365)
+
CEILING(MOD((MIN(Y886,DATE(2018,9,23))-MAX(D886,DATE(2015,5,17)))/365,1),0.25)
)
*
_xlfn.SWITCH(J886,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86" s="1" cm="1">
        <f t="array" aca="1" ref="AB886" ca="1">IF(Y886&lt;DATE(2018,9,24),0,
IF(J886="زراعة",
K886*
(
INT((MIN(Y886,DATE(2023,4,30))-MAX(D886,DATE(2018,9,24)))/365)
+
CEILING(MOD((MIN(Y886,DATE(2023,4,30))-MAX(D886,DATE(2018,9,24)))/365,1),0.25)
)
*1,
K886*
(
DATEDIF(MAX(D886,DATE(2018,9,24)),MIN(Y886,DATE(2023,4,30)),"m")+1
)
*
_xlfn.SWITCH(J886,
"موقف/تندة",IF(D886&lt;DATE(2019,11,30),6,30),
"تشوينات",IF(D886&lt;DATE(2019,11,30),4,20),
"مشاتل",IF(D886&lt;DATE(2019,11,30),2,10),
"كافيتيريا",IF(D886&lt;DATE(2019,11,30),30,150),
"نوادي",IF(D886&lt;DATE(2019,11,30),6,30),
"رسو مراكب",IF(D886&lt;DATE(2019,11,30),2,10),
"مباني",IF(D886&lt;DATE(2018,9,24),2,10),
"عشش",IF(D886&lt;DATE(2019,11,30),2,10),
"كشك (تجاري/صناعي)",IF(D886&lt;DATE(2019,11,30),10,50),
"ردم",20,
0)))</f>
        <v>0</v>
      </c>
      <c r="AC886" s="1" cm="1">
        <f t="array" aca="1" ref="AC886" ca="1">IF(Y886&lt;DATE(2023,5,1),0,
IF(J886="زراعة",
K886*
(
INT((Y886-MAX(DATE(2023,5,1),D886))/365)
+
CEILING(MOD((Y886-MAX(DATE(2023,5,1),D886))/365,1),0.25)
)
*3,
IF(J886="ردم",
K886*20,
K886*
(
DATEDIF(MAX(DATE(2023,5,1),D886),Y886,"m")+1
)
*
_xlfn.SWITCH(J886,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86" s="1">
        <f t="shared" ca="1" si="87"/>
        <v>55</v>
      </c>
    </row>
    <row r="887" spans="1:30" ht="18.75" x14ac:dyDescent="0.25">
      <c r="A887" s="37">
        <v>822</v>
      </c>
      <c r="B887" s="63">
        <v>84</v>
      </c>
      <c r="C887" s="63">
        <v>2025</v>
      </c>
      <c r="D887" s="64" t="s">
        <v>972</v>
      </c>
      <c r="E887" s="11"/>
      <c r="F887" s="3"/>
      <c r="G887" s="70" t="s">
        <v>787</v>
      </c>
      <c r="H887" s="3"/>
      <c r="I887" s="63" t="s">
        <v>50</v>
      </c>
      <c r="J887" s="3" t="s">
        <v>27</v>
      </c>
      <c r="K887" s="3"/>
      <c r="L887" s="3" t="s">
        <v>672</v>
      </c>
      <c r="M887" s="2"/>
      <c r="N887" s="3"/>
      <c r="O887" s="9">
        <f>0.47*Table2[[#This Row],[قيمة المحضر]]</f>
        <v>0</v>
      </c>
      <c r="P887" s="9">
        <f>0.17*Table2[[#This Row],[قيمة المحضر]]</f>
        <v>0</v>
      </c>
      <c r="Q887" s="9">
        <f t="shared" ca="1" si="91"/>
        <v>0</v>
      </c>
      <c r="R887" s="3"/>
      <c r="S887" s="3"/>
      <c r="T887" s="9" t="str">
        <f t="shared" si="92"/>
        <v>-</v>
      </c>
      <c r="U887" s="3"/>
      <c r="V887" s="9" t="str">
        <f t="shared" si="93"/>
        <v/>
      </c>
      <c r="W887" s="67"/>
      <c r="X887" s="88"/>
      <c r="Y887" s="1">
        <f t="shared" ca="1" si="86"/>
        <v>46162</v>
      </c>
      <c r="Z887" s="1" cm="1">
        <f t="array" ref="Z887">IF(D887&gt;DATE(2015,5,16),0,
K887*
(
INT((MIN(Y887,DATE(2015,5,16))-D887)/365)
+
CEILING(MOD((MIN(Y887,DATE(2015,5,16))-D887)/365,1),0.25)
)
*
_xlfn.SWITCH(J887,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87" s="1" cm="1">
        <f t="array" aca="1" ref="AA887" ca="1">IF(Y887&lt;DATE(2015,5,17),0,
K887*
(
INT((MIN(Y887,DATE(2018,9,23))-MAX(D887,DATE(2015,5,17)))/365)
+
CEILING(MOD((MIN(Y887,DATE(2018,9,23))-MAX(D887,DATE(2015,5,17)))/365,1),0.25)
)
*
_xlfn.SWITCH(J887,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87" s="1" cm="1">
        <f t="array" aca="1" ref="AB887" ca="1">IF(Y887&lt;DATE(2018,9,24),0,
IF(J887="زراعة",
K887*
(
INT((MIN(Y887,DATE(2023,4,30))-MAX(D887,DATE(2018,9,24)))/365)
+
CEILING(MOD((MIN(Y887,DATE(2023,4,30))-MAX(D887,DATE(2018,9,24)))/365,1),0.25)
)
*1,
K887*
(
DATEDIF(MAX(D887,DATE(2018,9,24)),MIN(Y887,DATE(2023,4,30)),"m")+1
)
*
_xlfn.SWITCH(J887,
"موقف/تندة",IF(D887&lt;DATE(2019,11,30),6,30),
"تشوينات",IF(D887&lt;DATE(2019,11,30),4,20),
"مشاتل",IF(D887&lt;DATE(2019,11,30),2,10),
"كافيتيريا",IF(D887&lt;DATE(2019,11,30),30,150),
"نوادي",IF(D887&lt;DATE(2019,11,30),6,30),
"رسو مراكب",IF(D887&lt;DATE(2019,11,30),2,10),
"مباني",IF(D887&lt;DATE(2018,9,24),2,10),
"عشش",IF(D887&lt;DATE(2019,11,30),2,10),
"كشك (تجاري/صناعي)",IF(D887&lt;DATE(2019,11,30),10,50),
"ردم",20,
0)))</f>
        <v>0</v>
      </c>
      <c r="AC887" s="1" cm="1">
        <f t="array" aca="1" ref="AC887" ca="1">IF(Y887&lt;DATE(2023,5,1),0,
IF(J887="زراعة",
K887*
(
INT((Y887-MAX(DATE(2023,5,1),D887))/365)
+
CEILING(MOD((Y887-MAX(DATE(2023,5,1),D887))/365,1),0.25)
)
*3,
IF(J887="ردم",
K887*20,
K887*
(
DATEDIF(MAX(DATE(2023,5,1),D887),Y887,"m")+1
)
*
_xlfn.SWITCH(J887,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87" s="1">
        <f t="shared" ca="1" si="87"/>
        <v>55</v>
      </c>
    </row>
    <row r="888" spans="1:30" ht="18.75" x14ac:dyDescent="0.25">
      <c r="A888" s="37">
        <v>823</v>
      </c>
      <c r="B888" s="63">
        <v>85</v>
      </c>
      <c r="C888" s="63">
        <v>2025</v>
      </c>
      <c r="D888" s="64" t="s">
        <v>972</v>
      </c>
      <c r="E888" s="11"/>
      <c r="F888" s="3"/>
      <c r="G888" s="70" t="s">
        <v>1049</v>
      </c>
      <c r="H888" s="3"/>
      <c r="I888" s="63" t="s">
        <v>50</v>
      </c>
      <c r="J888" s="3" t="s">
        <v>27</v>
      </c>
      <c r="K888" s="3"/>
      <c r="L888" s="3" t="s">
        <v>672</v>
      </c>
      <c r="M888" s="2"/>
      <c r="N888" s="3"/>
      <c r="O888" s="9">
        <f>0.47*Table2[[#This Row],[قيمة المحضر]]</f>
        <v>0</v>
      </c>
      <c r="P888" s="9">
        <f>0.17*Table2[[#This Row],[قيمة المحضر]]</f>
        <v>0</v>
      </c>
      <c r="Q888" s="9">
        <f t="shared" ca="1" si="91"/>
        <v>0</v>
      </c>
      <c r="R888" s="3"/>
      <c r="S888" s="3"/>
      <c r="T888" s="9" t="str">
        <f t="shared" si="92"/>
        <v>-</v>
      </c>
      <c r="U888" s="3"/>
      <c r="V888" s="9" t="str">
        <f t="shared" si="93"/>
        <v/>
      </c>
      <c r="W888" s="67"/>
      <c r="X888" s="88"/>
      <c r="Y888" s="1">
        <f t="shared" ca="1" si="86"/>
        <v>46162</v>
      </c>
      <c r="Z888" s="1" cm="1">
        <f t="array" ref="Z888">IF(D888&gt;DATE(2015,5,16),0,
K888*
(
INT((MIN(Y888,DATE(2015,5,16))-D888)/365)
+
CEILING(MOD((MIN(Y888,DATE(2015,5,16))-D888)/365,1),0.25)
)
*
_xlfn.SWITCH(J888,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88" s="1" cm="1">
        <f t="array" aca="1" ref="AA888" ca="1">IF(Y888&lt;DATE(2015,5,17),0,
K888*
(
INT((MIN(Y888,DATE(2018,9,23))-MAX(D888,DATE(2015,5,17)))/365)
+
CEILING(MOD((MIN(Y888,DATE(2018,9,23))-MAX(D888,DATE(2015,5,17)))/365,1),0.25)
)
*
_xlfn.SWITCH(J888,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88" s="1" cm="1">
        <f t="array" aca="1" ref="AB888" ca="1">IF(Y888&lt;DATE(2018,9,24),0,
IF(J888="زراعة",
K888*
(
INT((MIN(Y888,DATE(2023,4,30))-MAX(D888,DATE(2018,9,24)))/365)
+
CEILING(MOD((MIN(Y888,DATE(2023,4,30))-MAX(D888,DATE(2018,9,24)))/365,1),0.25)
)
*1,
K888*
(
DATEDIF(MAX(D888,DATE(2018,9,24)),MIN(Y888,DATE(2023,4,30)),"m")+1
)
*
_xlfn.SWITCH(J888,
"موقف/تندة",IF(D888&lt;DATE(2019,11,30),6,30),
"تشوينات",IF(D888&lt;DATE(2019,11,30),4,20),
"مشاتل",IF(D888&lt;DATE(2019,11,30),2,10),
"كافيتيريا",IF(D888&lt;DATE(2019,11,30),30,150),
"نوادي",IF(D888&lt;DATE(2019,11,30),6,30),
"رسو مراكب",IF(D888&lt;DATE(2019,11,30),2,10),
"مباني",IF(D888&lt;DATE(2018,9,24),2,10),
"عشش",IF(D888&lt;DATE(2019,11,30),2,10),
"كشك (تجاري/صناعي)",IF(D888&lt;DATE(2019,11,30),10,50),
"ردم",20,
0)))</f>
        <v>0</v>
      </c>
      <c r="AC888" s="1" cm="1">
        <f t="array" aca="1" ref="AC888" ca="1">IF(Y888&lt;DATE(2023,5,1),0,
IF(J888="زراعة",
K888*
(
INT((Y888-MAX(DATE(2023,5,1),D888))/365)
+
CEILING(MOD((Y888-MAX(DATE(2023,5,1),D888))/365,1),0.25)
)
*3,
IF(J888="ردم",
K888*20,
K888*
(
DATEDIF(MAX(DATE(2023,5,1),D888),Y888,"m")+1
)
*
_xlfn.SWITCH(J888,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88" s="1">
        <f t="shared" ca="1" si="87"/>
        <v>55</v>
      </c>
    </row>
    <row r="889" spans="1:30" ht="18.75" x14ac:dyDescent="0.25">
      <c r="A889" s="37">
        <v>824</v>
      </c>
      <c r="B889" s="63">
        <v>86</v>
      </c>
      <c r="C889" s="63">
        <v>2025</v>
      </c>
      <c r="D889" s="64" t="s">
        <v>972</v>
      </c>
      <c r="E889" s="11"/>
      <c r="F889" s="3"/>
      <c r="G889" s="70" t="s">
        <v>1050</v>
      </c>
      <c r="H889" s="3"/>
      <c r="I889" s="63" t="s">
        <v>50</v>
      </c>
      <c r="J889" s="3" t="s">
        <v>27</v>
      </c>
      <c r="K889" s="3"/>
      <c r="L889" s="3" t="s">
        <v>672</v>
      </c>
      <c r="M889" s="2"/>
      <c r="N889" s="3"/>
      <c r="O889" s="9">
        <f>0.47*Table2[[#This Row],[قيمة المحضر]]</f>
        <v>0</v>
      </c>
      <c r="P889" s="9">
        <f>0.17*Table2[[#This Row],[قيمة المحضر]]</f>
        <v>0</v>
      </c>
      <c r="Q889" s="9">
        <f t="shared" ca="1" si="91"/>
        <v>0</v>
      </c>
      <c r="R889" s="3"/>
      <c r="S889" s="3"/>
      <c r="T889" s="9" t="str">
        <f t="shared" si="92"/>
        <v>-</v>
      </c>
      <c r="U889" s="3"/>
      <c r="V889" s="9" t="str">
        <f t="shared" si="93"/>
        <v/>
      </c>
      <c r="W889" s="67"/>
      <c r="X889" s="88"/>
      <c r="Y889" s="1">
        <f t="shared" ca="1" si="86"/>
        <v>46162</v>
      </c>
      <c r="Z889" s="1" cm="1">
        <f t="array" ref="Z889">IF(D889&gt;DATE(2015,5,16),0,
K889*
(
INT((MIN(Y889,DATE(2015,5,16))-D889)/365)
+
CEILING(MOD((MIN(Y889,DATE(2015,5,16))-D889)/365,1),0.25)
)
*
_xlfn.SWITCH(J889,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89" s="1" cm="1">
        <f t="array" aca="1" ref="AA889" ca="1">IF(Y889&lt;DATE(2015,5,17),0,
K889*
(
INT((MIN(Y889,DATE(2018,9,23))-MAX(D889,DATE(2015,5,17)))/365)
+
CEILING(MOD((MIN(Y889,DATE(2018,9,23))-MAX(D889,DATE(2015,5,17)))/365,1),0.25)
)
*
_xlfn.SWITCH(J889,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89" s="1" cm="1">
        <f t="array" aca="1" ref="AB889" ca="1">IF(Y889&lt;DATE(2018,9,24),0,
IF(J889="زراعة",
K889*
(
INT((MIN(Y889,DATE(2023,4,30))-MAX(D889,DATE(2018,9,24)))/365)
+
CEILING(MOD((MIN(Y889,DATE(2023,4,30))-MAX(D889,DATE(2018,9,24)))/365,1),0.25)
)
*1,
K889*
(
DATEDIF(MAX(D889,DATE(2018,9,24)),MIN(Y889,DATE(2023,4,30)),"m")+1
)
*
_xlfn.SWITCH(J889,
"موقف/تندة",IF(D889&lt;DATE(2019,11,30),6,30),
"تشوينات",IF(D889&lt;DATE(2019,11,30),4,20),
"مشاتل",IF(D889&lt;DATE(2019,11,30),2,10),
"كافيتيريا",IF(D889&lt;DATE(2019,11,30),30,150),
"نوادي",IF(D889&lt;DATE(2019,11,30),6,30),
"رسو مراكب",IF(D889&lt;DATE(2019,11,30),2,10),
"مباني",IF(D889&lt;DATE(2018,9,24),2,10),
"عشش",IF(D889&lt;DATE(2019,11,30),2,10),
"كشك (تجاري/صناعي)",IF(D889&lt;DATE(2019,11,30),10,50),
"ردم",20,
0)))</f>
        <v>0</v>
      </c>
      <c r="AC889" s="1" cm="1">
        <f t="array" aca="1" ref="AC889" ca="1">IF(Y889&lt;DATE(2023,5,1),0,
IF(J889="زراعة",
K889*
(
INT((Y889-MAX(DATE(2023,5,1),D889))/365)
+
CEILING(MOD((Y889-MAX(DATE(2023,5,1),D889))/365,1),0.25)
)
*3,
IF(J889="ردم",
K889*20,
K889*
(
DATEDIF(MAX(DATE(2023,5,1),D889),Y889,"m")+1
)
*
_xlfn.SWITCH(J889,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89" s="1">
        <f t="shared" ca="1" si="87"/>
        <v>55</v>
      </c>
    </row>
    <row r="890" spans="1:30" ht="18.75" x14ac:dyDescent="0.25">
      <c r="A890" s="37">
        <v>825</v>
      </c>
      <c r="B890" s="63">
        <v>87</v>
      </c>
      <c r="C890" s="63">
        <v>2025</v>
      </c>
      <c r="D890" s="64" t="s">
        <v>972</v>
      </c>
      <c r="E890" s="11"/>
      <c r="F890" s="3"/>
      <c r="G890" s="70" t="s">
        <v>1051</v>
      </c>
      <c r="H890" s="3"/>
      <c r="I890" s="63" t="s">
        <v>50</v>
      </c>
      <c r="J890" s="3" t="s">
        <v>27</v>
      </c>
      <c r="K890" s="3"/>
      <c r="L890" s="3" t="s">
        <v>672</v>
      </c>
      <c r="M890" s="2"/>
      <c r="N890" s="3"/>
      <c r="O890" s="9">
        <f>0.47*Table2[[#This Row],[قيمة المحضر]]</f>
        <v>0</v>
      </c>
      <c r="P890" s="9">
        <f>0.17*Table2[[#This Row],[قيمة المحضر]]</f>
        <v>0</v>
      </c>
      <c r="Q890" s="9">
        <f t="shared" ca="1" si="91"/>
        <v>0</v>
      </c>
      <c r="R890" s="3"/>
      <c r="S890" s="3"/>
      <c r="T890" s="9" t="str">
        <f t="shared" si="92"/>
        <v>-</v>
      </c>
      <c r="U890" s="3"/>
      <c r="V890" s="9" t="str">
        <f t="shared" si="93"/>
        <v/>
      </c>
      <c r="W890" s="67"/>
      <c r="X890" s="88"/>
      <c r="Y890" s="1">
        <f t="shared" ca="1" si="86"/>
        <v>46162</v>
      </c>
      <c r="Z890" s="1" cm="1">
        <f t="array" ref="Z890">IF(D890&gt;DATE(2015,5,16),0,
K890*
(
INT((MIN(Y890,DATE(2015,5,16))-D890)/365)
+
CEILING(MOD((MIN(Y890,DATE(2015,5,16))-D890)/365,1),0.25)
)
*
_xlfn.SWITCH(J890,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90" s="1" cm="1">
        <f t="array" aca="1" ref="AA890" ca="1">IF(Y890&lt;DATE(2015,5,17),0,
K890*
(
INT((MIN(Y890,DATE(2018,9,23))-MAX(D890,DATE(2015,5,17)))/365)
+
CEILING(MOD((MIN(Y890,DATE(2018,9,23))-MAX(D890,DATE(2015,5,17)))/365,1),0.25)
)
*
_xlfn.SWITCH(J890,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90" s="1" cm="1">
        <f t="array" aca="1" ref="AB890" ca="1">IF(Y890&lt;DATE(2018,9,24),0,
IF(J890="زراعة",
K890*
(
INT((MIN(Y890,DATE(2023,4,30))-MAX(D890,DATE(2018,9,24)))/365)
+
CEILING(MOD((MIN(Y890,DATE(2023,4,30))-MAX(D890,DATE(2018,9,24)))/365,1),0.25)
)
*1,
K890*
(
DATEDIF(MAX(D890,DATE(2018,9,24)),MIN(Y890,DATE(2023,4,30)),"m")+1
)
*
_xlfn.SWITCH(J890,
"موقف/تندة",IF(D890&lt;DATE(2019,11,30),6,30),
"تشوينات",IF(D890&lt;DATE(2019,11,30),4,20),
"مشاتل",IF(D890&lt;DATE(2019,11,30),2,10),
"كافيتيريا",IF(D890&lt;DATE(2019,11,30),30,150),
"نوادي",IF(D890&lt;DATE(2019,11,30),6,30),
"رسو مراكب",IF(D890&lt;DATE(2019,11,30),2,10),
"مباني",IF(D890&lt;DATE(2018,9,24),2,10),
"عشش",IF(D890&lt;DATE(2019,11,30),2,10),
"كشك (تجاري/صناعي)",IF(D890&lt;DATE(2019,11,30),10,50),
"ردم",20,
0)))</f>
        <v>0</v>
      </c>
      <c r="AC890" s="1" cm="1">
        <f t="array" aca="1" ref="AC890" ca="1">IF(Y890&lt;DATE(2023,5,1),0,
IF(J890="زراعة",
K890*
(
INT((Y890-MAX(DATE(2023,5,1),D890))/365)
+
CEILING(MOD((Y890-MAX(DATE(2023,5,1),D890))/365,1),0.25)
)
*3,
IF(J890="ردم",
K890*20,
K890*
(
DATEDIF(MAX(DATE(2023,5,1),D890),Y890,"m")+1
)
*
_xlfn.SWITCH(J890,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90" s="1">
        <f t="shared" ca="1" si="87"/>
        <v>55</v>
      </c>
    </row>
    <row r="891" spans="1:30" ht="18.75" x14ac:dyDescent="0.25">
      <c r="A891" s="37">
        <v>826</v>
      </c>
      <c r="B891" s="63">
        <v>88</v>
      </c>
      <c r="C891" s="63">
        <v>2025</v>
      </c>
      <c r="D891" s="64" t="s">
        <v>972</v>
      </c>
      <c r="E891" s="11"/>
      <c r="F891" s="3"/>
      <c r="G891" s="70" t="s">
        <v>1052</v>
      </c>
      <c r="H891" s="3"/>
      <c r="I891" s="63" t="s">
        <v>50</v>
      </c>
      <c r="J891" s="3" t="s">
        <v>27</v>
      </c>
      <c r="K891" s="3"/>
      <c r="L891" s="3" t="s">
        <v>672</v>
      </c>
      <c r="M891" s="2"/>
      <c r="N891" s="3"/>
      <c r="O891" s="9">
        <f>0.47*Table2[[#This Row],[قيمة المحضر]]</f>
        <v>0</v>
      </c>
      <c r="P891" s="9">
        <f>0.17*Table2[[#This Row],[قيمة المحضر]]</f>
        <v>0</v>
      </c>
      <c r="Q891" s="9">
        <f t="shared" ca="1" si="91"/>
        <v>0</v>
      </c>
      <c r="R891" s="3"/>
      <c r="S891" s="3"/>
      <c r="T891" s="9" t="str">
        <f t="shared" si="92"/>
        <v>-</v>
      </c>
      <c r="U891" s="3"/>
      <c r="V891" s="9" t="str">
        <f t="shared" si="93"/>
        <v/>
      </c>
      <c r="W891" s="67"/>
      <c r="X891" s="88"/>
      <c r="Y891" s="1">
        <f t="shared" ca="1" si="86"/>
        <v>46162</v>
      </c>
      <c r="Z891" s="1" cm="1">
        <f t="array" ref="Z891">IF(D891&gt;DATE(2015,5,16),0,
K891*
(
INT((MIN(Y891,DATE(2015,5,16))-D891)/365)
+
CEILING(MOD((MIN(Y891,DATE(2015,5,16))-D891)/365,1),0.25)
)
*
_xlfn.SWITCH(J891,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91" s="1" cm="1">
        <f t="array" aca="1" ref="AA891" ca="1">IF(Y891&lt;DATE(2015,5,17),0,
K891*
(
INT((MIN(Y891,DATE(2018,9,23))-MAX(D891,DATE(2015,5,17)))/365)
+
CEILING(MOD((MIN(Y891,DATE(2018,9,23))-MAX(D891,DATE(2015,5,17)))/365,1),0.25)
)
*
_xlfn.SWITCH(J891,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91" s="1" cm="1">
        <f t="array" aca="1" ref="AB891" ca="1">IF(Y891&lt;DATE(2018,9,24),0,
IF(J891="زراعة",
K891*
(
INT((MIN(Y891,DATE(2023,4,30))-MAX(D891,DATE(2018,9,24)))/365)
+
CEILING(MOD((MIN(Y891,DATE(2023,4,30))-MAX(D891,DATE(2018,9,24)))/365,1),0.25)
)
*1,
K891*
(
DATEDIF(MAX(D891,DATE(2018,9,24)),MIN(Y891,DATE(2023,4,30)),"m")+1
)
*
_xlfn.SWITCH(J891,
"موقف/تندة",IF(D891&lt;DATE(2019,11,30),6,30),
"تشوينات",IF(D891&lt;DATE(2019,11,30),4,20),
"مشاتل",IF(D891&lt;DATE(2019,11,30),2,10),
"كافيتيريا",IF(D891&lt;DATE(2019,11,30),30,150),
"نوادي",IF(D891&lt;DATE(2019,11,30),6,30),
"رسو مراكب",IF(D891&lt;DATE(2019,11,30),2,10),
"مباني",IF(D891&lt;DATE(2018,9,24),2,10),
"عشش",IF(D891&lt;DATE(2019,11,30),2,10),
"كشك (تجاري/صناعي)",IF(D891&lt;DATE(2019,11,30),10,50),
"ردم",20,
0)))</f>
        <v>0</v>
      </c>
      <c r="AC891" s="1" cm="1">
        <f t="array" aca="1" ref="AC891" ca="1">IF(Y891&lt;DATE(2023,5,1),0,
IF(J891="زراعة",
K891*
(
INT((Y891-MAX(DATE(2023,5,1),D891))/365)
+
CEILING(MOD((Y891-MAX(DATE(2023,5,1),D891))/365,1),0.25)
)
*3,
IF(J891="ردم",
K891*20,
K891*
(
DATEDIF(MAX(DATE(2023,5,1),D891),Y891,"m")+1
)
*
_xlfn.SWITCH(J891,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91" s="1">
        <f t="shared" ca="1" si="87"/>
        <v>55</v>
      </c>
    </row>
    <row r="892" spans="1:30" ht="18.75" x14ac:dyDescent="0.25">
      <c r="A892" s="37">
        <v>827</v>
      </c>
      <c r="B892" s="63">
        <v>89</v>
      </c>
      <c r="C892" s="63">
        <v>2025</v>
      </c>
      <c r="D892" s="64" t="s">
        <v>972</v>
      </c>
      <c r="E892" s="11"/>
      <c r="F892" s="3"/>
      <c r="G892" s="70" t="s">
        <v>1053</v>
      </c>
      <c r="H892" s="3"/>
      <c r="I892" s="63" t="s">
        <v>50</v>
      </c>
      <c r="J892" s="3" t="s">
        <v>27</v>
      </c>
      <c r="K892" s="3"/>
      <c r="L892" s="3" t="s">
        <v>672</v>
      </c>
      <c r="M892" s="2"/>
      <c r="N892" s="3"/>
      <c r="O892" s="9">
        <f>0.47*Table2[[#This Row],[قيمة المحضر]]</f>
        <v>0</v>
      </c>
      <c r="P892" s="9">
        <f>0.17*Table2[[#This Row],[قيمة المحضر]]</f>
        <v>0</v>
      </c>
      <c r="Q892" s="9">
        <f t="shared" ca="1" si="91"/>
        <v>0</v>
      </c>
      <c r="R892" s="3"/>
      <c r="S892" s="3"/>
      <c r="T892" s="9" t="str">
        <f t="shared" si="92"/>
        <v>-</v>
      </c>
      <c r="U892" s="3"/>
      <c r="V892" s="9" t="str">
        <f t="shared" si="93"/>
        <v/>
      </c>
      <c r="W892" s="67"/>
      <c r="X892" s="88"/>
      <c r="Y892" s="1">
        <f t="shared" ca="1" si="86"/>
        <v>46162</v>
      </c>
      <c r="Z892" s="1" cm="1">
        <f t="array" ref="Z892">IF(D892&gt;DATE(2015,5,16),0,
K892*
(
INT((MIN(Y892,DATE(2015,5,16))-D892)/365)
+
CEILING(MOD((MIN(Y892,DATE(2015,5,16))-D892)/365,1),0.25)
)
*
_xlfn.SWITCH(J892,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92" s="1" cm="1">
        <f t="array" aca="1" ref="AA892" ca="1">IF(Y892&lt;DATE(2015,5,17),0,
K892*
(
INT((MIN(Y892,DATE(2018,9,23))-MAX(D892,DATE(2015,5,17)))/365)
+
CEILING(MOD((MIN(Y892,DATE(2018,9,23))-MAX(D892,DATE(2015,5,17)))/365,1),0.25)
)
*
_xlfn.SWITCH(J892,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92" s="1" cm="1">
        <f t="array" aca="1" ref="AB892" ca="1">IF(Y892&lt;DATE(2018,9,24),0,
IF(J892="زراعة",
K892*
(
INT((MIN(Y892,DATE(2023,4,30))-MAX(D892,DATE(2018,9,24)))/365)
+
CEILING(MOD((MIN(Y892,DATE(2023,4,30))-MAX(D892,DATE(2018,9,24)))/365,1),0.25)
)
*1,
K892*
(
DATEDIF(MAX(D892,DATE(2018,9,24)),MIN(Y892,DATE(2023,4,30)),"m")+1
)
*
_xlfn.SWITCH(J892,
"موقف/تندة",IF(D892&lt;DATE(2019,11,30),6,30),
"تشوينات",IF(D892&lt;DATE(2019,11,30),4,20),
"مشاتل",IF(D892&lt;DATE(2019,11,30),2,10),
"كافيتيريا",IF(D892&lt;DATE(2019,11,30),30,150),
"نوادي",IF(D892&lt;DATE(2019,11,30),6,30),
"رسو مراكب",IF(D892&lt;DATE(2019,11,30),2,10),
"مباني",IF(D892&lt;DATE(2018,9,24),2,10),
"عشش",IF(D892&lt;DATE(2019,11,30),2,10),
"كشك (تجاري/صناعي)",IF(D892&lt;DATE(2019,11,30),10,50),
"ردم",20,
0)))</f>
        <v>0</v>
      </c>
      <c r="AC892" s="1" cm="1">
        <f t="array" aca="1" ref="AC892" ca="1">IF(Y892&lt;DATE(2023,5,1),0,
IF(J892="زراعة",
K892*
(
INT((Y892-MAX(DATE(2023,5,1),D892))/365)
+
CEILING(MOD((Y892-MAX(DATE(2023,5,1),D892))/365,1),0.25)
)
*3,
IF(J892="ردم",
K892*20,
K892*
(
DATEDIF(MAX(DATE(2023,5,1),D892),Y892,"m")+1
)
*
_xlfn.SWITCH(J892,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92" s="1">
        <f t="shared" ca="1" si="87"/>
        <v>55</v>
      </c>
    </row>
    <row r="893" spans="1:30" ht="18.75" x14ac:dyDescent="0.25">
      <c r="A893" s="37">
        <v>828</v>
      </c>
      <c r="B893" s="63">
        <v>90</v>
      </c>
      <c r="C893" s="63">
        <v>2025</v>
      </c>
      <c r="D893" s="64" t="s">
        <v>972</v>
      </c>
      <c r="E893" s="11"/>
      <c r="F893" s="3"/>
      <c r="G893" s="70" t="s">
        <v>1011</v>
      </c>
      <c r="H893" s="3"/>
      <c r="I893" s="63" t="s">
        <v>50</v>
      </c>
      <c r="J893" s="3" t="s">
        <v>27</v>
      </c>
      <c r="K893" s="3"/>
      <c r="L893" s="3" t="s">
        <v>672</v>
      </c>
      <c r="M893" s="2"/>
      <c r="N893" s="3"/>
      <c r="O893" s="9">
        <f>0.47*Table2[[#This Row],[قيمة المحضر]]</f>
        <v>0</v>
      </c>
      <c r="P893" s="9">
        <f>0.17*Table2[[#This Row],[قيمة المحضر]]</f>
        <v>0</v>
      </c>
      <c r="Q893" s="9">
        <f t="shared" ca="1" si="91"/>
        <v>0</v>
      </c>
      <c r="R893" s="3"/>
      <c r="S893" s="3"/>
      <c r="T893" s="9" t="str">
        <f t="shared" si="92"/>
        <v>-</v>
      </c>
      <c r="U893" s="3"/>
      <c r="V893" s="9" t="str">
        <f t="shared" si="93"/>
        <v/>
      </c>
      <c r="W893" s="67"/>
      <c r="X893" s="88"/>
      <c r="Y893" s="1">
        <f t="shared" ca="1" si="86"/>
        <v>46162</v>
      </c>
      <c r="Z893" s="1" cm="1">
        <f t="array" ref="Z893">IF(D893&gt;DATE(2015,5,16),0,
K893*
(
INT((MIN(Y893,DATE(2015,5,16))-D893)/365)
+
CEILING(MOD((MIN(Y893,DATE(2015,5,16))-D893)/365,1),0.25)
)
*
_xlfn.SWITCH(J893,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93" s="1" cm="1">
        <f t="array" aca="1" ref="AA893" ca="1">IF(Y893&lt;DATE(2015,5,17),0,
K893*
(
INT((MIN(Y893,DATE(2018,9,23))-MAX(D893,DATE(2015,5,17)))/365)
+
CEILING(MOD((MIN(Y893,DATE(2018,9,23))-MAX(D893,DATE(2015,5,17)))/365,1),0.25)
)
*
_xlfn.SWITCH(J893,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93" s="1" cm="1">
        <f t="array" aca="1" ref="AB893" ca="1">IF(Y893&lt;DATE(2018,9,24),0,
IF(J893="زراعة",
K893*
(
INT((MIN(Y893,DATE(2023,4,30))-MAX(D893,DATE(2018,9,24)))/365)
+
CEILING(MOD((MIN(Y893,DATE(2023,4,30))-MAX(D893,DATE(2018,9,24)))/365,1),0.25)
)
*1,
K893*
(
DATEDIF(MAX(D893,DATE(2018,9,24)),MIN(Y893,DATE(2023,4,30)),"m")+1
)
*
_xlfn.SWITCH(J893,
"موقف/تندة",IF(D893&lt;DATE(2019,11,30),6,30),
"تشوينات",IF(D893&lt;DATE(2019,11,30),4,20),
"مشاتل",IF(D893&lt;DATE(2019,11,30),2,10),
"كافيتيريا",IF(D893&lt;DATE(2019,11,30),30,150),
"نوادي",IF(D893&lt;DATE(2019,11,30),6,30),
"رسو مراكب",IF(D893&lt;DATE(2019,11,30),2,10),
"مباني",IF(D893&lt;DATE(2018,9,24),2,10),
"عشش",IF(D893&lt;DATE(2019,11,30),2,10),
"كشك (تجاري/صناعي)",IF(D893&lt;DATE(2019,11,30),10,50),
"ردم",20,
0)))</f>
        <v>0</v>
      </c>
      <c r="AC893" s="1" cm="1">
        <f t="array" aca="1" ref="AC893" ca="1">IF(Y893&lt;DATE(2023,5,1),0,
IF(J893="زراعة",
K893*
(
INT((Y893-MAX(DATE(2023,5,1),D893))/365)
+
CEILING(MOD((Y893-MAX(DATE(2023,5,1),D893))/365,1),0.25)
)
*3,
IF(J893="ردم",
K893*20,
K893*
(
DATEDIF(MAX(DATE(2023,5,1),D893),Y893,"m")+1
)
*
_xlfn.SWITCH(J893,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93" s="1">
        <f t="shared" ca="1" si="87"/>
        <v>55</v>
      </c>
    </row>
    <row r="894" spans="1:30" ht="18.75" x14ac:dyDescent="0.25">
      <c r="A894" s="37">
        <v>829</v>
      </c>
      <c r="B894" s="63">
        <v>91</v>
      </c>
      <c r="C894" s="63">
        <v>2025</v>
      </c>
      <c r="D894" s="64" t="s">
        <v>972</v>
      </c>
      <c r="E894" s="11"/>
      <c r="F894" s="3"/>
      <c r="G894" s="70" t="s">
        <v>950</v>
      </c>
      <c r="H894" s="3"/>
      <c r="I894" s="63" t="s">
        <v>50</v>
      </c>
      <c r="J894" s="3" t="s">
        <v>27</v>
      </c>
      <c r="K894" s="3"/>
      <c r="L894" s="3" t="s">
        <v>672</v>
      </c>
      <c r="M894" s="2"/>
      <c r="N894" s="3"/>
      <c r="O894" s="9">
        <f>0.47*Table2[[#This Row],[قيمة المحضر]]</f>
        <v>0</v>
      </c>
      <c r="P894" s="9">
        <f>0.17*Table2[[#This Row],[قيمة المحضر]]</f>
        <v>0</v>
      </c>
      <c r="Q894" s="9">
        <f t="shared" ca="1" si="91"/>
        <v>0</v>
      </c>
      <c r="R894" s="3"/>
      <c r="S894" s="3"/>
      <c r="T894" s="9" t="str">
        <f t="shared" si="92"/>
        <v>-</v>
      </c>
      <c r="U894" s="3"/>
      <c r="V894" s="9" t="str">
        <f t="shared" si="93"/>
        <v/>
      </c>
      <c r="W894" s="67"/>
      <c r="X894" s="88"/>
      <c r="Y894" s="1">
        <f t="shared" ca="1" si="86"/>
        <v>46162</v>
      </c>
      <c r="Z894" s="1" cm="1">
        <f t="array" ref="Z894">IF(D894&gt;DATE(2015,5,16),0,
K894*
(
INT((MIN(Y894,DATE(2015,5,16))-D894)/365)
+
CEILING(MOD((MIN(Y894,DATE(2015,5,16))-D894)/365,1),0.25)
)
*
_xlfn.SWITCH(J894,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94" s="1" cm="1">
        <f t="array" aca="1" ref="AA894" ca="1">IF(Y894&lt;DATE(2015,5,17),0,
K894*
(
INT((MIN(Y894,DATE(2018,9,23))-MAX(D894,DATE(2015,5,17)))/365)
+
CEILING(MOD((MIN(Y894,DATE(2018,9,23))-MAX(D894,DATE(2015,5,17)))/365,1),0.25)
)
*
_xlfn.SWITCH(J894,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94" s="1" cm="1">
        <f t="array" aca="1" ref="AB894" ca="1">IF(Y894&lt;DATE(2018,9,24),0,
IF(J894="زراعة",
K894*
(
INT((MIN(Y894,DATE(2023,4,30))-MAX(D894,DATE(2018,9,24)))/365)
+
CEILING(MOD((MIN(Y894,DATE(2023,4,30))-MAX(D894,DATE(2018,9,24)))/365,1),0.25)
)
*1,
K894*
(
DATEDIF(MAX(D894,DATE(2018,9,24)),MIN(Y894,DATE(2023,4,30)),"m")+1
)
*
_xlfn.SWITCH(J894,
"موقف/تندة",IF(D894&lt;DATE(2019,11,30),6,30),
"تشوينات",IF(D894&lt;DATE(2019,11,30),4,20),
"مشاتل",IF(D894&lt;DATE(2019,11,30),2,10),
"كافيتيريا",IF(D894&lt;DATE(2019,11,30),30,150),
"نوادي",IF(D894&lt;DATE(2019,11,30),6,30),
"رسو مراكب",IF(D894&lt;DATE(2019,11,30),2,10),
"مباني",IF(D894&lt;DATE(2018,9,24),2,10),
"عشش",IF(D894&lt;DATE(2019,11,30),2,10),
"كشك (تجاري/صناعي)",IF(D894&lt;DATE(2019,11,30),10,50),
"ردم",20,
0)))</f>
        <v>0</v>
      </c>
      <c r="AC894" s="1" cm="1">
        <f t="array" aca="1" ref="AC894" ca="1">IF(Y894&lt;DATE(2023,5,1),0,
IF(J894="زراعة",
K894*
(
INT((Y894-MAX(DATE(2023,5,1),D894))/365)
+
CEILING(MOD((Y894-MAX(DATE(2023,5,1),D894))/365,1),0.25)
)
*3,
IF(J894="ردم",
K894*20,
K894*
(
DATEDIF(MAX(DATE(2023,5,1),D894),Y894,"m")+1
)
*
_xlfn.SWITCH(J894,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94" s="1">
        <f t="shared" ca="1" si="87"/>
        <v>55</v>
      </c>
    </row>
    <row r="895" spans="1:30" ht="18.75" x14ac:dyDescent="0.25">
      <c r="A895" s="37">
        <v>830</v>
      </c>
      <c r="B895" s="63">
        <v>92</v>
      </c>
      <c r="C895" s="63">
        <v>2025</v>
      </c>
      <c r="D895" s="64" t="s">
        <v>972</v>
      </c>
      <c r="E895" s="11"/>
      <c r="F895" s="3"/>
      <c r="G895" s="70" t="s">
        <v>1054</v>
      </c>
      <c r="H895" s="3"/>
      <c r="I895" s="63" t="s">
        <v>50</v>
      </c>
      <c r="J895" s="3" t="s">
        <v>27</v>
      </c>
      <c r="K895" s="3"/>
      <c r="L895" s="3" t="s">
        <v>672</v>
      </c>
      <c r="M895" s="2"/>
      <c r="N895" s="3"/>
      <c r="O895" s="9">
        <f>0.47*Table2[[#This Row],[قيمة المحضر]]</f>
        <v>0</v>
      </c>
      <c r="P895" s="9">
        <f>0.17*Table2[[#This Row],[قيمة المحضر]]</f>
        <v>0</v>
      </c>
      <c r="Q895" s="9">
        <f t="shared" ca="1" si="91"/>
        <v>0</v>
      </c>
      <c r="R895" s="3"/>
      <c r="S895" s="3"/>
      <c r="T895" s="9" t="str">
        <f t="shared" si="92"/>
        <v>-</v>
      </c>
      <c r="U895" s="3"/>
      <c r="V895" s="9" t="str">
        <f t="shared" si="93"/>
        <v/>
      </c>
      <c r="W895" s="67"/>
      <c r="X895" s="88"/>
      <c r="Y895" s="1">
        <f t="shared" ca="1" si="86"/>
        <v>46162</v>
      </c>
      <c r="Z895" s="1" cm="1">
        <f t="array" ref="Z895">IF(D895&gt;DATE(2015,5,16),0,
K895*
(
INT((MIN(Y895,DATE(2015,5,16))-D895)/365)
+
CEILING(MOD((MIN(Y895,DATE(2015,5,16))-D895)/365,1),0.25)
)
*
_xlfn.SWITCH(J895,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95" s="1" cm="1">
        <f t="array" aca="1" ref="AA895" ca="1">IF(Y895&lt;DATE(2015,5,17),0,
K895*
(
INT((MIN(Y895,DATE(2018,9,23))-MAX(D895,DATE(2015,5,17)))/365)
+
CEILING(MOD((MIN(Y895,DATE(2018,9,23))-MAX(D895,DATE(2015,5,17)))/365,1),0.25)
)
*
_xlfn.SWITCH(J895,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95" s="1" cm="1">
        <f t="array" aca="1" ref="AB895" ca="1">IF(Y895&lt;DATE(2018,9,24),0,
IF(J895="زراعة",
K895*
(
INT((MIN(Y895,DATE(2023,4,30))-MAX(D895,DATE(2018,9,24)))/365)
+
CEILING(MOD((MIN(Y895,DATE(2023,4,30))-MAX(D895,DATE(2018,9,24)))/365,1),0.25)
)
*1,
K895*
(
DATEDIF(MAX(D895,DATE(2018,9,24)),MIN(Y895,DATE(2023,4,30)),"m")+1
)
*
_xlfn.SWITCH(J895,
"موقف/تندة",IF(D895&lt;DATE(2019,11,30),6,30),
"تشوينات",IF(D895&lt;DATE(2019,11,30),4,20),
"مشاتل",IF(D895&lt;DATE(2019,11,30),2,10),
"كافيتيريا",IF(D895&lt;DATE(2019,11,30),30,150),
"نوادي",IF(D895&lt;DATE(2019,11,30),6,30),
"رسو مراكب",IF(D895&lt;DATE(2019,11,30),2,10),
"مباني",IF(D895&lt;DATE(2018,9,24),2,10),
"عشش",IF(D895&lt;DATE(2019,11,30),2,10),
"كشك (تجاري/صناعي)",IF(D895&lt;DATE(2019,11,30),10,50),
"ردم",20,
0)))</f>
        <v>0</v>
      </c>
      <c r="AC895" s="1" cm="1">
        <f t="array" aca="1" ref="AC895" ca="1">IF(Y895&lt;DATE(2023,5,1),0,
IF(J895="زراعة",
K895*
(
INT((Y895-MAX(DATE(2023,5,1),D895))/365)
+
CEILING(MOD((Y895-MAX(DATE(2023,5,1),D895))/365,1),0.25)
)
*3,
IF(J895="ردم",
K895*20,
K895*
(
DATEDIF(MAX(DATE(2023,5,1),D895),Y895,"m")+1
)
*
_xlfn.SWITCH(J895,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95" s="1">
        <f t="shared" ca="1" si="87"/>
        <v>55</v>
      </c>
    </row>
    <row r="896" spans="1:30" ht="18.75" x14ac:dyDescent="0.25">
      <c r="A896" s="37">
        <v>831</v>
      </c>
      <c r="B896" s="63">
        <v>93</v>
      </c>
      <c r="C896" s="63">
        <v>2025</v>
      </c>
      <c r="D896" s="64" t="s">
        <v>972</v>
      </c>
      <c r="E896" s="11"/>
      <c r="F896" s="3"/>
      <c r="G896" s="70" t="s">
        <v>1055</v>
      </c>
      <c r="H896" s="3"/>
      <c r="I896" s="63" t="s">
        <v>50</v>
      </c>
      <c r="J896" s="3" t="s">
        <v>27</v>
      </c>
      <c r="K896" s="3"/>
      <c r="L896" s="3" t="s">
        <v>672</v>
      </c>
      <c r="M896" s="2"/>
      <c r="N896" s="3"/>
      <c r="O896" s="9">
        <f>0.47*Table2[[#This Row],[قيمة المحضر]]</f>
        <v>0</v>
      </c>
      <c r="P896" s="9">
        <f>0.17*Table2[[#This Row],[قيمة المحضر]]</f>
        <v>0</v>
      </c>
      <c r="Q896" s="9">
        <f t="shared" ca="1" si="91"/>
        <v>0</v>
      </c>
      <c r="R896" s="3"/>
      <c r="S896" s="3"/>
      <c r="T896" s="9" t="str">
        <f t="shared" si="92"/>
        <v>-</v>
      </c>
      <c r="U896" s="3"/>
      <c r="V896" s="9" t="str">
        <f t="shared" si="93"/>
        <v/>
      </c>
      <c r="W896" s="67"/>
      <c r="X896" s="88"/>
      <c r="Y896" s="1">
        <f t="shared" ca="1" si="86"/>
        <v>46162</v>
      </c>
      <c r="Z896" s="1" cm="1">
        <f t="array" ref="Z896">IF(D896&gt;DATE(2015,5,16),0,
K896*
(
INT((MIN(Y896,DATE(2015,5,16))-D896)/365)
+
CEILING(MOD((MIN(Y896,DATE(2015,5,16))-D896)/365,1),0.25)
)
*
_xlfn.SWITCH(J896,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96" s="1" cm="1">
        <f t="array" aca="1" ref="AA896" ca="1">IF(Y896&lt;DATE(2015,5,17),0,
K896*
(
INT((MIN(Y896,DATE(2018,9,23))-MAX(D896,DATE(2015,5,17)))/365)
+
CEILING(MOD((MIN(Y896,DATE(2018,9,23))-MAX(D896,DATE(2015,5,17)))/365,1),0.25)
)
*
_xlfn.SWITCH(J896,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96" s="1" cm="1">
        <f t="array" aca="1" ref="AB896" ca="1">IF(Y896&lt;DATE(2018,9,24),0,
IF(J896="زراعة",
K896*
(
INT((MIN(Y896,DATE(2023,4,30))-MAX(D896,DATE(2018,9,24)))/365)
+
CEILING(MOD((MIN(Y896,DATE(2023,4,30))-MAX(D896,DATE(2018,9,24)))/365,1),0.25)
)
*1,
K896*
(
DATEDIF(MAX(D896,DATE(2018,9,24)),MIN(Y896,DATE(2023,4,30)),"m")+1
)
*
_xlfn.SWITCH(J896,
"موقف/تندة",IF(D896&lt;DATE(2019,11,30),6,30),
"تشوينات",IF(D896&lt;DATE(2019,11,30),4,20),
"مشاتل",IF(D896&lt;DATE(2019,11,30),2,10),
"كافيتيريا",IF(D896&lt;DATE(2019,11,30),30,150),
"نوادي",IF(D896&lt;DATE(2019,11,30),6,30),
"رسو مراكب",IF(D896&lt;DATE(2019,11,30),2,10),
"مباني",IF(D896&lt;DATE(2018,9,24),2,10),
"عشش",IF(D896&lt;DATE(2019,11,30),2,10),
"كشك (تجاري/صناعي)",IF(D896&lt;DATE(2019,11,30),10,50),
"ردم",20,
0)))</f>
        <v>0</v>
      </c>
      <c r="AC896" s="1" cm="1">
        <f t="array" aca="1" ref="AC896" ca="1">IF(Y896&lt;DATE(2023,5,1),0,
IF(J896="زراعة",
K896*
(
INT((Y896-MAX(DATE(2023,5,1),D896))/365)
+
CEILING(MOD((Y896-MAX(DATE(2023,5,1),D896))/365,1),0.25)
)
*3,
IF(J896="ردم",
K896*20,
K896*
(
DATEDIF(MAX(DATE(2023,5,1),D896),Y896,"m")+1
)
*
_xlfn.SWITCH(J896,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96" s="1">
        <f t="shared" ca="1" si="87"/>
        <v>55</v>
      </c>
    </row>
    <row r="897" spans="1:30" ht="18.75" x14ac:dyDescent="0.25">
      <c r="A897" s="37">
        <v>832</v>
      </c>
      <c r="B897" s="63">
        <v>94</v>
      </c>
      <c r="C897" s="63">
        <v>2025</v>
      </c>
      <c r="D897" s="64" t="s">
        <v>972</v>
      </c>
      <c r="E897" s="11"/>
      <c r="F897" s="3"/>
      <c r="G897" s="70" t="s">
        <v>1056</v>
      </c>
      <c r="H897" s="3"/>
      <c r="I897" s="63" t="s">
        <v>50</v>
      </c>
      <c r="J897" s="3" t="s">
        <v>27</v>
      </c>
      <c r="K897" s="3"/>
      <c r="L897" s="3" t="s">
        <v>672</v>
      </c>
      <c r="M897" s="2"/>
      <c r="N897" s="3"/>
      <c r="O897" s="9">
        <f>0.47*Table2[[#This Row],[قيمة المحضر]]</f>
        <v>0</v>
      </c>
      <c r="P897" s="9">
        <f>0.17*Table2[[#This Row],[قيمة المحضر]]</f>
        <v>0</v>
      </c>
      <c r="Q897" s="9">
        <f t="shared" ca="1" si="91"/>
        <v>0</v>
      </c>
      <c r="R897" s="3"/>
      <c r="S897" s="3"/>
      <c r="T897" s="9" t="str">
        <f t="shared" si="92"/>
        <v>-</v>
      </c>
      <c r="U897" s="3"/>
      <c r="V897" s="9" t="str">
        <f t="shared" si="93"/>
        <v/>
      </c>
      <c r="W897" s="67"/>
      <c r="X897" s="88"/>
      <c r="Y897" s="1">
        <f t="shared" ca="1" si="86"/>
        <v>46162</v>
      </c>
      <c r="Z897" s="1" cm="1">
        <f t="array" ref="Z897">IF(D897&gt;DATE(2015,5,16),0,
K897*
(
INT((MIN(Y897,DATE(2015,5,16))-D897)/365)
+
CEILING(MOD((MIN(Y897,DATE(2015,5,16))-D897)/365,1),0.25)
)
*
_xlfn.SWITCH(J897,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97" s="1" cm="1">
        <f t="array" aca="1" ref="AA897" ca="1">IF(Y897&lt;DATE(2015,5,17),0,
K897*
(
INT((MIN(Y897,DATE(2018,9,23))-MAX(D897,DATE(2015,5,17)))/365)
+
CEILING(MOD((MIN(Y897,DATE(2018,9,23))-MAX(D897,DATE(2015,5,17)))/365,1),0.25)
)
*
_xlfn.SWITCH(J897,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97" s="1" cm="1">
        <f t="array" aca="1" ref="AB897" ca="1">IF(Y897&lt;DATE(2018,9,24),0,
IF(J897="زراعة",
K897*
(
INT((MIN(Y897,DATE(2023,4,30))-MAX(D897,DATE(2018,9,24)))/365)
+
CEILING(MOD((MIN(Y897,DATE(2023,4,30))-MAX(D897,DATE(2018,9,24)))/365,1),0.25)
)
*1,
K897*
(
DATEDIF(MAX(D897,DATE(2018,9,24)),MIN(Y897,DATE(2023,4,30)),"m")+1
)
*
_xlfn.SWITCH(J897,
"موقف/تندة",IF(D897&lt;DATE(2019,11,30),6,30),
"تشوينات",IF(D897&lt;DATE(2019,11,30),4,20),
"مشاتل",IF(D897&lt;DATE(2019,11,30),2,10),
"كافيتيريا",IF(D897&lt;DATE(2019,11,30),30,150),
"نوادي",IF(D897&lt;DATE(2019,11,30),6,30),
"رسو مراكب",IF(D897&lt;DATE(2019,11,30),2,10),
"مباني",IF(D897&lt;DATE(2018,9,24),2,10),
"عشش",IF(D897&lt;DATE(2019,11,30),2,10),
"كشك (تجاري/صناعي)",IF(D897&lt;DATE(2019,11,30),10,50),
"ردم",20,
0)))</f>
        <v>0</v>
      </c>
      <c r="AC897" s="1" cm="1">
        <f t="array" aca="1" ref="AC897" ca="1">IF(Y897&lt;DATE(2023,5,1),0,
IF(J897="زراعة",
K897*
(
INT((Y897-MAX(DATE(2023,5,1),D897))/365)
+
CEILING(MOD((Y897-MAX(DATE(2023,5,1),D897))/365,1),0.25)
)
*3,
IF(J897="ردم",
K897*20,
K897*
(
DATEDIF(MAX(DATE(2023,5,1),D897),Y897,"m")+1
)
*
_xlfn.SWITCH(J897,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97" s="1">
        <f t="shared" ca="1" si="87"/>
        <v>55</v>
      </c>
    </row>
    <row r="898" spans="1:30" ht="18.75" x14ac:dyDescent="0.25">
      <c r="A898" s="37">
        <v>833</v>
      </c>
      <c r="B898" s="63">
        <v>95</v>
      </c>
      <c r="C898" s="63">
        <v>2025</v>
      </c>
      <c r="D898" s="64" t="s">
        <v>972</v>
      </c>
      <c r="E898" s="11"/>
      <c r="F898" s="3"/>
      <c r="G898" s="70" t="s">
        <v>1057</v>
      </c>
      <c r="H898" s="3"/>
      <c r="I898" s="63" t="s">
        <v>50</v>
      </c>
      <c r="J898" s="3" t="s">
        <v>27</v>
      </c>
      <c r="K898" s="3"/>
      <c r="L898" s="3" t="s">
        <v>672</v>
      </c>
      <c r="M898" s="2"/>
      <c r="N898" s="3"/>
      <c r="O898" s="9">
        <f>0.47*Table2[[#This Row],[قيمة المحضر]]</f>
        <v>0</v>
      </c>
      <c r="P898" s="9">
        <f>0.17*Table2[[#This Row],[قيمة المحضر]]</f>
        <v>0</v>
      </c>
      <c r="Q898" s="9">
        <f t="shared" ca="1" si="91"/>
        <v>0</v>
      </c>
      <c r="R898" s="3"/>
      <c r="S898" s="3"/>
      <c r="T898" s="9" t="str">
        <f t="shared" si="92"/>
        <v>-</v>
      </c>
      <c r="U898" s="3"/>
      <c r="V898" s="9" t="str">
        <f t="shared" si="93"/>
        <v/>
      </c>
      <c r="W898" s="67"/>
      <c r="X898" s="88"/>
      <c r="Y898" s="1">
        <f t="shared" ca="1" si="86"/>
        <v>46162</v>
      </c>
      <c r="Z898" s="1" cm="1">
        <f t="array" ref="Z898">IF(D898&gt;DATE(2015,5,16),0,
K898*
(
INT((MIN(Y898,DATE(2015,5,16))-D898)/365)
+
CEILING(MOD((MIN(Y898,DATE(2015,5,16))-D898)/365,1),0.25)
)
*
_xlfn.SWITCH(J898,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98" s="1" cm="1">
        <f t="array" aca="1" ref="AA898" ca="1">IF(Y898&lt;DATE(2015,5,17),0,
K898*
(
INT((MIN(Y898,DATE(2018,9,23))-MAX(D898,DATE(2015,5,17)))/365)
+
CEILING(MOD((MIN(Y898,DATE(2018,9,23))-MAX(D898,DATE(2015,5,17)))/365,1),0.25)
)
*
_xlfn.SWITCH(J898,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98" s="1" cm="1">
        <f t="array" aca="1" ref="AB898" ca="1">IF(Y898&lt;DATE(2018,9,24),0,
IF(J898="زراعة",
K898*
(
INT((MIN(Y898,DATE(2023,4,30))-MAX(D898,DATE(2018,9,24)))/365)
+
CEILING(MOD((MIN(Y898,DATE(2023,4,30))-MAX(D898,DATE(2018,9,24)))/365,1),0.25)
)
*1,
K898*
(
DATEDIF(MAX(D898,DATE(2018,9,24)),MIN(Y898,DATE(2023,4,30)),"m")+1
)
*
_xlfn.SWITCH(J898,
"موقف/تندة",IF(D898&lt;DATE(2019,11,30),6,30),
"تشوينات",IF(D898&lt;DATE(2019,11,30),4,20),
"مشاتل",IF(D898&lt;DATE(2019,11,30),2,10),
"كافيتيريا",IF(D898&lt;DATE(2019,11,30),30,150),
"نوادي",IF(D898&lt;DATE(2019,11,30),6,30),
"رسو مراكب",IF(D898&lt;DATE(2019,11,30),2,10),
"مباني",IF(D898&lt;DATE(2018,9,24),2,10),
"عشش",IF(D898&lt;DATE(2019,11,30),2,10),
"كشك (تجاري/صناعي)",IF(D898&lt;DATE(2019,11,30),10,50),
"ردم",20,
0)))</f>
        <v>0</v>
      </c>
      <c r="AC898" s="1" cm="1">
        <f t="array" aca="1" ref="AC898" ca="1">IF(Y898&lt;DATE(2023,5,1),0,
IF(J898="زراعة",
K898*
(
INT((Y898-MAX(DATE(2023,5,1),D898))/365)
+
CEILING(MOD((Y898-MAX(DATE(2023,5,1),D898))/365,1),0.25)
)
*3,
IF(J898="ردم",
K898*20,
K898*
(
DATEDIF(MAX(DATE(2023,5,1),D898),Y898,"m")+1
)
*
_xlfn.SWITCH(J898,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98" s="1">
        <f t="shared" ca="1" si="87"/>
        <v>55</v>
      </c>
    </row>
    <row r="899" spans="1:30" ht="18.75" x14ac:dyDescent="0.25">
      <c r="A899" s="37">
        <v>834</v>
      </c>
      <c r="B899" s="63">
        <v>96</v>
      </c>
      <c r="C899" s="63">
        <v>2025</v>
      </c>
      <c r="D899" s="64" t="s">
        <v>972</v>
      </c>
      <c r="E899" s="11"/>
      <c r="F899" s="3"/>
      <c r="G899" s="70" t="s">
        <v>1058</v>
      </c>
      <c r="H899" s="3"/>
      <c r="I899" s="63" t="s">
        <v>50</v>
      </c>
      <c r="J899" s="3" t="s">
        <v>27</v>
      </c>
      <c r="K899" s="3"/>
      <c r="L899" s="3" t="s">
        <v>672</v>
      </c>
      <c r="M899" s="2"/>
      <c r="N899" s="3"/>
      <c r="O899" s="9">
        <f>0.47*Table2[[#This Row],[قيمة المحضر]]</f>
        <v>0</v>
      </c>
      <c r="P899" s="9">
        <f>0.17*Table2[[#This Row],[قيمة المحضر]]</f>
        <v>0</v>
      </c>
      <c r="Q899" s="9">
        <f t="shared" ca="1" si="91"/>
        <v>0</v>
      </c>
      <c r="R899" s="3"/>
      <c r="S899" s="3"/>
      <c r="T899" s="9" t="str">
        <f t="shared" si="92"/>
        <v>-</v>
      </c>
      <c r="U899" s="3"/>
      <c r="V899" s="9" t="str">
        <f t="shared" si="93"/>
        <v/>
      </c>
      <c r="W899" s="67"/>
      <c r="X899" s="88"/>
      <c r="Y899" s="1">
        <f t="shared" ref="Y899:Y944" ca="1" si="94">IF(M899="",TODAY(),M899)</f>
        <v>46162</v>
      </c>
      <c r="Z899" s="1" cm="1">
        <f t="array" ref="Z899">IF(D899&gt;DATE(2015,5,16),0,
K899*
(
INT((MIN(Y899,DATE(2015,5,16))-D899)/365)
+
CEILING(MOD((MIN(Y899,DATE(2015,5,16))-D899)/365,1),0.25)
)
*
_xlfn.SWITCH(J899,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899" s="1" cm="1">
        <f t="array" aca="1" ref="AA899" ca="1">IF(Y899&lt;DATE(2015,5,17),0,
K899*
(
INT((MIN(Y899,DATE(2018,9,23))-MAX(D899,DATE(2015,5,17)))/365)
+
CEILING(MOD((MIN(Y899,DATE(2018,9,23))-MAX(D899,DATE(2015,5,17)))/365,1),0.25)
)
*
_xlfn.SWITCH(J899,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899" s="1" cm="1">
        <f t="array" aca="1" ref="AB899" ca="1">IF(Y899&lt;DATE(2018,9,24),0,
IF(J899="زراعة",
K899*
(
INT((MIN(Y899,DATE(2023,4,30))-MAX(D899,DATE(2018,9,24)))/365)
+
CEILING(MOD((MIN(Y899,DATE(2023,4,30))-MAX(D899,DATE(2018,9,24)))/365,1),0.25)
)
*1,
K899*
(
DATEDIF(MAX(D899,DATE(2018,9,24)),MIN(Y899,DATE(2023,4,30)),"m")+1
)
*
_xlfn.SWITCH(J899,
"موقف/تندة",IF(D899&lt;DATE(2019,11,30),6,30),
"تشوينات",IF(D899&lt;DATE(2019,11,30),4,20),
"مشاتل",IF(D899&lt;DATE(2019,11,30),2,10),
"كافيتيريا",IF(D899&lt;DATE(2019,11,30),30,150),
"نوادي",IF(D899&lt;DATE(2019,11,30),6,30),
"رسو مراكب",IF(D899&lt;DATE(2019,11,30),2,10),
"مباني",IF(D899&lt;DATE(2018,9,24),2,10),
"عشش",IF(D899&lt;DATE(2019,11,30),2,10),
"كشك (تجاري/صناعي)",IF(D899&lt;DATE(2019,11,30),10,50),
"ردم",20,
0)))</f>
        <v>0</v>
      </c>
      <c r="AC899" s="1" cm="1">
        <f t="array" aca="1" ref="AC899" ca="1">IF(Y899&lt;DATE(2023,5,1),0,
IF(J899="زراعة",
K899*
(
INT((Y899-MAX(DATE(2023,5,1),D899))/365)
+
CEILING(MOD((Y899-MAX(DATE(2023,5,1),D899))/365,1),0.25)
)
*3,
IF(J899="ردم",
K899*20,
K899*
(
DATEDIF(MAX(DATE(2023,5,1),D899),Y899,"m")+1
)
*
_xlfn.SWITCH(J899,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899" s="1">
        <f t="shared" ref="AD899:AD944" ca="1" si="95">DATEDIF(MAX(D899,DATE(2018,9,24)),MIN(Y899,DATE(2023,4,30)),"m")</f>
        <v>55</v>
      </c>
    </row>
    <row r="900" spans="1:30" ht="18.75" x14ac:dyDescent="0.25">
      <c r="A900" s="37">
        <v>835</v>
      </c>
      <c r="B900" s="63">
        <v>97</v>
      </c>
      <c r="C900" s="63">
        <v>2025</v>
      </c>
      <c r="D900" s="64" t="s">
        <v>972</v>
      </c>
      <c r="E900" s="11"/>
      <c r="F900" s="3"/>
      <c r="G900" s="70" t="s">
        <v>1059</v>
      </c>
      <c r="H900" s="3"/>
      <c r="I900" s="63" t="s">
        <v>50</v>
      </c>
      <c r="J900" s="3" t="s">
        <v>27</v>
      </c>
      <c r="K900" s="3"/>
      <c r="L900" s="3" t="s">
        <v>672</v>
      </c>
      <c r="M900" s="2"/>
      <c r="N900" s="3"/>
      <c r="O900" s="9">
        <f>0.47*Table2[[#This Row],[قيمة المحضر]]</f>
        <v>0</v>
      </c>
      <c r="P900" s="9">
        <f>0.17*Table2[[#This Row],[قيمة المحضر]]</f>
        <v>0</v>
      </c>
      <c r="Q900" s="9">
        <f t="shared" ca="1" si="91"/>
        <v>0</v>
      </c>
      <c r="R900" s="3"/>
      <c r="S900" s="3"/>
      <c r="T900" s="9" t="str">
        <f t="shared" si="92"/>
        <v>-</v>
      </c>
      <c r="U900" s="3"/>
      <c r="V900" s="9" t="str">
        <f t="shared" si="93"/>
        <v/>
      </c>
      <c r="W900" s="67"/>
      <c r="X900" s="88"/>
      <c r="Y900" s="1">
        <f t="shared" ca="1" si="94"/>
        <v>46162</v>
      </c>
      <c r="Z900" s="1" cm="1">
        <f t="array" ref="Z900">IF(D900&gt;DATE(2015,5,16),0,
K900*
(
INT((MIN(Y900,DATE(2015,5,16))-D900)/365)
+
CEILING(MOD((MIN(Y900,DATE(2015,5,16))-D900)/365,1),0.25)
)
*
_xlfn.SWITCH(J900,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00" s="1" cm="1">
        <f t="array" aca="1" ref="AA900" ca="1">IF(Y900&lt;DATE(2015,5,17),0,
K900*
(
INT((MIN(Y900,DATE(2018,9,23))-MAX(D900,DATE(2015,5,17)))/365)
+
CEILING(MOD((MIN(Y900,DATE(2018,9,23))-MAX(D900,DATE(2015,5,17)))/365,1),0.25)
)
*
_xlfn.SWITCH(J900,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00" s="1" cm="1">
        <f t="array" aca="1" ref="AB900" ca="1">IF(Y900&lt;DATE(2018,9,24),0,
IF(J900="زراعة",
K900*
(
INT((MIN(Y900,DATE(2023,4,30))-MAX(D900,DATE(2018,9,24)))/365)
+
CEILING(MOD((MIN(Y900,DATE(2023,4,30))-MAX(D900,DATE(2018,9,24)))/365,1),0.25)
)
*1,
K900*
(
DATEDIF(MAX(D900,DATE(2018,9,24)),MIN(Y900,DATE(2023,4,30)),"m")+1
)
*
_xlfn.SWITCH(J900,
"موقف/تندة",IF(D900&lt;DATE(2019,11,30),6,30),
"تشوينات",IF(D900&lt;DATE(2019,11,30),4,20),
"مشاتل",IF(D900&lt;DATE(2019,11,30),2,10),
"كافيتيريا",IF(D900&lt;DATE(2019,11,30),30,150),
"نوادي",IF(D900&lt;DATE(2019,11,30),6,30),
"رسو مراكب",IF(D900&lt;DATE(2019,11,30),2,10),
"مباني",IF(D900&lt;DATE(2018,9,24),2,10),
"عشش",IF(D900&lt;DATE(2019,11,30),2,10),
"كشك (تجاري/صناعي)",IF(D900&lt;DATE(2019,11,30),10,50),
"ردم",20,
0)))</f>
        <v>0</v>
      </c>
      <c r="AC900" s="1" cm="1">
        <f t="array" aca="1" ref="AC900" ca="1">IF(Y900&lt;DATE(2023,5,1),0,
IF(J900="زراعة",
K900*
(
INT((Y900-MAX(DATE(2023,5,1),D900))/365)
+
CEILING(MOD((Y900-MAX(DATE(2023,5,1),D900))/365,1),0.25)
)
*3,
IF(J900="ردم",
K900*20,
K900*
(
DATEDIF(MAX(DATE(2023,5,1),D900),Y900,"m")+1
)
*
_xlfn.SWITCH(J900,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00" s="1">
        <f t="shared" ca="1" si="95"/>
        <v>55</v>
      </c>
    </row>
    <row r="901" spans="1:30" ht="18.75" x14ac:dyDescent="0.25">
      <c r="A901" s="37">
        <v>836</v>
      </c>
      <c r="B901" s="63">
        <v>98</v>
      </c>
      <c r="C901" s="63">
        <v>2025</v>
      </c>
      <c r="D901" s="64" t="s">
        <v>972</v>
      </c>
      <c r="E901" s="11"/>
      <c r="F901" s="3"/>
      <c r="G901" s="70" t="s">
        <v>951</v>
      </c>
      <c r="H901" s="3"/>
      <c r="I901" s="63" t="s">
        <v>50</v>
      </c>
      <c r="J901" s="3" t="s">
        <v>27</v>
      </c>
      <c r="K901" s="3"/>
      <c r="L901" s="3" t="s">
        <v>672</v>
      </c>
      <c r="M901" s="2"/>
      <c r="N901" s="3"/>
      <c r="O901" s="9">
        <f>0.47*Table2[[#This Row],[قيمة المحضر]]</f>
        <v>0</v>
      </c>
      <c r="P901" s="9">
        <f>0.17*Table2[[#This Row],[قيمة المحضر]]</f>
        <v>0</v>
      </c>
      <c r="Q901" s="9">
        <f t="shared" ca="1" si="91"/>
        <v>0</v>
      </c>
      <c r="R901" s="3"/>
      <c r="S901" s="3"/>
      <c r="T901" s="9" t="str">
        <f t="shared" si="92"/>
        <v>-</v>
      </c>
      <c r="U901" s="3"/>
      <c r="V901" s="9" t="str">
        <f t="shared" si="93"/>
        <v/>
      </c>
      <c r="W901" s="67"/>
      <c r="X901" s="88"/>
      <c r="Y901" s="1">
        <f t="shared" ca="1" si="94"/>
        <v>46162</v>
      </c>
      <c r="Z901" s="1" cm="1">
        <f t="array" ref="Z901">IF(D901&gt;DATE(2015,5,16),0,
K901*
(
INT((MIN(Y901,DATE(2015,5,16))-D901)/365)
+
CEILING(MOD((MIN(Y901,DATE(2015,5,16))-D901)/365,1),0.25)
)
*
_xlfn.SWITCH(J901,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01" s="1" cm="1">
        <f t="array" aca="1" ref="AA901" ca="1">IF(Y901&lt;DATE(2015,5,17),0,
K901*
(
INT((MIN(Y901,DATE(2018,9,23))-MAX(D901,DATE(2015,5,17)))/365)
+
CEILING(MOD((MIN(Y901,DATE(2018,9,23))-MAX(D901,DATE(2015,5,17)))/365,1),0.25)
)
*
_xlfn.SWITCH(J901,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01" s="1" cm="1">
        <f t="array" aca="1" ref="AB901" ca="1">IF(Y901&lt;DATE(2018,9,24),0,
IF(J901="زراعة",
K901*
(
INT((MIN(Y901,DATE(2023,4,30))-MAX(D901,DATE(2018,9,24)))/365)
+
CEILING(MOD((MIN(Y901,DATE(2023,4,30))-MAX(D901,DATE(2018,9,24)))/365,1),0.25)
)
*1,
K901*
(
DATEDIF(MAX(D901,DATE(2018,9,24)),MIN(Y901,DATE(2023,4,30)),"m")+1
)
*
_xlfn.SWITCH(J901,
"موقف/تندة",IF(D901&lt;DATE(2019,11,30),6,30),
"تشوينات",IF(D901&lt;DATE(2019,11,30),4,20),
"مشاتل",IF(D901&lt;DATE(2019,11,30),2,10),
"كافيتيريا",IF(D901&lt;DATE(2019,11,30),30,150),
"نوادي",IF(D901&lt;DATE(2019,11,30),6,30),
"رسو مراكب",IF(D901&lt;DATE(2019,11,30),2,10),
"مباني",IF(D901&lt;DATE(2018,9,24),2,10),
"عشش",IF(D901&lt;DATE(2019,11,30),2,10),
"كشك (تجاري/صناعي)",IF(D901&lt;DATE(2019,11,30),10,50),
"ردم",20,
0)))</f>
        <v>0</v>
      </c>
      <c r="AC901" s="1" cm="1">
        <f t="array" aca="1" ref="AC901" ca="1">IF(Y901&lt;DATE(2023,5,1),0,
IF(J901="زراعة",
K901*
(
INT((Y901-MAX(DATE(2023,5,1),D901))/365)
+
CEILING(MOD((Y901-MAX(DATE(2023,5,1),D901))/365,1),0.25)
)
*3,
IF(J901="ردم",
K901*20,
K901*
(
DATEDIF(MAX(DATE(2023,5,1),D901),Y901,"m")+1
)
*
_xlfn.SWITCH(J901,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01" s="1">
        <f t="shared" ca="1" si="95"/>
        <v>55</v>
      </c>
    </row>
    <row r="902" spans="1:30" ht="18.75" x14ac:dyDescent="0.25">
      <c r="A902" s="37">
        <v>837</v>
      </c>
      <c r="B902" s="63">
        <v>99</v>
      </c>
      <c r="C902" s="63">
        <v>2025</v>
      </c>
      <c r="D902" s="64" t="s">
        <v>972</v>
      </c>
      <c r="E902" s="11"/>
      <c r="F902" s="3"/>
      <c r="G902" s="70" t="s">
        <v>1060</v>
      </c>
      <c r="H902" s="3"/>
      <c r="I902" s="63" t="s">
        <v>50</v>
      </c>
      <c r="J902" s="3" t="s">
        <v>27</v>
      </c>
      <c r="K902" s="3"/>
      <c r="L902" s="3" t="s">
        <v>672</v>
      </c>
      <c r="M902" s="2"/>
      <c r="N902" s="3"/>
      <c r="O902" s="9">
        <f>0.47*Table2[[#This Row],[قيمة المحضر]]</f>
        <v>0</v>
      </c>
      <c r="P902" s="9">
        <f>0.17*Table2[[#This Row],[قيمة المحضر]]</f>
        <v>0</v>
      </c>
      <c r="Q902" s="9">
        <f t="shared" ca="1" si="91"/>
        <v>0</v>
      </c>
      <c r="R902" s="3"/>
      <c r="S902" s="3"/>
      <c r="T902" s="9" t="str">
        <f t="shared" si="92"/>
        <v>-</v>
      </c>
      <c r="U902" s="3"/>
      <c r="V902" s="9" t="str">
        <f t="shared" si="93"/>
        <v/>
      </c>
      <c r="W902" s="67"/>
      <c r="X902" s="88"/>
      <c r="Y902" s="1">
        <f t="shared" ca="1" si="94"/>
        <v>46162</v>
      </c>
      <c r="Z902" s="1" cm="1">
        <f t="array" ref="Z902">IF(D902&gt;DATE(2015,5,16),0,
K902*
(
INT((MIN(Y902,DATE(2015,5,16))-D902)/365)
+
CEILING(MOD((MIN(Y902,DATE(2015,5,16))-D902)/365,1),0.25)
)
*
_xlfn.SWITCH(J902,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02" s="1" cm="1">
        <f t="array" aca="1" ref="AA902" ca="1">IF(Y902&lt;DATE(2015,5,17),0,
K902*
(
INT((MIN(Y902,DATE(2018,9,23))-MAX(D902,DATE(2015,5,17)))/365)
+
CEILING(MOD((MIN(Y902,DATE(2018,9,23))-MAX(D902,DATE(2015,5,17)))/365,1),0.25)
)
*
_xlfn.SWITCH(J902,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02" s="1" cm="1">
        <f t="array" aca="1" ref="AB902" ca="1">IF(Y902&lt;DATE(2018,9,24),0,
IF(J902="زراعة",
K902*
(
INT((MIN(Y902,DATE(2023,4,30))-MAX(D902,DATE(2018,9,24)))/365)
+
CEILING(MOD((MIN(Y902,DATE(2023,4,30))-MAX(D902,DATE(2018,9,24)))/365,1),0.25)
)
*1,
K902*
(
DATEDIF(MAX(D902,DATE(2018,9,24)),MIN(Y902,DATE(2023,4,30)),"m")+1
)
*
_xlfn.SWITCH(J902,
"موقف/تندة",IF(D902&lt;DATE(2019,11,30),6,30),
"تشوينات",IF(D902&lt;DATE(2019,11,30),4,20),
"مشاتل",IF(D902&lt;DATE(2019,11,30),2,10),
"كافيتيريا",IF(D902&lt;DATE(2019,11,30),30,150),
"نوادي",IF(D902&lt;DATE(2019,11,30),6,30),
"رسو مراكب",IF(D902&lt;DATE(2019,11,30),2,10),
"مباني",IF(D902&lt;DATE(2018,9,24),2,10),
"عشش",IF(D902&lt;DATE(2019,11,30),2,10),
"كشك (تجاري/صناعي)",IF(D902&lt;DATE(2019,11,30),10,50),
"ردم",20,
0)))</f>
        <v>0</v>
      </c>
      <c r="AC902" s="1" cm="1">
        <f t="array" aca="1" ref="AC902" ca="1">IF(Y902&lt;DATE(2023,5,1),0,
IF(J902="زراعة",
K902*
(
INT((Y902-MAX(DATE(2023,5,1),D902))/365)
+
CEILING(MOD((Y902-MAX(DATE(2023,5,1),D902))/365,1),0.25)
)
*3,
IF(J902="ردم",
K902*20,
K902*
(
DATEDIF(MAX(DATE(2023,5,1),D902),Y902,"m")+1
)
*
_xlfn.SWITCH(J902,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02" s="1">
        <f t="shared" ca="1" si="95"/>
        <v>55</v>
      </c>
    </row>
    <row r="903" spans="1:30" ht="18.75" x14ac:dyDescent="0.25">
      <c r="A903" s="37">
        <v>838</v>
      </c>
      <c r="B903" s="63">
        <v>100</v>
      </c>
      <c r="C903" s="63">
        <v>2025</v>
      </c>
      <c r="D903" s="64" t="s">
        <v>972</v>
      </c>
      <c r="E903" s="11"/>
      <c r="F903" s="3"/>
      <c r="G903" s="70" t="s">
        <v>984</v>
      </c>
      <c r="H903" s="3"/>
      <c r="I903" s="63" t="s">
        <v>50</v>
      </c>
      <c r="J903" s="3" t="s">
        <v>27</v>
      </c>
      <c r="K903" s="3"/>
      <c r="L903" s="3" t="s">
        <v>672</v>
      </c>
      <c r="M903" s="2"/>
      <c r="N903" s="3"/>
      <c r="O903" s="9">
        <f>0.47*Table2[[#This Row],[قيمة المحضر]]</f>
        <v>0</v>
      </c>
      <c r="P903" s="9">
        <f>0.17*Table2[[#This Row],[قيمة المحضر]]</f>
        <v>0</v>
      </c>
      <c r="Q903" s="9">
        <f t="shared" ref="Q903:Q934" ca="1" si="96">Z903+AA903+AB903+AC903</f>
        <v>0</v>
      </c>
      <c r="R903" s="3"/>
      <c r="S903" s="3"/>
      <c r="T903" s="9" t="str">
        <f t="shared" ref="T903:T934" si="97">IF(R903="تم الحجز",Q903+O903+N903,"-")</f>
        <v>-</v>
      </c>
      <c r="U903" s="3"/>
      <c r="V903" s="9" t="str">
        <f t="shared" ref="V903:V934" si="98">IF(OR(U903="قائم",U903="قائم و سدد مقابل انتفاع"),"-",
IF(U903="تم رد الشئ لأصله",P903+Q903,
IF(U903="ازالة جبرية",N903+O903+Q903,"")))</f>
        <v/>
      </c>
      <c r="W903" s="67"/>
      <c r="X903" s="88"/>
      <c r="Y903" s="1">
        <f t="shared" ca="1" si="94"/>
        <v>46162</v>
      </c>
      <c r="Z903" s="1" cm="1">
        <f t="array" ref="Z903">IF(D903&gt;DATE(2015,5,16),0,
K903*
(
INT((MIN(Y903,DATE(2015,5,16))-D903)/365)
+
CEILING(MOD((MIN(Y903,DATE(2015,5,16))-D903)/365,1),0.25)
)
*
_xlfn.SWITCH(J903,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03" s="1" cm="1">
        <f t="array" aca="1" ref="AA903" ca="1">IF(Y903&lt;DATE(2015,5,17),0,
K903*
(
INT((MIN(Y903,DATE(2018,9,23))-MAX(D903,DATE(2015,5,17)))/365)
+
CEILING(MOD((MIN(Y903,DATE(2018,9,23))-MAX(D903,DATE(2015,5,17)))/365,1),0.25)
)
*
_xlfn.SWITCH(J903,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03" s="1" cm="1">
        <f t="array" aca="1" ref="AB903" ca="1">IF(Y903&lt;DATE(2018,9,24),0,
IF(J903="زراعة",
K903*
(
INT((MIN(Y903,DATE(2023,4,30))-MAX(D903,DATE(2018,9,24)))/365)
+
CEILING(MOD((MIN(Y903,DATE(2023,4,30))-MAX(D903,DATE(2018,9,24)))/365,1),0.25)
)
*1,
K903*
(
DATEDIF(MAX(D903,DATE(2018,9,24)),MIN(Y903,DATE(2023,4,30)),"m")+1
)
*
_xlfn.SWITCH(J903,
"موقف/تندة",IF(D903&lt;DATE(2019,11,30),6,30),
"تشوينات",IF(D903&lt;DATE(2019,11,30),4,20),
"مشاتل",IF(D903&lt;DATE(2019,11,30),2,10),
"كافيتيريا",IF(D903&lt;DATE(2019,11,30),30,150),
"نوادي",IF(D903&lt;DATE(2019,11,30),6,30),
"رسو مراكب",IF(D903&lt;DATE(2019,11,30),2,10),
"مباني",IF(D903&lt;DATE(2018,9,24),2,10),
"عشش",IF(D903&lt;DATE(2019,11,30),2,10),
"كشك (تجاري/صناعي)",IF(D903&lt;DATE(2019,11,30),10,50),
"ردم",20,
0)))</f>
        <v>0</v>
      </c>
      <c r="AC903" s="1" cm="1">
        <f t="array" aca="1" ref="AC903" ca="1">IF(Y903&lt;DATE(2023,5,1),0,
IF(J903="زراعة",
K903*
(
INT((Y903-MAX(DATE(2023,5,1),D903))/365)
+
CEILING(MOD((Y903-MAX(DATE(2023,5,1),D903))/365,1),0.25)
)
*3,
IF(J903="ردم",
K903*20,
K903*
(
DATEDIF(MAX(DATE(2023,5,1),D903),Y903,"m")+1
)
*
_xlfn.SWITCH(J903,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03" s="1">
        <f t="shared" ca="1" si="95"/>
        <v>55</v>
      </c>
    </row>
    <row r="904" spans="1:30" ht="18.75" x14ac:dyDescent="0.25">
      <c r="A904" s="37">
        <v>839</v>
      </c>
      <c r="B904" s="63">
        <v>101</v>
      </c>
      <c r="C904" s="63">
        <v>2025</v>
      </c>
      <c r="D904" s="64" t="s">
        <v>972</v>
      </c>
      <c r="E904" s="11"/>
      <c r="F904" s="3"/>
      <c r="G904" s="70" t="s">
        <v>1061</v>
      </c>
      <c r="H904" s="3"/>
      <c r="I904" s="63" t="s">
        <v>50</v>
      </c>
      <c r="J904" s="3" t="s">
        <v>27</v>
      </c>
      <c r="K904" s="3"/>
      <c r="L904" s="3" t="s">
        <v>672</v>
      </c>
      <c r="M904" s="2"/>
      <c r="N904" s="3"/>
      <c r="O904" s="9">
        <f>0.47*Table2[[#This Row],[قيمة المحضر]]</f>
        <v>0</v>
      </c>
      <c r="P904" s="9">
        <f>0.17*Table2[[#This Row],[قيمة المحضر]]</f>
        <v>0</v>
      </c>
      <c r="Q904" s="9">
        <f t="shared" ca="1" si="96"/>
        <v>0</v>
      </c>
      <c r="R904" s="3"/>
      <c r="S904" s="3"/>
      <c r="T904" s="9" t="str">
        <f t="shared" si="97"/>
        <v>-</v>
      </c>
      <c r="U904" s="3"/>
      <c r="V904" s="9" t="str">
        <f t="shared" si="98"/>
        <v/>
      </c>
      <c r="W904" s="67"/>
      <c r="X904" s="88"/>
      <c r="Y904" s="1">
        <f t="shared" ca="1" si="94"/>
        <v>46162</v>
      </c>
      <c r="Z904" s="1" cm="1">
        <f t="array" ref="Z904">IF(D904&gt;DATE(2015,5,16),0,
K904*
(
INT((MIN(Y904,DATE(2015,5,16))-D904)/365)
+
CEILING(MOD((MIN(Y904,DATE(2015,5,16))-D904)/365,1),0.25)
)
*
_xlfn.SWITCH(J904,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04" s="1" cm="1">
        <f t="array" aca="1" ref="AA904" ca="1">IF(Y904&lt;DATE(2015,5,17),0,
K904*
(
INT((MIN(Y904,DATE(2018,9,23))-MAX(D904,DATE(2015,5,17)))/365)
+
CEILING(MOD((MIN(Y904,DATE(2018,9,23))-MAX(D904,DATE(2015,5,17)))/365,1),0.25)
)
*
_xlfn.SWITCH(J904,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04" s="1" cm="1">
        <f t="array" aca="1" ref="AB904" ca="1">IF(Y904&lt;DATE(2018,9,24),0,
IF(J904="زراعة",
K904*
(
INT((MIN(Y904,DATE(2023,4,30))-MAX(D904,DATE(2018,9,24)))/365)
+
CEILING(MOD((MIN(Y904,DATE(2023,4,30))-MAX(D904,DATE(2018,9,24)))/365,1),0.25)
)
*1,
K904*
(
DATEDIF(MAX(D904,DATE(2018,9,24)),MIN(Y904,DATE(2023,4,30)),"m")+1
)
*
_xlfn.SWITCH(J904,
"موقف/تندة",IF(D904&lt;DATE(2019,11,30),6,30),
"تشوينات",IF(D904&lt;DATE(2019,11,30),4,20),
"مشاتل",IF(D904&lt;DATE(2019,11,30),2,10),
"كافيتيريا",IF(D904&lt;DATE(2019,11,30),30,150),
"نوادي",IF(D904&lt;DATE(2019,11,30),6,30),
"رسو مراكب",IF(D904&lt;DATE(2019,11,30),2,10),
"مباني",IF(D904&lt;DATE(2018,9,24),2,10),
"عشش",IF(D904&lt;DATE(2019,11,30),2,10),
"كشك (تجاري/صناعي)",IF(D904&lt;DATE(2019,11,30),10,50),
"ردم",20,
0)))</f>
        <v>0</v>
      </c>
      <c r="AC904" s="1" cm="1">
        <f t="array" aca="1" ref="AC904" ca="1">IF(Y904&lt;DATE(2023,5,1),0,
IF(J904="زراعة",
K904*
(
INT((Y904-MAX(DATE(2023,5,1),D904))/365)
+
CEILING(MOD((Y904-MAX(DATE(2023,5,1),D904))/365,1),0.25)
)
*3,
IF(J904="ردم",
K904*20,
K904*
(
DATEDIF(MAX(DATE(2023,5,1),D904),Y904,"m")+1
)
*
_xlfn.SWITCH(J904,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04" s="1">
        <f t="shared" ca="1" si="95"/>
        <v>55</v>
      </c>
    </row>
    <row r="905" spans="1:30" ht="18.75" x14ac:dyDescent="0.25">
      <c r="A905" s="37">
        <v>840</v>
      </c>
      <c r="B905" s="63">
        <v>102</v>
      </c>
      <c r="C905" s="63">
        <v>2025</v>
      </c>
      <c r="D905" s="64" t="s">
        <v>972</v>
      </c>
      <c r="E905" s="11"/>
      <c r="F905" s="3"/>
      <c r="G905" s="70" t="s">
        <v>1062</v>
      </c>
      <c r="H905" s="3"/>
      <c r="I905" s="63" t="s">
        <v>50</v>
      </c>
      <c r="J905" s="3" t="s">
        <v>27</v>
      </c>
      <c r="K905" s="3"/>
      <c r="L905" s="3" t="s">
        <v>672</v>
      </c>
      <c r="M905" s="2"/>
      <c r="N905" s="3"/>
      <c r="O905" s="9">
        <f>0.47*Table2[[#This Row],[قيمة المحضر]]</f>
        <v>0</v>
      </c>
      <c r="P905" s="9">
        <f>0.17*Table2[[#This Row],[قيمة المحضر]]</f>
        <v>0</v>
      </c>
      <c r="Q905" s="9">
        <f t="shared" ca="1" si="96"/>
        <v>0</v>
      </c>
      <c r="R905" s="3"/>
      <c r="S905" s="3"/>
      <c r="T905" s="9" t="str">
        <f t="shared" si="97"/>
        <v>-</v>
      </c>
      <c r="U905" s="3"/>
      <c r="V905" s="9" t="str">
        <f t="shared" si="98"/>
        <v/>
      </c>
      <c r="W905" s="67"/>
      <c r="X905" s="88"/>
      <c r="Y905" s="1">
        <f t="shared" ca="1" si="94"/>
        <v>46162</v>
      </c>
      <c r="Z905" s="1" cm="1">
        <f t="array" ref="Z905">IF(D905&gt;DATE(2015,5,16),0,
K905*
(
INT((MIN(Y905,DATE(2015,5,16))-D905)/365)
+
CEILING(MOD((MIN(Y905,DATE(2015,5,16))-D905)/365,1),0.25)
)
*
_xlfn.SWITCH(J905,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05" s="1" cm="1">
        <f t="array" aca="1" ref="AA905" ca="1">IF(Y905&lt;DATE(2015,5,17),0,
K905*
(
INT((MIN(Y905,DATE(2018,9,23))-MAX(D905,DATE(2015,5,17)))/365)
+
CEILING(MOD((MIN(Y905,DATE(2018,9,23))-MAX(D905,DATE(2015,5,17)))/365,1),0.25)
)
*
_xlfn.SWITCH(J905,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05" s="1" cm="1">
        <f t="array" aca="1" ref="AB905" ca="1">IF(Y905&lt;DATE(2018,9,24),0,
IF(J905="زراعة",
K905*
(
INT((MIN(Y905,DATE(2023,4,30))-MAX(D905,DATE(2018,9,24)))/365)
+
CEILING(MOD((MIN(Y905,DATE(2023,4,30))-MAX(D905,DATE(2018,9,24)))/365,1),0.25)
)
*1,
K905*
(
DATEDIF(MAX(D905,DATE(2018,9,24)),MIN(Y905,DATE(2023,4,30)),"m")+1
)
*
_xlfn.SWITCH(J905,
"موقف/تندة",IF(D905&lt;DATE(2019,11,30),6,30),
"تشوينات",IF(D905&lt;DATE(2019,11,30),4,20),
"مشاتل",IF(D905&lt;DATE(2019,11,30),2,10),
"كافيتيريا",IF(D905&lt;DATE(2019,11,30),30,150),
"نوادي",IF(D905&lt;DATE(2019,11,30),6,30),
"رسو مراكب",IF(D905&lt;DATE(2019,11,30),2,10),
"مباني",IF(D905&lt;DATE(2018,9,24),2,10),
"عشش",IF(D905&lt;DATE(2019,11,30),2,10),
"كشك (تجاري/صناعي)",IF(D905&lt;DATE(2019,11,30),10,50),
"ردم",20,
0)))</f>
        <v>0</v>
      </c>
      <c r="AC905" s="1" cm="1">
        <f t="array" aca="1" ref="AC905" ca="1">IF(Y905&lt;DATE(2023,5,1),0,
IF(J905="زراعة",
K905*
(
INT((Y905-MAX(DATE(2023,5,1),D905))/365)
+
CEILING(MOD((Y905-MAX(DATE(2023,5,1),D905))/365,1),0.25)
)
*3,
IF(J905="ردم",
K905*20,
K905*
(
DATEDIF(MAX(DATE(2023,5,1),D905),Y905,"m")+1
)
*
_xlfn.SWITCH(J905,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05" s="1">
        <f t="shared" ca="1" si="95"/>
        <v>55</v>
      </c>
    </row>
    <row r="906" spans="1:30" ht="18.75" x14ac:dyDescent="0.25">
      <c r="A906" s="37">
        <v>841</v>
      </c>
      <c r="B906" s="63">
        <v>103</v>
      </c>
      <c r="C906" s="63">
        <v>2025</v>
      </c>
      <c r="D906" s="64" t="s">
        <v>972</v>
      </c>
      <c r="E906" s="11"/>
      <c r="F906" s="3"/>
      <c r="G906" s="70" t="s">
        <v>1063</v>
      </c>
      <c r="H906" s="3"/>
      <c r="I906" s="63" t="s">
        <v>50</v>
      </c>
      <c r="J906" s="3" t="s">
        <v>27</v>
      </c>
      <c r="K906" s="3"/>
      <c r="L906" s="3" t="s">
        <v>672</v>
      </c>
      <c r="M906" s="2"/>
      <c r="N906" s="3"/>
      <c r="O906" s="9">
        <f>0.47*Table2[[#This Row],[قيمة المحضر]]</f>
        <v>0</v>
      </c>
      <c r="P906" s="9">
        <f>0.17*Table2[[#This Row],[قيمة المحضر]]</f>
        <v>0</v>
      </c>
      <c r="Q906" s="9">
        <f t="shared" ca="1" si="96"/>
        <v>0</v>
      </c>
      <c r="R906" s="3"/>
      <c r="S906" s="3"/>
      <c r="T906" s="9" t="str">
        <f t="shared" si="97"/>
        <v>-</v>
      </c>
      <c r="U906" s="3"/>
      <c r="V906" s="9" t="str">
        <f t="shared" si="98"/>
        <v/>
      </c>
      <c r="W906" s="67"/>
      <c r="X906" s="88"/>
      <c r="Y906" s="1">
        <f t="shared" ca="1" si="94"/>
        <v>46162</v>
      </c>
      <c r="Z906" s="1" cm="1">
        <f t="array" ref="Z906">IF(D906&gt;DATE(2015,5,16),0,
K906*
(
INT((MIN(Y906,DATE(2015,5,16))-D906)/365)
+
CEILING(MOD((MIN(Y906,DATE(2015,5,16))-D906)/365,1),0.25)
)
*
_xlfn.SWITCH(J906,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06" s="1" cm="1">
        <f t="array" aca="1" ref="AA906" ca="1">IF(Y906&lt;DATE(2015,5,17),0,
K906*
(
INT((MIN(Y906,DATE(2018,9,23))-MAX(D906,DATE(2015,5,17)))/365)
+
CEILING(MOD((MIN(Y906,DATE(2018,9,23))-MAX(D906,DATE(2015,5,17)))/365,1),0.25)
)
*
_xlfn.SWITCH(J906,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06" s="1" cm="1">
        <f t="array" aca="1" ref="AB906" ca="1">IF(Y906&lt;DATE(2018,9,24),0,
IF(J906="زراعة",
K906*
(
INT((MIN(Y906,DATE(2023,4,30))-MAX(D906,DATE(2018,9,24)))/365)
+
CEILING(MOD((MIN(Y906,DATE(2023,4,30))-MAX(D906,DATE(2018,9,24)))/365,1),0.25)
)
*1,
K906*
(
DATEDIF(MAX(D906,DATE(2018,9,24)),MIN(Y906,DATE(2023,4,30)),"m")+1
)
*
_xlfn.SWITCH(J906,
"موقف/تندة",IF(D906&lt;DATE(2019,11,30),6,30),
"تشوينات",IF(D906&lt;DATE(2019,11,30),4,20),
"مشاتل",IF(D906&lt;DATE(2019,11,30),2,10),
"كافيتيريا",IF(D906&lt;DATE(2019,11,30),30,150),
"نوادي",IF(D906&lt;DATE(2019,11,30),6,30),
"رسو مراكب",IF(D906&lt;DATE(2019,11,30),2,10),
"مباني",IF(D906&lt;DATE(2018,9,24),2,10),
"عشش",IF(D906&lt;DATE(2019,11,30),2,10),
"كشك (تجاري/صناعي)",IF(D906&lt;DATE(2019,11,30),10,50),
"ردم",20,
0)))</f>
        <v>0</v>
      </c>
      <c r="AC906" s="1" cm="1">
        <f t="array" aca="1" ref="AC906" ca="1">IF(Y906&lt;DATE(2023,5,1),0,
IF(J906="زراعة",
K906*
(
INT((Y906-MAX(DATE(2023,5,1),D906))/365)
+
CEILING(MOD((Y906-MAX(DATE(2023,5,1),D906))/365,1),0.25)
)
*3,
IF(J906="ردم",
K906*20,
K906*
(
DATEDIF(MAX(DATE(2023,5,1),D906),Y906,"m")+1
)
*
_xlfn.SWITCH(J906,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06" s="1">
        <f t="shared" ca="1" si="95"/>
        <v>55</v>
      </c>
    </row>
    <row r="907" spans="1:30" ht="18.75" x14ac:dyDescent="0.25">
      <c r="A907" s="37">
        <v>842</v>
      </c>
      <c r="B907" s="63">
        <v>104</v>
      </c>
      <c r="C907" s="63">
        <v>2025</v>
      </c>
      <c r="D907" s="64" t="s">
        <v>972</v>
      </c>
      <c r="E907" s="11"/>
      <c r="F907" s="3"/>
      <c r="G907" s="70" t="s">
        <v>1064</v>
      </c>
      <c r="H907" s="3"/>
      <c r="I907" s="63" t="s">
        <v>50</v>
      </c>
      <c r="J907" s="3" t="s">
        <v>27</v>
      </c>
      <c r="K907" s="3"/>
      <c r="L907" s="3" t="s">
        <v>672</v>
      </c>
      <c r="M907" s="2"/>
      <c r="N907" s="3"/>
      <c r="O907" s="9">
        <f>0.47*Table2[[#This Row],[قيمة المحضر]]</f>
        <v>0</v>
      </c>
      <c r="P907" s="9">
        <f>0.17*Table2[[#This Row],[قيمة المحضر]]</f>
        <v>0</v>
      </c>
      <c r="Q907" s="9">
        <f t="shared" ca="1" si="96"/>
        <v>0</v>
      </c>
      <c r="R907" s="3"/>
      <c r="S907" s="3"/>
      <c r="T907" s="9" t="str">
        <f t="shared" si="97"/>
        <v>-</v>
      </c>
      <c r="U907" s="3"/>
      <c r="V907" s="9" t="str">
        <f t="shared" si="98"/>
        <v/>
      </c>
      <c r="W907" s="67"/>
      <c r="X907" s="88"/>
      <c r="Y907" s="1">
        <f t="shared" ca="1" si="94"/>
        <v>46162</v>
      </c>
      <c r="Z907" s="1" cm="1">
        <f t="array" ref="Z907">IF(D907&gt;DATE(2015,5,16),0,
K907*
(
INT((MIN(Y907,DATE(2015,5,16))-D907)/365)
+
CEILING(MOD((MIN(Y907,DATE(2015,5,16))-D907)/365,1),0.25)
)
*
_xlfn.SWITCH(J907,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07" s="1" cm="1">
        <f t="array" aca="1" ref="AA907" ca="1">IF(Y907&lt;DATE(2015,5,17),0,
K907*
(
INT((MIN(Y907,DATE(2018,9,23))-MAX(D907,DATE(2015,5,17)))/365)
+
CEILING(MOD((MIN(Y907,DATE(2018,9,23))-MAX(D907,DATE(2015,5,17)))/365,1),0.25)
)
*
_xlfn.SWITCH(J907,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07" s="1" cm="1">
        <f t="array" aca="1" ref="AB907" ca="1">IF(Y907&lt;DATE(2018,9,24),0,
IF(J907="زراعة",
K907*
(
INT((MIN(Y907,DATE(2023,4,30))-MAX(D907,DATE(2018,9,24)))/365)
+
CEILING(MOD((MIN(Y907,DATE(2023,4,30))-MAX(D907,DATE(2018,9,24)))/365,1),0.25)
)
*1,
K907*
(
DATEDIF(MAX(D907,DATE(2018,9,24)),MIN(Y907,DATE(2023,4,30)),"m")+1
)
*
_xlfn.SWITCH(J907,
"موقف/تندة",IF(D907&lt;DATE(2019,11,30),6,30),
"تشوينات",IF(D907&lt;DATE(2019,11,30),4,20),
"مشاتل",IF(D907&lt;DATE(2019,11,30),2,10),
"كافيتيريا",IF(D907&lt;DATE(2019,11,30),30,150),
"نوادي",IF(D907&lt;DATE(2019,11,30),6,30),
"رسو مراكب",IF(D907&lt;DATE(2019,11,30),2,10),
"مباني",IF(D907&lt;DATE(2018,9,24),2,10),
"عشش",IF(D907&lt;DATE(2019,11,30),2,10),
"كشك (تجاري/صناعي)",IF(D907&lt;DATE(2019,11,30),10,50),
"ردم",20,
0)))</f>
        <v>0</v>
      </c>
      <c r="AC907" s="1" cm="1">
        <f t="array" aca="1" ref="AC907" ca="1">IF(Y907&lt;DATE(2023,5,1),0,
IF(J907="زراعة",
K907*
(
INT((Y907-MAX(DATE(2023,5,1),D907))/365)
+
CEILING(MOD((Y907-MAX(DATE(2023,5,1),D907))/365,1),0.25)
)
*3,
IF(J907="ردم",
K907*20,
K907*
(
DATEDIF(MAX(DATE(2023,5,1),D907),Y907,"m")+1
)
*
_xlfn.SWITCH(J907,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07" s="1">
        <f t="shared" ca="1" si="95"/>
        <v>55</v>
      </c>
    </row>
    <row r="908" spans="1:30" ht="18.75" x14ac:dyDescent="0.25">
      <c r="A908" s="37">
        <v>843</v>
      </c>
      <c r="B908" s="63">
        <v>105</v>
      </c>
      <c r="C908" s="63">
        <v>2025</v>
      </c>
      <c r="D908" s="64" t="s">
        <v>972</v>
      </c>
      <c r="E908" s="11"/>
      <c r="F908" s="3"/>
      <c r="G908" s="70" t="s">
        <v>1065</v>
      </c>
      <c r="H908" s="3"/>
      <c r="I908" s="63" t="s">
        <v>50</v>
      </c>
      <c r="J908" s="3" t="s">
        <v>27</v>
      </c>
      <c r="K908" s="3"/>
      <c r="L908" s="3" t="s">
        <v>672</v>
      </c>
      <c r="M908" s="2"/>
      <c r="N908" s="3"/>
      <c r="O908" s="9">
        <f>0.47*Table2[[#This Row],[قيمة المحضر]]</f>
        <v>0</v>
      </c>
      <c r="P908" s="9">
        <f>0.17*Table2[[#This Row],[قيمة المحضر]]</f>
        <v>0</v>
      </c>
      <c r="Q908" s="9">
        <f t="shared" ca="1" si="96"/>
        <v>0</v>
      </c>
      <c r="R908" s="3"/>
      <c r="S908" s="3"/>
      <c r="T908" s="9" t="str">
        <f t="shared" si="97"/>
        <v>-</v>
      </c>
      <c r="U908" s="3"/>
      <c r="V908" s="9" t="str">
        <f t="shared" si="98"/>
        <v/>
      </c>
      <c r="W908" s="67"/>
      <c r="X908" s="88"/>
      <c r="Y908" s="1">
        <f t="shared" ca="1" si="94"/>
        <v>46162</v>
      </c>
      <c r="Z908" s="1" cm="1">
        <f t="array" ref="Z908">IF(D908&gt;DATE(2015,5,16),0,
K908*
(
INT((MIN(Y908,DATE(2015,5,16))-D908)/365)
+
CEILING(MOD((MIN(Y908,DATE(2015,5,16))-D908)/365,1),0.25)
)
*
_xlfn.SWITCH(J908,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08" s="1" cm="1">
        <f t="array" aca="1" ref="AA908" ca="1">IF(Y908&lt;DATE(2015,5,17),0,
K908*
(
INT((MIN(Y908,DATE(2018,9,23))-MAX(D908,DATE(2015,5,17)))/365)
+
CEILING(MOD((MIN(Y908,DATE(2018,9,23))-MAX(D908,DATE(2015,5,17)))/365,1),0.25)
)
*
_xlfn.SWITCH(J908,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08" s="1" cm="1">
        <f t="array" aca="1" ref="AB908" ca="1">IF(Y908&lt;DATE(2018,9,24),0,
IF(J908="زراعة",
K908*
(
INT((MIN(Y908,DATE(2023,4,30))-MAX(D908,DATE(2018,9,24)))/365)
+
CEILING(MOD((MIN(Y908,DATE(2023,4,30))-MAX(D908,DATE(2018,9,24)))/365,1),0.25)
)
*1,
K908*
(
DATEDIF(MAX(D908,DATE(2018,9,24)),MIN(Y908,DATE(2023,4,30)),"m")+1
)
*
_xlfn.SWITCH(J908,
"موقف/تندة",IF(D908&lt;DATE(2019,11,30),6,30),
"تشوينات",IF(D908&lt;DATE(2019,11,30),4,20),
"مشاتل",IF(D908&lt;DATE(2019,11,30),2,10),
"كافيتيريا",IF(D908&lt;DATE(2019,11,30),30,150),
"نوادي",IF(D908&lt;DATE(2019,11,30),6,30),
"رسو مراكب",IF(D908&lt;DATE(2019,11,30),2,10),
"مباني",IF(D908&lt;DATE(2018,9,24),2,10),
"عشش",IF(D908&lt;DATE(2019,11,30),2,10),
"كشك (تجاري/صناعي)",IF(D908&lt;DATE(2019,11,30),10,50),
"ردم",20,
0)))</f>
        <v>0</v>
      </c>
      <c r="AC908" s="1" cm="1">
        <f t="array" aca="1" ref="AC908" ca="1">IF(Y908&lt;DATE(2023,5,1),0,
IF(J908="زراعة",
K908*
(
INT((Y908-MAX(DATE(2023,5,1),D908))/365)
+
CEILING(MOD((Y908-MAX(DATE(2023,5,1),D908))/365,1),0.25)
)
*3,
IF(J908="ردم",
K908*20,
K908*
(
DATEDIF(MAX(DATE(2023,5,1),D908),Y908,"m")+1
)
*
_xlfn.SWITCH(J908,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08" s="1">
        <f t="shared" ca="1" si="95"/>
        <v>55</v>
      </c>
    </row>
    <row r="909" spans="1:30" ht="18.75" x14ac:dyDescent="0.25">
      <c r="A909" s="37">
        <v>844</v>
      </c>
      <c r="B909" s="63">
        <v>106</v>
      </c>
      <c r="C909" s="63">
        <v>2025</v>
      </c>
      <c r="D909" s="64" t="s">
        <v>972</v>
      </c>
      <c r="E909" s="11"/>
      <c r="F909" s="3"/>
      <c r="G909" s="70" t="s">
        <v>1066</v>
      </c>
      <c r="H909" s="3"/>
      <c r="I909" s="63" t="s">
        <v>50</v>
      </c>
      <c r="J909" s="3" t="s">
        <v>27</v>
      </c>
      <c r="K909" s="3"/>
      <c r="L909" s="3" t="s">
        <v>672</v>
      </c>
      <c r="M909" s="2"/>
      <c r="N909" s="3"/>
      <c r="O909" s="9">
        <f>0.47*Table2[[#This Row],[قيمة المحضر]]</f>
        <v>0</v>
      </c>
      <c r="P909" s="9">
        <f>0.17*Table2[[#This Row],[قيمة المحضر]]</f>
        <v>0</v>
      </c>
      <c r="Q909" s="9">
        <f t="shared" ca="1" si="96"/>
        <v>0</v>
      </c>
      <c r="R909" s="3"/>
      <c r="S909" s="3"/>
      <c r="T909" s="9" t="str">
        <f t="shared" si="97"/>
        <v>-</v>
      </c>
      <c r="U909" s="3"/>
      <c r="V909" s="9" t="str">
        <f t="shared" si="98"/>
        <v/>
      </c>
      <c r="W909" s="67"/>
      <c r="X909" s="88"/>
      <c r="Y909" s="1">
        <f t="shared" ca="1" si="94"/>
        <v>46162</v>
      </c>
      <c r="Z909" s="1" cm="1">
        <f t="array" ref="Z909">IF(D909&gt;DATE(2015,5,16),0,
K909*
(
INT((MIN(Y909,DATE(2015,5,16))-D909)/365)
+
CEILING(MOD((MIN(Y909,DATE(2015,5,16))-D909)/365,1),0.25)
)
*
_xlfn.SWITCH(J909,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09" s="1" cm="1">
        <f t="array" aca="1" ref="AA909" ca="1">IF(Y909&lt;DATE(2015,5,17),0,
K909*
(
INT((MIN(Y909,DATE(2018,9,23))-MAX(D909,DATE(2015,5,17)))/365)
+
CEILING(MOD((MIN(Y909,DATE(2018,9,23))-MAX(D909,DATE(2015,5,17)))/365,1),0.25)
)
*
_xlfn.SWITCH(J909,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09" s="1" cm="1">
        <f t="array" aca="1" ref="AB909" ca="1">IF(Y909&lt;DATE(2018,9,24),0,
IF(J909="زراعة",
K909*
(
INT((MIN(Y909,DATE(2023,4,30))-MAX(D909,DATE(2018,9,24)))/365)
+
CEILING(MOD((MIN(Y909,DATE(2023,4,30))-MAX(D909,DATE(2018,9,24)))/365,1),0.25)
)
*1,
K909*
(
DATEDIF(MAX(D909,DATE(2018,9,24)),MIN(Y909,DATE(2023,4,30)),"m")+1
)
*
_xlfn.SWITCH(J909,
"موقف/تندة",IF(D909&lt;DATE(2019,11,30),6,30),
"تشوينات",IF(D909&lt;DATE(2019,11,30),4,20),
"مشاتل",IF(D909&lt;DATE(2019,11,30),2,10),
"كافيتيريا",IF(D909&lt;DATE(2019,11,30),30,150),
"نوادي",IF(D909&lt;DATE(2019,11,30),6,30),
"رسو مراكب",IF(D909&lt;DATE(2019,11,30),2,10),
"مباني",IF(D909&lt;DATE(2018,9,24),2,10),
"عشش",IF(D909&lt;DATE(2019,11,30),2,10),
"كشك (تجاري/صناعي)",IF(D909&lt;DATE(2019,11,30),10,50),
"ردم",20,
0)))</f>
        <v>0</v>
      </c>
      <c r="AC909" s="1" cm="1">
        <f t="array" aca="1" ref="AC909" ca="1">IF(Y909&lt;DATE(2023,5,1),0,
IF(J909="زراعة",
K909*
(
INT((Y909-MAX(DATE(2023,5,1),D909))/365)
+
CEILING(MOD((Y909-MAX(DATE(2023,5,1),D909))/365,1),0.25)
)
*3,
IF(J909="ردم",
K909*20,
K909*
(
DATEDIF(MAX(DATE(2023,5,1),D909),Y909,"m")+1
)
*
_xlfn.SWITCH(J909,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09" s="1">
        <f t="shared" ca="1" si="95"/>
        <v>55</v>
      </c>
    </row>
    <row r="910" spans="1:30" ht="18.75" x14ac:dyDescent="0.25">
      <c r="A910" s="37">
        <v>845</v>
      </c>
      <c r="B910" s="63">
        <v>107</v>
      </c>
      <c r="C910" s="63">
        <v>2025</v>
      </c>
      <c r="D910" s="64" t="s">
        <v>972</v>
      </c>
      <c r="E910" s="11"/>
      <c r="F910" s="3"/>
      <c r="G910" s="70" t="s">
        <v>1067</v>
      </c>
      <c r="H910" s="3"/>
      <c r="I910" s="63" t="s">
        <v>50</v>
      </c>
      <c r="J910" s="3" t="s">
        <v>27</v>
      </c>
      <c r="K910" s="3"/>
      <c r="L910" s="3" t="s">
        <v>672</v>
      </c>
      <c r="M910" s="2"/>
      <c r="N910" s="3"/>
      <c r="O910" s="9">
        <f>0.47*Table2[[#This Row],[قيمة المحضر]]</f>
        <v>0</v>
      </c>
      <c r="P910" s="9">
        <f>0.17*Table2[[#This Row],[قيمة المحضر]]</f>
        <v>0</v>
      </c>
      <c r="Q910" s="9">
        <f t="shared" ca="1" si="96"/>
        <v>0</v>
      </c>
      <c r="R910" s="3"/>
      <c r="S910" s="3"/>
      <c r="T910" s="9" t="str">
        <f t="shared" si="97"/>
        <v>-</v>
      </c>
      <c r="U910" s="3"/>
      <c r="V910" s="9" t="str">
        <f t="shared" si="98"/>
        <v/>
      </c>
      <c r="W910" s="67"/>
      <c r="X910" s="88"/>
      <c r="Y910" s="1">
        <f t="shared" ca="1" si="94"/>
        <v>46162</v>
      </c>
      <c r="Z910" s="1" cm="1">
        <f t="array" ref="Z910">IF(D910&gt;DATE(2015,5,16),0,
K910*
(
INT((MIN(Y910,DATE(2015,5,16))-D910)/365)
+
CEILING(MOD((MIN(Y910,DATE(2015,5,16))-D910)/365,1),0.25)
)
*
_xlfn.SWITCH(J910,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10" s="1" cm="1">
        <f t="array" aca="1" ref="AA910" ca="1">IF(Y910&lt;DATE(2015,5,17),0,
K910*
(
INT((MIN(Y910,DATE(2018,9,23))-MAX(D910,DATE(2015,5,17)))/365)
+
CEILING(MOD((MIN(Y910,DATE(2018,9,23))-MAX(D910,DATE(2015,5,17)))/365,1),0.25)
)
*
_xlfn.SWITCH(J910,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10" s="1" cm="1">
        <f t="array" aca="1" ref="AB910" ca="1">IF(Y910&lt;DATE(2018,9,24),0,
IF(J910="زراعة",
K910*
(
INT((MIN(Y910,DATE(2023,4,30))-MAX(D910,DATE(2018,9,24)))/365)
+
CEILING(MOD((MIN(Y910,DATE(2023,4,30))-MAX(D910,DATE(2018,9,24)))/365,1),0.25)
)
*1,
K910*
(
DATEDIF(MAX(D910,DATE(2018,9,24)),MIN(Y910,DATE(2023,4,30)),"m")+1
)
*
_xlfn.SWITCH(J910,
"موقف/تندة",IF(D910&lt;DATE(2019,11,30),6,30),
"تشوينات",IF(D910&lt;DATE(2019,11,30),4,20),
"مشاتل",IF(D910&lt;DATE(2019,11,30),2,10),
"كافيتيريا",IF(D910&lt;DATE(2019,11,30),30,150),
"نوادي",IF(D910&lt;DATE(2019,11,30),6,30),
"رسو مراكب",IF(D910&lt;DATE(2019,11,30),2,10),
"مباني",IF(D910&lt;DATE(2018,9,24),2,10),
"عشش",IF(D910&lt;DATE(2019,11,30),2,10),
"كشك (تجاري/صناعي)",IF(D910&lt;DATE(2019,11,30),10,50),
"ردم",20,
0)))</f>
        <v>0</v>
      </c>
      <c r="AC910" s="1" cm="1">
        <f t="array" aca="1" ref="AC910" ca="1">IF(Y910&lt;DATE(2023,5,1),0,
IF(J910="زراعة",
K910*
(
INT((Y910-MAX(DATE(2023,5,1),D910))/365)
+
CEILING(MOD((Y910-MAX(DATE(2023,5,1),D910))/365,1),0.25)
)
*3,
IF(J910="ردم",
K910*20,
K910*
(
DATEDIF(MAX(DATE(2023,5,1),D910),Y910,"m")+1
)
*
_xlfn.SWITCH(J910,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10" s="1">
        <f t="shared" ca="1" si="95"/>
        <v>55</v>
      </c>
    </row>
    <row r="911" spans="1:30" ht="18.75" x14ac:dyDescent="0.25">
      <c r="A911" s="37">
        <v>846</v>
      </c>
      <c r="B911" s="63">
        <v>108</v>
      </c>
      <c r="C911" s="63">
        <v>2025</v>
      </c>
      <c r="D911" s="64" t="s">
        <v>972</v>
      </c>
      <c r="E911" s="11"/>
      <c r="F911" s="3"/>
      <c r="G911" s="70" t="s">
        <v>1068</v>
      </c>
      <c r="H911" s="3"/>
      <c r="I911" s="63" t="s">
        <v>50</v>
      </c>
      <c r="J911" s="3" t="s">
        <v>27</v>
      </c>
      <c r="K911" s="3"/>
      <c r="L911" s="3" t="s">
        <v>672</v>
      </c>
      <c r="M911" s="2"/>
      <c r="N911" s="3"/>
      <c r="O911" s="9">
        <f>0.47*Table2[[#This Row],[قيمة المحضر]]</f>
        <v>0</v>
      </c>
      <c r="P911" s="9">
        <f>0.17*Table2[[#This Row],[قيمة المحضر]]</f>
        <v>0</v>
      </c>
      <c r="Q911" s="9">
        <f t="shared" ca="1" si="96"/>
        <v>0</v>
      </c>
      <c r="R911" s="3"/>
      <c r="S911" s="3"/>
      <c r="T911" s="9" t="str">
        <f t="shared" si="97"/>
        <v>-</v>
      </c>
      <c r="U911" s="3"/>
      <c r="V911" s="9" t="str">
        <f t="shared" si="98"/>
        <v/>
      </c>
      <c r="W911" s="67"/>
      <c r="X911" s="88"/>
      <c r="Y911" s="1">
        <f t="shared" ca="1" si="94"/>
        <v>46162</v>
      </c>
      <c r="Z911" s="1" cm="1">
        <f t="array" ref="Z911">IF(D911&gt;DATE(2015,5,16),0,
K911*
(
INT((MIN(Y911,DATE(2015,5,16))-D911)/365)
+
CEILING(MOD((MIN(Y911,DATE(2015,5,16))-D911)/365,1),0.25)
)
*
_xlfn.SWITCH(J911,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11" s="1" cm="1">
        <f t="array" aca="1" ref="AA911" ca="1">IF(Y911&lt;DATE(2015,5,17),0,
K911*
(
INT((MIN(Y911,DATE(2018,9,23))-MAX(D911,DATE(2015,5,17)))/365)
+
CEILING(MOD((MIN(Y911,DATE(2018,9,23))-MAX(D911,DATE(2015,5,17)))/365,1),0.25)
)
*
_xlfn.SWITCH(J911,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11" s="1" cm="1">
        <f t="array" aca="1" ref="AB911" ca="1">IF(Y911&lt;DATE(2018,9,24),0,
IF(J911="زراعة",
K911*
(
INT((MIN(Y911,DATE(2023,4,30))-MAX(D911,DATE(2018,9,24)))/365)
+
CEILING(MOD((MIN(Y911,DATE(2023,4,30))-MAX(D911,DATE(2018,9,24)))/365,1),0.25)
)
*1,
K911*
(
DATEDIF(MAX(D911,DATE(2018,9,24)),MIN(Y911,DATE(2023,4,30)),"m")+1
)
*
_xlfn.SWITCH(J911,
"موقف/تندة",IF(D911&lt;DATE(2019,11,30),6,30),
"تشوينات",IF(D911&lt;DATE(2019,11,30),4,20),
"مشاتل",IF(D911&lt;DATE(2019,11,30),2,10),
"كافيتيريا",IF(D911&lt;DATE(2019,11,30),30,150),
"نوادي",IF(D911&lt;DATE(2019,11,30),6,30),
"رسو مراكب",IF(D911&lt;DATE(2019,11,30),2,10),
"مباني",IF(D911&lt;DATE(2018,9,24),2,10),
"عشش",IF(D911&lt;DATE(2019,11,30),2,10),
"كشك (تجاري/صناعي)",IF(D911&lt;DATE(2019,11,30),10,50),
"ردم",20,
0)))</f>
        <v>0</v>
      </c>
      <c r="AC911" s="1" cm="1">
        <f t="array" aca="1" ref="AC911" ca="1">IF(Y911&lt;DATE(2023,5,1),0,
IF(J911="زراعة",
K911*
(
INT((Y911-MAX(DATE(2023,5,1),D911))/365)
+
CEILING(MOD((Y911-MAX(DATE(2023,5,1),D911))/365,1),0.25)
)
*3,
IF(J911="ردم",
K911*20,
K911*
(
DATEDIF(MAX(DATE(2023,5,1),D911),Y911,"m")+1
)
*
_xlfn.SWITCH(J911,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11" s="1">
        <f t="shared" ca="1" si="95"/>
        <v>55</v>
      </c>
    </row>
    <row r="912" spans="1:30" ht="18.75" x14ac:dyDescent="0.25">
      <c r="A912" s="37">
        <v>847</v>
      </c>
      <c r="B912" s="63">
        <v>109</v>
      </c>
      <c r="C912" s="63">
        <v>2025</v>
      </c>
      <c r="D912" s="64" t="s">
        <v>972</v>
      </c>
      <c r="E912" s="11"/>
      <c r="F912" s="3"/>
      <c r="G912" s="63" t="s">
        <v>1042</v>
      </c>
      <c r="H912" s="3"/>
      <c r="I912" s="63" t="s">
        <v>50</v>
      </c>
      <c r="J912" s="3" t="s">
        <v>27</v>
      </c>
      <c r="K912" s="3"/>
      <c r="L912" s="3" t="s">
        <v>672</v>
      </c>
      <c r="M912" s="2"/>
      <c r="N912" s="3"/>
      <c r="O912" s="9">
        <f>0.47*Table2[[#This Row],[قيمة المحضر]]</f>
        <v>0</v>
      </c>
      <c r="P912" s="9">
        <f>0.17*Table2[[#This Row],[قيمة المحضر]]</f>
        <v>0</v>
      </c>
      <c r="Q912" s="9">
        <f t="shared" ca="1" si="96"/>
        <v>0</v>
      </c>
      <c r="R912" s="3"/>
      <c r="S912" s="3"/>
      <c r="T912" s="9" t="str">
        <f t="shared" si="97"/>
        <v>-</v>
      </c>
      <c r="U912" s="3"/>
      <c r="V912" s="9" t="str">
        <f t="shared" si="98"/>
        <v/>
      </c>
      <c r="W912" s="67"/>
      <c r="X912" s="88"/>
      <c r="Y912" s="1">
        <f t="shared" ca="1" si="94"/>
        <v>46162</v>
      </c>
      <c r="Z912" s="1" cm="1">
        <f t="array" ref="Z912">IF(D912&gt;DATE(2015,5,16),0,
K912*
(
INT((MIN(Y912,DATE(2015,5,16))-D912)/365)
+
CEILING(MOD((MIN(Y912,DATE(2015,5,16))-D912)/365,1),0.25)
)
*
_xlfn.SWITCH(J912,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12" s="1" cm="1">
        <f t="array" aca="1" ref="AA912" ca="1">IF(Y912&lt;DATE(2015,5,17),0,
K912*
(
INT((MIN(Y912,DATE(2018,9,23))-MAX(D912,DATE(2015,5,17)))/365)
+
CEILING(MOD((MIN(Y912,DATE(2018,9,23))-MAX(D912,DATE(2015,5,17)))/365,1),0.25)
)
*
_xlfn.SWITCH(J912,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12" s="1" cm="1">
        <f t="array" aca="1" ref="AB912" ca="1">IF(Y912&lt;DATE(2018,9,24),0,
IF(J912="زراعة",
K912*
(
INT((MIN(Y912,DATE(2023,4,30))-MAX(D912,DATE(2018,9,24)))/365)
+
CEILING(MOD((MIN(Y912,DATE(2023,4,30))-MAX(D912,DATE(2018,9,24)))/365,1),0.25)
)
*1,
K912*
(
DATEDIF(MAX(D912,DATE(2018,9,24)),MIN(Y912,DATE(2023,4,30)),"m")+1
)
*
_xlfn.SWITCH(J912,
"موقف/تندة",IF(D912&lt;DATE(2019,11,30),6,30),
"تشوينات",IF(D912&lt;DATE(2019,11,30),4,20),
"مشاتل",IF(D912&lt;DATE(2019,11,30),2,10),
"كافيتيريا",IF(D912&lt;DATE(2019,11,30),30,150),
"نوادي",IF(D912&lt;DATE(2019,11,30),6,30),
"رسو مراكب",IF(D912&lt;DATE(2019,11,30),2,10),
"مباني",IF(D912&lt;DATE(2018,9,24),2,10),
"عشش",IF(D912&lt;DATE(2019,11,30),2,10),
"كشك (تجاري/صناعي)",IF(D912&lt;DATE(2019,11,30),10,50),
"ردم",20,
0)))</f>
        <v>0</v>
      </c>
      <c r="AC912" s="1" cm="1">
        <f t="array" aca="1" ref="AC912" ca="1">IF(Y912&lt;DATE(2023,5,1),0,
IF(J912="زراعة",
K912*
(
INT((Y912-MAX(DATE(2023,5,1),D912))/365)
+
CEILING(MOD((Y912-MAX(DATE(2023,5,1),D912))/365,1),0.25)
)
*3,
IF(J912="ردم",
K912*20,
K912*
(
DATEDIF(MAX(DATE(2023,5,1),D912),Y912,"m")+1
)
*
_xlfn.SWITCH(J912,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12" s="1">
        <f t="shared" ca="1" si="95"/>
        <v>55</v>
      </c>
    </row>
    <row r="913" spans="1:30" ht="18.75" x14ac:dyDescent="0.25">
      <c r="A913" s="37">
        <v>848</v>
      </c>
      <c r="B913" s="63">
        <v>110</v>
      </c>
      <c r="C913" s="63">
        <v>2025</v>
      </c>
      <c r="D913" s="64" t="s">
        <v>972</v>
      </c>
      <c r="E913" s="11"/>
      <c r="F913" s="3"/>
      <c r="G913" s="70" t="s">
        <v>1068</v>
      </c>
      <c r="H913" s="3"/>
      <c r="I913" s="63" t="s">
        <v>50</v>
      </c>
      <c r="J913" s="3" t="s">
        <v>27</v>
      </c>
      <c r="K913" s="3"/>
      <c r="L913" s="3" t="s">
        <v>672</v>
      </c>
      <c r="M913" s="2"/>
      <c r="N913" s="3"/>
      <c r="O913" s="9">
        <f>0.47*Table2[[#This Row],[قيمة المحضر]]</f>
        <v>0</v>
      </c>
      <c r="P913" s="9">
        <f>0.17*Table2[[#This Row],[قيمة المحضر]]</f>
        <v>0</v>
      </c>
      <c r="Q913" s="9">
        <f t="shared" ca="1" si="96"/>
        <v>0</v>
      </c>
      <c r="R913" s="3"/>
      <c r="S913" s="3"/>
      <c r="T913" s="9" t="str">
        <f t="shared" si="97"/>
        <v>-</v>
      </c>
      <c r="U913" s="3"/>
      <c r="V913" s="9" t="str">
        <f t="shared" si="98"/>
        <v/>
      </c>
      <c r="W913" s="67"/>
      <c r="X913" s="88"/>
      <c r="Y913" s="1">
        <f t="shared" ca="1" si="94"/>
        <v>46162</v>
      </c>
      <c r="Z913" s="1" cm="1">
        <f t="array" ref="Z913">IF(D913&gt;DATE(2015,5,16),0,
K913*
(
INT((MIN(Y913,DATE(2015,5,16))-D913)/365)
+
CEILING(MOD((MIN(Y913,DATE(2015,5,16))-D913)/365,1),0.25)
)
*
_xlfn.SWITCH(J913,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13" s="1" cm="1">
        <f t="array" aca="1" ref="AA913" ca="1">IF(Y913&lt;DATE(2015,5,17),0,
K913*
(
INT((MIN(Y913,DATE(2018,9,23))-MAX(D913,DATE(2015,5,17)))/365)
+
CEILING(MOD((MIN(Y913,DATE(2018,9,23))-MAX(D913,DATE(2015,5,17)))/365,1),0.25)
)
*
_xlfn.SWITCH(J913,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13" s="1" cm="1">
        <f t="array" aca="1" ref="AB913" ca="1">IF(Y913&lt;DATE(2018,9,24),0,
IF(J913="زراعة",
K913*
(
INT((MIN(Y913,DATE(2023,4,30))-MAX(D913,DATE(2018,9,24)))/365)
+
CEILING(MOD((MIN(Y913,DATE(2023,4,30))-MAX(D913,DATE(2018,9,24)))/365,1),0.25)
)
*1,
K913*
(
DATEDIF(MAX(D913,DATE(2018,9,24)),MIN(Y913,DATE(2023,4,30)),"m")+1
)
*
_xlfn.SWITCH(J913,
"موقف/تندة",IF(D913&lt;DATE(2019,11,30),6,30),
"تشوينات",IF(D913&lt;DATE(2019,11,30),4,20),
"مشاتل",IF(D913&lt;DATE(2019,11,30),2,10),
"كافيتيريا",IF(D913&lt;DATE(2019,11,30),30,150),
"نوادي",IF(D913&lt;DATE(2019,11,30),6,30),
"رسو مراكب",IF(D913&lt;DATE(2019,11,30),2,10),
"مباني",IF(D913&lt;DATE(2018,9,24),2,10),
"عشش",IF(D913&lt;DATE(2019,11,30),2,10),
"كشك (تجاري/صناعي)",IF(D913&lt;DATE(2019,11,30),10,50),
"ردم",20,
0)))</f>
        <v>0</v>
      </c>
      <c r="AC913" s="1" cm="1">
        <f t="array" aca="1" ref="AC913" ca="1">IF(Y913&lt;DATE(2023,5,1),0,
IF(J913="زراعة",
K913*
(
INT((Y913-MAX(DATE(2023,5,1),D913))/365)
+
CEILING(MOD((Y913-MAX(DATE(2023,5,1),D913))/365,1),0.25)
)
*3,
IF(J913="ردم",
K913*20,
K913*
(
DATEDIF(MAX(DATE(2023,5,1),D913),Y913,"m")+1
)
*
_xlfn.SWITCH(J913,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13" s="1">
        <f t="shared" ca="1" si="95"/>
        <v>55</v>
      </c>
    </row>
    <row r="914" spans="1:30" ht="18.75" x14ac:dyDescent="0.25">
      <c r="A914" s="37">
        <v>849</v>
      </c>
      <c r="B914" s="63">
        <v>111</v>
      </c>
      <c r="C914" s="63">
        <v>2025</v>
      </c>
      <c r="D914" s="64" t="s">
        <v>972</v>
      </c>
      <c r="E914" s="11"/>
      <c r="F914" s="3"/>
      <c r="G914" s="63" t="s">
        <v>1069</v>
      </c>
      <c r="H914" s="3"/>
      <c r="I914" s="63" t="s">
        <v>50</v>
      </c>
      <c r="J914" s="3" t="s">
        <v>27</v>
      </c>
      <c r="K914" s="3"/>
      <c r="L914" s="3" t="s">
        <v>672</v>
      </c>
      <c r="M914" s="2"/>
      <c r="N914" s="3"/>
      <c r="O914" s="9">
        <f>0.47*Table2[[#This Row],[قيمة المحضر]]</f>
        <v>0</v>
      </c>
      <c r="P914" s="9">
        <f>0.17*Table2[[#This Row],[قيمة المحضر]]</f>
        <v>0</v>
      </c>
      <c r="Q914" s="9">
        <f t="shared" ca="1" si="96"/>
        <v>0</v>
      </c>
      <c r="R914" s="3"/>
      <c r="S914" s="3"/>
      <c r="T914" s="9" t="str">
        <f t="shared" si="97"/>
        <v>-</v>
      </c>
      <c r="U914" s="3"/>
      <c r="V914" s="9" t="str">
        <f t="shared" si="98"/>
        <v/>
      </c>
      <c r="W914" s="67"/>
      <c r="X914" s="88"/>
      <c r="Y914" s="1">
        <f t="shared" ca="1" si="94"/>
        <v>46162</v>
      </c>
      <c r="Z914" s="1" cm="1">
        <f t="array" ref="Z914">IF(D914&gt;DATE(2015,5,16),0,
K914*
(
INT((MIN(Y914,DATE(2015,5,16))-D914)/365)
+
CEILING(MOD((MIN(Y914,DATE(2015,5,16))-D914)/365,1),0.25)
)
*
_xlfn.SWITCH(J914,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14" s="1" cm="1">
        <f t="array" aca="1" ref="AA914" ca="1">IF(Y914&lt;DATE(2015,5,17),0,
K914*
(
INT((MIN(Y914,DATE(2018,9,23))-MAX(D914,DATE(2015,5,17)))/365)
+
CEILING(MOD((MIN(Y914,DATE(2018,9,23))-MAX(D914,DATE(2015,5,17)))/365,1),0.25)
)
*
_xlfn.SWITCH(J914,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14" s="1" cm="1">
        <f t="array" aca="1" ref="AB914" ca="1">IF(Y914&lt;DATE(2018,9,24),0,
IF(J914="زراعة",
K914*
(
INT((MIN(Y914,DATE(2023,4,30))-MAX(D914,DATE(2018,9,24)))/365)
+
CEILING(MOD((MIN(Y914,DATE(2023,4,30))-MAX(D914,DATE(2018,9,24)))/365,1),0.25)
)
*1,
K914*
(
DATEDIF(MAX(D914,DATE(2018,9,24)),MIN(Y914,DATE(2023,4,30)),"m")+1
)
*
_xlfn.SWITCH(J914,
"موقف/تندة",IF(D914&lt;DATE(2019,11,30),6,30),
"تشوينات",IF(D914&lt;DATE(2019,11,30),4,20),
"مشاتل",IF(D914&lt;DATE(2019,11,30),2,10),
"كافيتيريا",IF(D914&lt;DATE(2019,11,30),30,150),
"نوادي",IF(D914&lt;DATE(2019,11,30),6,30),
"رسو مراكب",IF(D914&lt;DATE(2019,11,30),2,10),
"مباني",IF(D914&lt;DATE(2018,9,24),2,10),
"عشش",IF(D914&lt;DATE(2019,11,30),2,10),
"كشك (تجاري/صناعي)",IF(D914&lt;DATE(2019,11,30),10,50),
"ردم",20,
0)))</f>
        <v>0</v>
      </c>
      <c r="AC914" s="1" cm="1">
        <f t="array" aca="1" ref="AC914" ca="1">IF(Y914&lt;DATE(2023,5,1),0,
IF(J914="زراعة",
K914*
(
INT((Y914-MAX(DATE(2023,5,1),D914))/365)
+
CEILING(MOD((Y914-MAX(DATE(2023,5,1),D914))/365,1),0.25)
)
*3,
IF(J914="ردم",
K914*20,
K914*
(
DATEDIF(MAX(DATE(2023,5,1),D914),Y914,"m")+1
)
*
_xlfn.SWITCH(J914,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14" s="1">
        <f t="shared" ca="1" si="95"/>
        <v>55</v>
      </c>
    </row>
    <row r="915" spans="1:30" ht="18.75" x14ac:dyDescent="0.25">
      <c r="A915" s="37">
        <v>850</v>
      </c>
      <c r="B915" s="63">
        <v>112</v>
      </c>
      <c r="C915" s="63">
        <v>2025</v>
      </c>
      <c r="D915" s="64" t="s">
        <v>972</v>
      </c>
      <c r="E915" s="11"/>
      <c r="F915" s="3"/>
      <c r="G915" s="63" t="s">
        <v>1070</v>
      </c>
      <c r="H915" s="3"/>
      <c r="I915" s="63" t="s">
        <v>50</v>
      </c>
      <c r="J915" s="3" t="s">
        <v>27</v>
      </c>
      <c r="K915" s="3"/>
      <c r="L915" s="3" t="s">
        <v>672</v>
      </c>
      <c r="M915" s="2"/>
      <c r="N915" s="3"/>
      <c r="O915" s="9">
        <f>0.47*Table2[[#This Row],[قيمة المحضر]]</f>
        <v>0</v>
      </c>
      <c r="P915" s="9">
        <f>0.17*Table2[[#This Row],[قيمة المحضر]]</f>
        <v>0</v>
      </c>
      <c r="Q915" s="9">
        <f t="shared" ca="1" si="96"/>
        <v>0</v>
      </c>
      <c r="R915" s="3"/>
      <c r="S915" s="3"/>
      <c r="T915" s="9" t="str">
        <f t="shared" si="97"/>
        <v>-</v>
      </c>
      <c r="U915" s="3"/>
      <c r="V915" s="9" t="str">
        <f t="shared" si="98"/>
        <v/>
      </c>
      <c r="W915" s="67"/>
      <c r="X915" s="88"/>
      <c r="Y915" s="1">
        <f t="shared" ca="1" si="94"/>
        <v>46162</v>
      </c>
      <c r="Z915" s="1" cm="1">
        <f t="array" ref="Z915">IF(D915&gt;DATE(2015,5,16),0,
K915*
(
INT((MIN(Y915,DATE(2015,5,16))-D915)/365)
+
CEILING(MOD((MIN(Y915,DATE(2015,5,16))-D915)/365,1),0.25)
)
*
_xlfn.SWITCH(J915,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15" s="1" cm="1">
        <f t="array" aca="1" ref="AA915" ca="1">IF(Y915&lt;DATE(2015,5,17),0,
K915*
(
INT((MIN(Y915,DATE(2018,9,23))-MAX(D915,DATE(2015,5,17)))/365)
+
CEILING(MOD((MIN(Y915,DATE(2018,9,23))-MAX(D915,DATE(2015,5,17)))/365,1),0.25)
)
*
_xlfn.SWITCH(J915,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15" s="1" cm="1">
        <f t="array" aca="1" ref="AB915" ca="1">IF(Y915&lt;DATE(2018,9,24),0,
IF(J915="زراعة",
K915*
(
INT((MIN(Y915,DATE(2023,4,30))-MAX(D915,DATE(2018,9,24)))/365)
+
CEILING(MOD((MIN(Y915,DATE(2023,4,30))-MAX(D915,DATE(2018,9,24)))/365,1),0.25)
)
*1,
K915*
(
DATEDIF(MAX(D915,DATE(2018,9,24)),MIN(Y915,DATE(2023,4,30)),"m")+1
)
*
_xlfn.SWITCH(J915,
"موقف/تندة",IF(D915&lt;DATE(2019,11,30),6,30),
"تشوينات",IF(D915&lt;DATE(2019,11,30),4,20),
"مشاتل",IF(D915&lt;DATE(2019,11,30),2,10),
"كافيتيريا",IF(D915&lt;DATE(2019,11,30),30,150),
"نوادي",IF(D915&lt;DATE(2019,11,30),6,30),
"رسو مراكب",IF(D915&lt;DATE(2019,11,30),2,10),
"مباني",IF(D915&lt;DATE(2018,9,24),2,10),
"عشش",IF(D915&lt;DATE(2019,11,30),2,10),
"كشك (تجاري/صناعي)",IF(D915&lt;DATE(2019,11,30),10,50),
"ردم",20,
0)))</f>
        <v>0</v>
      </c>
      <c r="AC915" s="1" cm="1">
        <f t="array" aca="1" ref="AC915" ca="1">IF(Y915&lt;DATE(2023,5,1),0,
IF(J915="زراعة",
K915*
(
INT((Y915-MAX(DATE(2023,5,1),D915))/365)
+
CEILING(MOD((Y915-MAX(DATE(2023,5,1),D915))/365,1),0.25)
)
*3,
IF(J915="ردم",
K915*20,
K915*
(
DATEDIF(MAX(DATE(2023,5,1),D915),Y915,"m")+1
)
*
_xlfn.SWITCH(J915,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15" s="1">
        <f t="shared" ca="1" si="95"/>
        <v>55</v>
      </c>
    </row>
    <row r="916" spans="1:30" ht="18.75" x14ac:dyDescent="0.25">
      <c r="A916" s="37">
        <v>851</v>
      </c>
      <c r="B916" s="63">
        <v>113</v>
      </c>
      <c r="C916" s="63">
        <v>2025</v>
      </c>
      <c r="D916" s="64" t="s">
        <v>972</v>
      </c>
      <c r="E916" s="11"/>
      <c r="F916" s="3"/>
      <c r="G916" s="63" t="s">
        <v>1048</v>
      </c>
      <c r="H916" s="3"/>
      <c r="I916" s="63" t="s">
        <v>50</v>
      </c>
      <c r="J916" s="3" t="s">
        <v>27</v>
      </c>
      <c r="K916" s="3"/>
      <c r="L916" s="3" t="s">
        <v>672</v>
      </c>
      <c r="M916" s="2"/>
      <c r="N916" s="3"/>
      <c r="O916" s="9">
        <f>0.47*Table2[[#This Row],[قيمة المحضر]]</f>
        <v>0</v>
      </c>
      <c r="P916" s="9">
        <f>0.17*Table2[[#This Row],[قيمة المحضر]]</f>
        <v>0</v>
      </c>
      <c r="Q916" s="9">
        <f t="shared" ca="1" si="96"/>
        <v>0</v>
      </c>
      <c r="R916" s="3"/>
      <c r="S916" s="3"/>
      <c r="T916" s="9" t="str">
        <f t="shared" si="97"/>
        <v>-</v>
      </c>
      <c r="U916" s="3"/>
      <c r="V916" s="9" t="str">
        <f t="shared" si="98"/>
        <v/>
      </c>
      <c r="W916" s="67"/>
      <c r="X916" s="88"/>
      <c r="Y916" s="1">
        <f t="shared" ca="1" si="94"/>
        <v>46162</v>
      </c>
      <c r="Z916" s="1" cm="1">
        <f t="array" ref="Z916">IF(D916&gt;DATE(2015,5,16),0,
K916*
(
INT((MIN(Y916,DATE(2015,5,16))-D916)/365)
+
CEILING(MOD((MIN(Y916,DATE(2015,5,16))-D916)/365,1),0.25)
)
*
_xlfn.SWITCH(J916,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16" s="1" cm="1">
        <f t="array" aca="1" ref="AA916" ca="1">IF(Y916&lt;DATE(2015,5,17),0,
K916*
(
INT((MIN(Y916,DATE(2018,9,23))-MAX(D916,DATE(2015,5,17)))/365)
+
CEILING(MOD((MIN(Y916,DATE(2018,9,23))-MAX(D916,DATE(2015,5,17)))/365,1),0.25)
)
*
_xlfn.SWITCH(J916,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16" s="1" cm="1">
        <f t="array" aca="1" ref="AB916" ca="1">IF(Y916&lt;DATE(2018,9,24),0,
IF(J916="زراعة",
K916*
(
INT((MIN(Y916,DATE(2023,4,30))-MAX(D916,DATE(2018,9,24)))/365)
+
CEILING(MOD((MIN(Y916,DATE(2023,4,30))-MAX(D916,DATE(2018,9,24)))/365,1),0.25)
)
*1,
K916*
(
DATEDIF(MAX(D916,DATE(2018,9,24)),MIN(Y916,DATE(2023,4,30)),"m")+1
)
*
_xlfn.SWITCH(J916,
"موقف/تندة",IF(D916&lt;DATE(2019,11,30),6,30),
"تشوينات",IF(D916&lt;DATE(2019,11,30),4,20),
"مشاتل",IF(D916&lt;DATE(2019,11,30),2,10),
"كافيتيريا",IF(D916&lt;DATE(2019,11,30),30,150),
"نوادي",IF(D916&lt;DATE(2019,11,30),6,30),
"رسو مراكب",IF(D916&lt;DATE(2019,11,30),2,10),
"مباني",IF(D916&lt;DATE(2018,9,24),2,10),
"عشش",IF(D916&lt;DATE(2019,11,30),2,10),
"كشك (تجاري/صناعي)",IF(D916&lt;DATE(2019,11,30),10,50),
"ردم",20,
0)))</f>
        <v>0</v>
      </c>
      <c r="AC916" s="1" cm="1">
        <f t="array" aca="1" ref="AC916" ca="1">IF(Y916&lt;DATE(2023,5,1),0,
IF(J916="زراعة",
K916*
(
INT((Y916-MAX(DATE(2023,5,1),D916))/365)
+
CEILING(MOD((Y916-MAX(DATE(2023,5,1),D916))/365,1),0.25)
)
*3,
IF(J916="ردم",
K916*20,
K916*
(
DATEDIF(MAX(DATE(2023,5,1),D916),Y916,"m")+1
)
*
_xlfn.SWITCH(J916,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16" s="1">
        <f t="shared" ca="1" si="95"/>
        <v>55</v>
      </c>
    </row>
    <row r="917" spans="1:30" ht="18.75" x14ac:dyDescent="0.25">
      <c r="A917" s="37">
        <v>852</v>
      </c>
      <c r="B917" s="63">
        <v>114</v>
      </c>
      <c r="C917" s="63">
        <v>2025</v>
      </c>
      <c r="D917" s="64" t="s">
        <v>972</v>
      </c>
      <c r="E917" s="11"/>
      <c r="F917" s="3"/>
      <c r="G917" s="63" t="s">
        <v>1071</v>
      </c>
      <c r="H917" s="3"/>
      <c r="I917" s="63" t="s">
        <v>50</v>
      </c>
      <c r="J917" s="3" t="s">
        <v>27</v>
      </c>
      <c r="K917" s="3"/>
      <c r="L917" s="3" t="s">
        <v>672</v>
      </c>
      <c r="M917" s="2"/>
      <c r="N917" s="3"/>
      <c r="O917" s="9">
        <f>0.47*Table2[[#This Row],[قيمة المحضر]]</f>
        <v>0</v>
      </c>
      <c r="P917" s="9">
        <f>0.17*Table2[[#This Row],[قيمة المحضر]]</f>
        <v>0</v>
      </c>
      <c r="Q917" s="9">
        <f t="shared" ca="1" si="96"/>
        <v>0</v>
      </c>
      <c r="R917" s="3"/>
      <c r="S917" s="3"/>
      <c r="T917" s="9" t="str">
        <f t="shared" si="97"/>
        <v>-</v>
      </c>
      <c r="U917" s="3"/>
      <c r="V917" s="9" t="str">
        <f t="shared" si="98"/>
        <v/>
      </c>
      <c r="W917" s="67"/>
      <c r="X917" s="88"/>
      <c r="Y917" s="1">
        <f t="shared" ca="1" si="94"/>
        <v>46162</v>
      </c>
      <c r="Z917" s="1" cm="1">
        <f t="array" ref="Z917">IF(D917&gt;DATE(2015,5,16),0,
K917*
(
INT((MIN(Y917,DATE(2015,5,16))-D917)/365)
+
CEILING(MOD((MIN(Y917,DATE(2015,5,16))-D917)/365,1),0.25)
)
*
_xlfn.SWITCH(J917,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17" s="1" cm="1">
        <f t="array" aca="1" ref="AA917" ca="1">IF(Y917&lt;DATE(2015,5,17),0,
K917*
(
INT((MIN(Y917,DATE(2018,9,23))-MAX(D917,DATE(2015,5,17)))/365)
+
CEILING(MOD((MIN(Y917,DATE(2018,9,23))-MAX(D917,DATE(2015,5,17)))/365,1),0.25)
)
*
_xlfn.SWITCH(J917,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17" s="1" cm="1">
        <f t="array" aca="1" ref="AB917" ca="1">IF(Y917&lt;DATE(2018,9,24),0,
IF(J917="زراعة",
K917*
(
INT((MIN(Y917,DATE(2023,4,30))-MAX(D917,DATE(2018,9,24)))/365)
+
CEILING(MOD((MIN(Y917,DATE(2023,4,30))-MAX(D917,DATE(2018,9,24)))/365,1),0.25)
)
*1,
K917*
(
DATEDIF(MAX(D917,DATE(2018,9,24)),MIN(Y917,DATE(2023,4,30)),"m")+1
)
*
_xlfn.SWITCH(J917,
"موقف/تندة",IF(D917&lt;DATE(2019,11,30),6,30),
"تشوينات",IF(D917&lt;DATE(2019,11,30),4,20),
"مشاتل",IF(D917&lt;DATE(2019,11,30),2,10),
"كافيتيريا",IF(D917&lt;DATE(2019,11,30),30,150),
"نوادي",IF(D917&lt;DATE(2019,11,30),6,30),
"رسو مراكب",IF(D917&lt;DATE(2019,11,30),2,10),
"مباني",IF(D917&lt;DATE(2018,9,24),2,10),
"عشش",IF(D917&lt;DATE(2019,11,30),2,10),
"كشك (تجاري/صناعي)",IF(D917&lt;DATE(2019,11,30),10,50),
"ردم",20,
0)))</f>
        <v>0</v>
      </c>
      <c r="AC917" s="1" cm="1">
        <f t="array" aca="1" ref="AC917" ca="1">IF(Y917&lt;DATE(2023,5,1),0,
IF(J917="زراعة",
K917*
(
INT((Y917-MAX(DATE(2023,5,1),D917))/365)
+
CEILING(MOD((Y917-MAX(DATE(2023,5,1),D917))/365,1),0.25)
)
*3,
IF(J917="ردم",
K917*20,
K917*
(
DATEDIF(MAX(DATE(2023,5,1),D917),Y917,"m")+1
)
*
_xlfn.SWITCH(J917,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17" s="1">
        <f t="shared" ca="1" si="95"/>
        <v>55</v>
      </c>
    </row>
    <row r="918" spans="1:30" ht="18.75" x14ac:dyDescent="0.25">
      <c r="A918" s="37">
        <v>853</v>
      </c>
      <c r="B918" s="63">
        <v>115</v>
      </c>
      <c r="C918" s="63">
        <v>2025</v>
      </c>
      <c r="D918" s="64" t="s">
        <v>972</v>
      </c>
      <c r="E918" s="11"/>
      <c r="F918" s="3"/>
      <c r="G918" s="63" t="s">
        <v>1036</v>
      </c>
      <c r="H918" s="3"/>
      <c r="I918" s="63" t="s">
        <v>50</v>
      </c>
      <c r="J918" s="3" t="s">
        <v>27</v>
      </c>
      <c r="K918" s="3"/>
      <c r="L918" s="3" t="s">
        <v>672</v>
      </c>
      <c r="M918" s="2"/>
      <c r="N918" s="3"/>
      <c r="O918" s="9">
        <f>0.47*Table2[[#This Row],[قيمة المحضر]]</f>
        <v>0</v>
      </c>
      <c r="P918" s="9">
        <f>0.17*Table2[[#This Row],[قيمة المحضر]]</f>
        <v>0</v>
      </c>
      <c r="Q918" s="9">
        <f t="shared" ca="1" si="96"/>
        <v>0</v>
      </c>
      <c r="R918" s="3"/>
      <c r="S918" s="3"/>
      <c r="T918" s="9" t="str">
        <f t="shared" si="97"/>
        <v>-</v>
      </c>
      <c r="U918" s="3"/>
      <c r="V918" s="9" t="str">
        <f t="shared" si="98"/>
        <v/>
      </c>
      <c r="W918" s="67"/>
      <c r="X918" s="88"/>
      <c r="Y918" s="1">
        <f t="shared" ca="1" si="94"/>
        <v>46162</v>
      </c>
      <c r="Z918" s="1" cm="1">
        <f t="array" ref="Z918">IF(D918&gt;DATE(2015,5,16),0,
K918*
(
INT((MIN(Y918,DATE(2015,5,16))-D918)/365)
+
CEILING(MOD((MIN(Y918,DATE(2015,5,16))-D918)/365,1),0.25)
)
*
_xlfn.SWITCH(J918,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18" s="1" cm="1">
        <f t="array" aca="1" ref="AA918" ca="1">IF(Y918&lt;DATE(2015,5,17),0,
K918*
(
INT((MIN(Y918,DATE(2018,9,23))-MAX(D918,DATE(2015,5,17)))/365)
+
CEILING(MOD((MIN(Y918,DATE(2018,9,23))-MAX(D918,DATE(2015,5,17)))/365,1),0.25)
)
*
_xlfn.SWITCH(J918,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18" s="1" cm="1">
        <f t="array" aca="1" ref="AB918" ca="1">IF(Y918&lt;DATE(2018,9,24),0,
IF(J918="زراعة",
K918*
(
INT((MIN(Y918,DATE(2023,4,30))-MAX(D918,DATE(2018,9,24)))/365)
+
CEILING(MOD((MIN(Y918,DATE(2023,4,30))-MAX(D918,DATE(2018,9,24)))/365,1),0.25)
)
*1,
K918*
(
DATEDIF(MAX(D918,DATE(2018,9,24)),MIN(Y918,DATE(2023,4,30)),"m")+1
)
*
_xlfn.SWITCH(J918,
"موقف/تندة",IF(D918&lt;DATE(2019,11,30),6,30),
"تشوينات",IF(D918&lt;DATE(2019,11,30),4,20),
"مشاتل",IF(D918&lt;DATE(2019,11,30),2,10),
"كافيتيريا",IF(D918&lt;DATE(2019,11,30),30,150),
"نوادي",IF(D918&lt;DATE(2019,11,30),6,30),
"رسو مراكب",IF(D918&lt;DATE(2019,11,30),2,10),
"مباني",IF(D918&lt;DATE(2018,9,24),2,10),
"عشش",IF(D918&lt;DATE(2019,11,30),2,10),
"كشك (تجاري/صناعي)",IF(D918&lt;DATE(2019,11,30),10,50),
"ردم",20,
0)))</f>
        <v>0</v>
      </c>
      <c r="AC918" s="1" cm="1">
        <f t="array" aca="1" ref="AC918" ca="1">IF(Y918&lt;DATE(2023,5,1),0,
IF(J918="زراعة",
K918*
(
INT((Y918-MAX(DATE(2023,5,1),D918))/365)
+
CEILING(MOD((Y918-MAX(DATE(2023,5,1),D918))/365,1),0.25)
)
*3,
IF(J918="ردم",
K918*20,
K918*
(
DATEDIF(MAX(DATE(2023,5,1),D918),Y918,"m")+1
)
*
_xlfn.SWITCH(J918,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18" s="1">
        <f t="shared" ca="1" si="95"/>
        <v>55</v>
      </c>
    </row>
    <row r="919" spans="1:30" ht="18.75" x14ac:dyDescent="0.25">
      <c r="A919" s="37">
        <v>854</v>
      </c>
      <c r="B919" s="63">
        <v>116</v>
      </c>
      <c r="C919" s="63">
        <v>2025</v>
      </c>
      <c r="D919" s="64" t="s">
        <v>972</v>
      </c>
      <c r="E919" s="11"/>
      <c r="F919" s="3"/>
      <c r="G919" s="63" t="s">
        <v>1072</v>
      </c>
      <c r="H919" s="3"/>
      <c r="I919" s="63" t="s">
        <v>50</v>
      </c>
      <c r="J919" s="3" t="s">
        <v>27</v>
      </c>
      <c r="K919" s="3"/>
      <c r="L919" s="3" t="s">
        <v>672</v>
      </c>
      <c r="M919" s="2"/>
      <c r="N919" s="3"/>
      <c r="O919" s="9">
        <f>0.47*Table2[[#This Row],[قيمة المحضر]]</f>
        <v>0</v>
      </c>
      <c r="P919" s="9">
        <f>0.17*Table2[[#This Row],[قيمة المحضر]]</f>
        <v>0</v>
      </c>
      <c r="Q919" s="9">
        <f t="shared" ca="1" si="96"/>
        <v>0</v>
      </c>
      <c r="R919" s="3"/>
      <c r="S919" s="3"/>
      <c r="T919" s="9" t="str">
        <f t="shared" si="97"/>
        <v>-</v>
      </c>
      <c r="U919" s="3"/>
      <c r="V919" s="9" t="str">
        <f t="shared" si="98"/>
        <v/>
      </c>
      <c r="W919" s="67"/>
      <c r="X919" s="88"/>
      <c r="Y919" s="1">
        <f t="shared" ca="1" si="94"/>
        <v>46162</v>
      </c>
      <c r="Z919" s="1" cm="1">
        <f t="array" ref="Z919">IF(D919&gt;DATE(2015,5,16),0,
K919*
(
INT((MIN(Y919,DATE(2015,5,16))-D919)/365)
+
CEILING(MOD((MIN(Y919,DATE(2015,5,16))-D919)/365,1),0.25)
)
*
_xlfn.SWITCH(J919,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19" s="1" cm="1">
        <f t="array" aca="1" ref="AA919" ca="1">IF(Y919&lt;DATE(2015,5,17),0,
K919*
(
INT((MIN(Y919,DATE(2018,9,23))-MAX(D919,DATE(2015,5,17)))/365)
+
CEILING(MOD((MIN(Y919,DATE(2018,9,23))-MAX(D919,DATE(2015,5,17)))/365,1),0.25)
)
*
_xlfn.SWITCH(J919,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19" s="1" cm="1">
        <f t="array" aca="1" ref="AB919" ca="1">IF(Y919&lt;DATE(2018,9,24),0,
IF(J919="زراعة",
K919*
(
INT((MIN(Y919,DATE(2023,4,30))-MAX(D919,DATE(2018,9,24)))/365)
+
CEILING(MOD((MIN(Y919,DATE(2023,4,30))-MAX(D919,DATE(2018,9,24)))/365,1),0.25)
)
*1,
K919*
(
DATEDIF(MAX(D919,DATE(2018,9,24)),MIN(Y919,DATE(2023,4,30)),"m")+1
)
*
_xlfn.SWITCH(J919,
"موقف/تندة",IF(D919&lt;DATE(2019,11,30),6,30),
"تشوينات",IF(D919&lt;DATE(2019,11,30),4,20),
"مشاتل",IF(D919&lt;DATE(2019,11,30),2,10),
"كافيتيريا",IF(D919&lt;DATE(2019,11,30),30,150),
"نوادي",IF(D919&lt;DATE(2019,11,30),6,30),
"رسو مراكب",IF(D919&lt;DATE(2019,11,30),2,10),
"مباني",IF(D919&lt;DATE(2018,9,24),2,10),
"عشش",IF(D919&lt;DATE(2019,11,30),2,10),
"كشك (تجاري/صناعي)",IF(D919&lt;DATE(2019,11,30),10,50),
"ردم",20,
0)))</f>
        <v>0</v>
      </c>
      <c r="AC919" s="1" cm="1">
        <f t="array" aca="1" ref="AC919" ca="1">IF(Y919&lt;DATE(2023,5,1),0,
IF(J919="زراعة",
K919*
(
INT((Y919-MAX(DATE(2023,5,1),D919))/365)
+
CEILING(MOD((Y919-MAX(DATE(2023,5,1),D919))/365,1),0.25)
)
*3,
IF(J919="ردم",
K919*20,
K919*
(
DATEDIF(MAX(DATE(2023,5,1),D919),Y919,"m")+1
)
*
_xlfn.SWITCH(J919,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19" s="1">
        <f t="shared" ca="1" si="95"/>
        <v>55</v>
      </c>
    </row>
    <row r="920" spans="1:30" ht="18.75" x14ac:dyDescent="0.25">
      <c r="A920" s="37">
        <v>855</v>
      </c>
      <c r="B920" s="63">
        <v>117</v>
      </c>
      <c r="C920" s="63">
        <v>2025</v>
      </c>
      <c r="D920" s="64" t="s">
        <v>973</v>
      </c>
      <c r="E920" s="11"/>
      <c r="F920" s="3"/>
      <c r="G920" s="63" t="s">
        <v>1073</v>
      </c>
      <c r="H920" s="3"/>
      <c r="I920" s="63" t="s">
        <v>50</v>
      </c>
      <c r="J920" s="3" t="s">
        <v>27</v>
      </c>
      <c r="K920" s="3"/>
      <c r="L920" s="3" t="s">
        <v>672</v>
      </c>
      <c r="M920" s="2"/>
      <c r="N920" s="3"/>
      <c r="O920" s="9">
        <f>0.47*Table2[[#This Row],[قيمة المحضر]]</f>
        <v>0</v>
      </c>
      <c r="P920" s="9">
        <f>0.17*Table2[[#This Row],[قيمة المحضر]]</f>
        <v>0</v>
      </c>
      <c r="Q920" s="9">
        <f t="shared" ca="1" si="96"/>
        <v>0</v>
      </c>
      <c r="R920" s="3"/>
      <c r="S920" s="3"/>
      <c r="T920" s="9" t="str">
        <f t="shared" si="97"/>
        <v>-</v>
      </c>
      <c r="U920" s="3"/>
      <c r="V920" s="9" t="str">
        <f t="shared" si="98"/>
        <v/>
      </c>
      <c r="W920" s="67"/>
      <c r="X920" s="88"/>
      <c r="Y920" s="1">
        <f t="shared" ca="1" si="94"/>
        <v>46162</v>
      </c>
      <c r="Z920" s="1" cm="1">
        <f t="array" ref="Z920">IF(D920&gt;DATE(2015,5,16),0,
K920*
(
INT((MIN(Y920,DATE(2015,5,16))-D920)/365)
+
CEILING(MOD((MIN(Y920,DATE(2015,5,16))-D920)/365,1),0.25)
)
*
_xlfn.SWITCH(J920,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20" s="1" cm="1">
        <f t="array" aca="1" ref="AA920" ca="1">IF(Y920&lt;DATE(2015,5,17),0,
K920*
(
INT((MIN(Y920,DATE(2018,9,23))-MAX(D920,DATE(2015,5,17)))/365)
+
CEILING(MOD((MIN(Y920,DATE(2018,9,23))-MAX(D920,DATE(2015,5,17)))/365,1),0.25)
)
*
_xlfn.SWITCH(J920,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20" s="1" cm="1">
        <f t="array" aca="1" ref="AB920" ca="1">IF(Y920&lt;DATE(2018,9,24),0,
IF(J920="زراعة",
K920*
(
INT((MIN(Y920,DATE(2023,4,30))-MAX(D920,DATE(2018,9,24)))/365)
+
CEILING(MOD((MIN(Y920,DATE(2023,4,30))-MAX(D920,DATE(2018,9,24)))/365,1),0.25)
)
*1,
K920*
(
DATEDIF(MAX(D920,DATE(2018,9,24)),MIN(Y920,DATE(2023,4,30)),"m")+1
)
*
_xlfn.SWITCH(J920,
"موقف/تندة",IF(D920&lt;DATE(2019,11,30),6,30),
"تشوينات",IF(D920&lt;DATE(2019,11,30),4,20),
"مشاتل",IF(D920&lt;DATE(2019,11,30),2,10),
"كافيتيريا",IF(D920&lt;DATE(2019,11,30),30,150),
"نوادي",IF(D920&lt;DATE(2019,11,30),6,30),
"رسو مراكب",IF(D920&lt;DATE(2019,11,30),2,10),
"مباني",IF(D920&lt;DATE(2018,9,24),2,10),
"عشش",IF(D920&lt;DATE(2019,11,30),2,10),
"كشك (تجاري/صناعي)",IF(D920&lt;DATE(2019,11,30),10,50),
"ردم",20,
0)))</f>
        <v>0</v>
      </c>
      <c r="AC920" s="1" cm="1">
        <f t="array" aca="1" ref="AC920" ca="1">IF(Y920&lt;DATE(2023,5,1),0,
IF(J920="زراعة",
K920*
(
INT((Y920-MAX(DATE(2023,5,1),D920))/365)
+
CEILING(MOD((Y920-MAX(DATE(2023,5,1),D920))/365,1),0.25)
)
*3,
IF(J920="ردم",
K920*20,
K920*
(
DATEDIF(MAX(DATE(2023,5,1),D920),Y920,"m")+1
)
*
_xlfn.SWITCH(J920,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20" s="1">
        <f t="shared" ca="1" si="95"/>
        <v>55</v>
      </c>
    </row>
    <row r="921" spans="1:30" ht="18.75" x14ac:dyDescent="0.25">
      <c r="A921" s="37">
        <v>856</v>
      </c>
      <c r="B921" s="63">
        <v>118</v>
      </c>
      <c r="C921" s="63">
        <v>2025</v>
      </c>
      <c r="D921" s="64" t="s">
        <v>974</v>
      </c>
      <c r="E921" s="11"/>
      <c r="F921" s="3"/>
      <c r="G921" s="63" t="s">
        <v>1074</v>
      </c>
      <c r="H921" s="3"/>
      <c r="I921" s="63" t="s">
        <v>50</v>
      </c>
      <c r="J921" s="3" t="s">
        <v>27</v>
      </c>
      <c r="K921" s="3"/>
      <c r="L921" s="3" t="s">
        <v>672</v>
      </c>
      <c r="M921" s="2"/>
      <c r="N921" s="3"/>
      <c r="O921" s="9">
        <f>0.47*Table2[[#This Row],[قيمة المحضر]]</f>
        <v>0</v>
      </c>
      <c r="P921" s="9">
        <f>0.17*Table2[[#This Row],[قيمة المحضر]]</f>
        <v>0</v>
      </c>
      <c r="Q921" s="9">
        <f t="shared" ca="1" si="96"/>
        <v>0</v>
      </c>
      <c r="R921" s="3"/>
      <c r="S921" s="3"/>
      <c r="T921" s="9" t="str">
        <f t="shared" si="97"/>
        <v>-</v>
      </c>
      <c r="U921" s="3"/>
      <c r="V921" s="9" t="str">
        <f t="shared" si="98"/>
        <v/>
      </c>
      <c r="W921" s="67"/>
      <c r="X921" s="88"/>
      <c r="Y921" s="1">
        <f t="shared" ca="1" si="94"/>
        <v>46162</v>
      </c>
      <c r="Z921" s="1" cm="1">
        <f t="array" ref="Z921">IF(D921&gt;DATE(2015,5,16),0,
K921*
(
INT((MIN(Y921,DATE(2015,5,16))-D921)/365)
+
CEILING(MOD((MIN(Y921,DATE(2015,5,16))-D921)/365,1),0.25)
)
*
_xlfn.SWITCH(J921,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21" s="1" cm="1">
        <f t="array" aca="1" ref="AA921" ca="1">IF(Y921&lt;DATE(2015,5,17),0,
K921*
(
INT((MIN(Y921,DATE(2018,9,23))-MAX(D921,DATE(2015,5,17)))/365)
+
CEILING(MOD((MIN(Y921,DATE(2018,9,23))-MAX(D921,DATE(2015,5,17)))/365,1),0.25)
)
*
_xlfn.SWITCH(J921,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21" s="1" cm="1">
        <f t="array" aca="1" ref="AB921" ca="1">IF(Y921&lt;DATE(2018,9,24),0,
IF(J921="زراعة",
K921*
(
INT((MIN(Y921,DATE(2023,4,30))-MAX(D921,DATE(2018,9,24)))/365)
+
CEILING(MOD((MIN(Y921,DATE(2023,4,30))-MAX(D921,DATE(2018,9,24)))/365,1),0.25)
)
*1,
K921*
(
DATEDIF(MAX(D921,DATE(2018,9,24)),MIN(Y921,DATE(2023,4,30)),"m")+1
)
*
_xlfn.SWITCH(J921,
"موقف/تندة",IF(D921&lt;DATE(2019,11,30),6,30),
"تشوينات",IF(D921&lt;DATE(2019,11,30),4,20),
"مشاتل",IF(D921&lt;DATE(2019,11,30),2,10),
"كافيتيريا",IF(D921&lt;DATE(2019,11,30),30,150),
"نوادي",IF(D921&lt;DATE(2019,11,30),6,30),
"رسو مراكب",IF(D921&lt;DATE(2019,11,30),2,10),
"مباني",IF(D921&lt;DATE(2018,9,24),2,10),
"عشش",IF(D921&lt;DATE(2019,11,30),2,10),
"كشك (تجاري/صناعي)",IF(D921&lt;DATE(2019,11,30),10,50),
"ردم",20,
0)))</f>
        <v>0</v>
      </c>
      <c r="AC921" s="1" cm="1">
        <f t="array" aca="1" ref="AC921" ca="1">IF(Y921&lt;DATE(2023,5,1),0,
IF(J921="زراعة",
K921*
(
INT((Y921-MAX(DATE(2023,5,1),D921))/365)
+
CEILING(MOD((Y921-MAX(DATE(2023,5,1),D921))/365,1),0.25)
)
*3,
IF(J921="ردم",
K921*20,
K921*
(
DATEDIF(MAX(DATE(2023,5,1),D921),Y921,"m")+1
)
*
_xlfn.SWITCH(J921,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21" s="1">
        <f t="shared" ca="1" si="95"/>
        <v>55</v>
      </c>
    </row>
    <row r="922" spans="1:30" ht="18.75" x14ac:dyDescent="0.25">
      <c r="A922" s="37">
        <v>857</v>
      </c>
      <c r="B922" s="63">
        <v>119</v>
      </c>
      <c r="C922" s="63">
        <v>2025</v>
      </c>
      <c r="D922" s="64" t="s">
        <v>974</v>
      </c>
      <c r="E922" s="11"/>
      <c r="F922" s="3"/>
      <c r="G922" s="63" t="s">
        <v>1000</v>
      </c>
      <c r="H922" s="3"/>
      <c r="I922" s="63" t="s">
        <v>50</v>
      </c>
      <c r="J922" s="3" t="s">
        <v>27</v>
      </c>
      <c r="K922" s="3"/>
      <c r="L922" s="3" t="s">
        <v>672</v>
      </c>
      <c r="M922" s="2"/>
      <c r="N922" s="3"/>
      <c r="O922" s="9">
        <f>0.47*Table2[[#This Row],[قيمة المحضر]]</f>
        <v>0</v>
      </c>
      <c r="P922" s="9">
        <f>0.17*Table2[[#This Row],[قيمة المحضر]]</f>
        <v>0</v>
      </c>
      <c r="Q922" s="9">
        <f t="shared" ca="1" si="96"/>
        <v>0</v>
      </c>
      <c r="R922" s="3"/>
      <c r="S922" s="3"/>
      <c r="T922" s="9" t="str">
        <f t="shared" si="97"/>
        <v>-</v>
      </c>
      <c r="U922" s="3"/>
      <c r="V922" s="9" t="str">
        <f t="shared" si="98"/>
        <v/>
      </c>
      <c r="W922" s="67"/>
      <c r="X922" s="88"/>
      <c r="Y922" s="1">
        <f t="shared" ca="1" si="94"/>
        <v>46162</v>
      </c>
      <c r="Z922" s="1" cm="1">
        <f t="array" ref="Z922">IF(D922&gt;DATE(2015,5,16),0,
K922*
(
INT((MIN(Y922,DATE(2015,5,16))-D922)/365)
+
CEILING(MOD((MIN(Y922,DATE(2015,5,16))-D922)/365,1),0.25)
)
*
_xlfn.SWITCH(J922,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22" s="1" cm="1">
        <f t="array" aca="1" ref="AA922" ca="1">IF(Y922&lt;DATE(2015,5,17),0,
K922*
(
INT((MIN(Y922,DATE(2018,9,23))-MAX(D922,DATE(2015,5,17)))/365)
+
CEILING(MOD((MIN(Y922,DATE(2018,9,23))-MAX(D922,DATE(2015,5,17)))/365,1),0.25)
)
*
_xlfn.SWITCH(J922,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22" s="1" cm="1">
        <f t="array" aca="1" ref="AB922" ca="1">IF(Y922&lt;DATE(2018,9,24),0,
IF(J922="زراعة",
K922*
(
INT((MIN(Y922,DATE(2023,4,30))-MAX(D922,DATE(2018,9,24)))/365)
+
CEILING(MOD((MIN(Y922,DATE(2023,4,30))-MAX(D922,DATE(2018,9,24)))/365,1),0.25)
)
*1,
K922*
(
DATEDIF(MAX(D922,DATE(2018,9,24)),MIN(Y922,DATE(2023,4,30)),"m")+1
)
*
_xlfn.SWITCH(J922,
"موقف/تندة",IF(D922&lt;DATE(2019,11,30),6,30),
"تشوينات",IF(D922&lt;DATE(2019,11,30),4,20),
"مشاتل",IF(D922&lt;DATE(2019,11,30),2,10),
"كافيتيريا",IF(D922&lt;DATE(2019,11,30),30,150),
"نوادي",IF(D922&lt;DATE(2019,11,30),6,30),
"رسو مراكب",IF(D922&lt;DATE(2019,11,30),2,10),
"مباني",IF(D922&lt;DATE(2018,9,24),2,10),
"عشش",IF(D922&lt;DATE(2019,11,30),2,10),
"كشك (تجاري/صناعي)",IF(D922&lt;DATE(2019,11,30),10,50),
"ردم",20,
0)))</f>
        <v>0</v>
      </c>
      <c r="AC922" s="1" cm="1">
        <f t="array" aca="1" ref="AC922" ca="1">IF(Y922&lt;DATE(2023,5,1),0,
IF(J922="زراعة",
K922*
(
INT((Y922-MAX(DATE(2023,5,1),D922))/365)
+
CEILING(MOD((Y922-MAX(DATE(2023,5,1),D922))/365,1),0.25)
)
*3,
IF(J922="ردم",
K922*20,
K922*
(
DATEDIF(MAX(DATE(2023,5,1),D922),Y922,"m")+1
)
*
_xlfn.SWITCH(J922,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22" s="1">
        <f t="shared" ca="1" si="95"/>
        <v>55</v>
      </c>
    </row>
    <row r="923" spans="1:30" ht="18.75" x14ac:dyDescent="0.25">
      <c r="A923" s="37">
        <v>858</v>
      </c>
      <c r="B923" s="63">
        <v>120</v>
      </c>
      <c r="C923" s="63">
        <v>2025</v>
      </c>
      <c r="D923" s="64" t="s">
        <v>974</v>
      </c>
      <c r="E923" s="11"/>
      <c r="F923" s="3"/>
      <c r="G923" s="63" t="s">
        <v>1075</v>
      </c>
      <c r="H923" s="3"/>
      <c r="I923" s="63" t="s">
        <v>50</v>
      </c>
      <c r="J923" s="3" t="s">
        <v>27</v>
      </c>
      <c r="K923" s="3"/>
      <c r="L923" s="3" t="s">
        <v>672</v>
      </c>
      <c r="M923" s="2"/>
      <c r="N923" s="3"/>
      <c r="O923" s="9">
        <f>0.47*Table2[[#This Row],[قيمة المحضر]]</f>
        <v>0</v>
      </c>
      <c r="P923" s="9">
        <f>0.17*Table2[[#This Row],[قيمة المحضر]]</f>
        <v>0</v>
      </c>
      <c r="Q923" s="9">
        <f t="shared" ca="1" si="96"/>
        <v>0</v>
      </c>
      <c r="R923" s="3"/>
      <c r="S923" s="3"/>
      <c r="T923" s="9" t="str">
        <f t="shared" si="97"/>
        <v>-</v>
      </c>
      <c r="U923" s="3"/>
      <c r="V923" s="9" t="str">
        <f t="shared" si="98"/>
        <v/>
      </c>
      <c r="W923" s="67"/>
      <c r="X923" s="88"/>
      <c r="Y923" s="1">
        <f t="shared" ca="1" si="94"/>
        <v>46162</v>
      </c>
      <c r="Z923" s="1" cm="1">
        <f t="array" ref="Z923">IF(D923&gt;DATE(2015,5,16),0,
K923*
(
INT((MIN(Y923,DATE(2015,5,16))-D923)/365)
+
CEILING(MOD((MIN(Y923,DATE(2015,5,16))-D923)/365,1),0.25)
)
*
_xlfn.SWITCH(J923,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23" s="1" cm="1">
        <f t="array" aca="1" ref="AA923" ca="1">IF(Y923&lt;DATE(2015,5,17),0,
K923*
(
INT((MIN(Y923,DATE(2018,9,23))-MAX(D923,DATE(2015,5,17)))/365)
+
CEILING(MOD((MIN(Y923,DATE(2018,9,23))-MAX(D923,DATE(2015,5,17)))/365,1),0.25)
)
*
_xlfn.SWITCH(J923,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23" s="1" cm="1">
        <f t="array" aca="1" ref="AB923" ca="1">IF(Y923&lt;DATE(2018,9,24),0,
IF(J923="زراعة",
K923*
(
INT((MIN(Y923,DATE(2023,4,30))-MAX(D923,DATE(2018,9,24)))/365)
+
CEILING(MOD((MIN(Y923,DATE(2023,4,30))-MAX(D923,DATE(2018,9,24)))/365,1),0.25)
)
*1,
K923*
(
DATEDIF(MAX(D923,DATE(2018,9,24)),MIN(Y923,DATE(2023,4,30)),"m")+1
)
*
_xlfn.SWITCH(J923,
"موقف/تندة",IF(D923&lt;DATE(2019,11,30),6,30),
"تشوينات",IF(D923&lt;DATE(2019,11,30),4,20),
"مشاتل",IF(D923&lt;DATE(2019,11,30),2,10),
"كافيتيريا",IF(D923&lt;DATE(2019,11,30),30,150),
"نوادي",IF(D923&lt;DATE(2019,11,30),6,30),
"رسو مراكب",IF(D923&lt;DATE(2019,11,30),2,10),
"مباني",IF(D923&lt;DATE(2018,9,24),2,10),
"عشش",IF(D923&lt;DATE(2019,11,30),2,10),
"كشك (تجاري/صناعي)",IF(D923&lt;DATE(2019,11,30),10,50),
"ردم",20,
0)))</f>
        <v>0</v>
      </c>
      <c r="AC923" s="1" cm="1">
        <f t="array" aca="1" ref="AC923" ca="1">IF(Y923&lt;DATE(2023,5,1),0,
IF(J923="زراعة",
K923*
(
INT((Y923-MAX(DATE(2023,5,1),D923))/365)
+
CEILING(MOD((Y923-MAX(DATE(2023,5,1),D923))/365,1),0.25)
)
*3,
IF(J923="ردم",
K923*20,
K923*
(
DATEDIF(MAX(DATE(2023,5,1),D923),Y923,"m")+1
)
*
_xlfn.SWITCH(J923,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23" s="1">
        <f t="shared" ca="1" si="95"/>
        <v>55</v>
      </c>
    </row>
    <row r="924" spans="1:30" ht="18.75" x14ac:dyDescent="0.25">
      <c r="A924" s="37">
        <v>859</v>
      </c>
      <c r="B924" s="63">
        <v>121</v>
      </c>
      <c r="C924" s="63">
        <v>2025</v>
      </c>
      <c r="D924" s="64" t="s">
        <v>974</v>
      </c>
      <c r="E924" s="11"/>
      <c r="F924" s="3"/>
      <c r="G924" s="63" t="s">
        <v>1076</v>
      </c>
      <c r="H924" s="3"/>
      <c r="I924" s="63" t="s">
        <v>50</v>
      </c>
      <c r="J924" s="3" t="s">
        <v>27</v>
      </c>
      <c r="K924" s="3"/>
      <c r="L924" s="3" t="s">
        <v>672</v>
      </c>
      <c r="M924" s="2"/>
      <c r="N924" s="3"/>
      <c r="O924" s="9">
        <f>0.47*Table2[[#This Row],[قيمة المحضر]]</f>
        <v>0</v>
      </c>
      <c r="P924" s="9">
        <f>0.17*Table2[[#This Row],[قيمة المحضر]]</f>
        <v>0</v>
      </c>
      <c r="Q924" s="9">
        <f t="shared" ca="1" si="96"/>
        <v>0</v>
      </c>
      <c r="R924" s="3"/>
      <c r="S924" s="3"/>
      <c r="T924" s="9" t="str">
        <f t="shared" si="97"/>
        <v>-</v>
      </c>
      <c r="U924" s="3"/>
      <c r="V924" s="9" t="str">
        <f t="shared" si="98"/>
        <v/>
      </c>
      <c r="W924" s="67"/>
      <c r="X924" s="88"/>
      <c r="Y924" s="1">
        <f t="shared" ca="1" si="94"/>
        <v>46162</v>
      </c>
      <c r="Z924" s="1" cm="1">
        <f t="array" ref="Z924">IF(D924&gt;DATE(2015,5,16),0,
K924*
(
INT((MIN(Y924,DATE(2015,5,16))-D924)/365)
+
CEILING(MOD((MIN(Y924,DATE(2015,5,16))-D924)/365,1),0.25)
)
*
_xlfn.SWITCH(J924,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24" s="1" cm="1">
        <f t="array" aca="1" ref="AA924" ca="1">IF(Y924&lt;DATE(2015,5,17),0,
K924*
(
INT((MIN(Y924,DATE(2018,9,23))-MAX(D924,DATE(2015,5,17)))/365)
+
CEILING(MOD((MIN(Y924,DATE(2018,9,23))-MAX(D924,DATE(2015,5,17)))/365,1),0.25)
)
*
_xlfn.SWITCH(J924,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24" s="1" cm="1">
        <f t="array" aca="1" ref="AB924" ca="1">IF(Y924&lt;DATE(2018,9,24),0,
IF(J924="زراعة",
K924*
(
INT((MIN(Y924,DATE(2023,4,30))-MAX(D924,DATE(2018,9,24)))/365)
+
CEILING(MOD((MIN(Y924,DATE(2023,4,30))-MAX(D924,DATE(2018,9,24)))/365,1),0.25)
)
*1,
K924*
(
DATEDIF(MAX(D924,DATE(2018,9,24)),MIN(Y924,DATE(2023,4,30)),"m")+1
)
*
_xlfn.SWITCH(J924,
"موقف/تندة",IF(D924&lt;DATE(2019,11,30),6,30),
"تشوينات",IF(D924&lt;DATE(2019,11,30),4,20),
"مشاتل",IF(D924&lt;DATE(2019,11,30),2,10),
"كافيتيريا",IF(D924&lt;DATE(2019,11,30),30,150),
"نوادي",IF(D924&lt;DATE(2019,11,30),6,30),
"رسو مراكب",IF(D924&lt;DATE(2019,11,30),2,10),
"مباني",IF(D924&lt;DATE(2018,9,24),2,10),
"عشش",IF(D924&lt;DATE(2019,11,30),2,10),
"كشك (تجاري/صناعي)",IF(D924&lt;DATE(2019,11,30),10,50),
"ردم",20,
0)))</f>
        <v>0</v>
      </c>
      <c r="AC924" s="1" cm="1">
        <f t="array" aca="1" ref="AC924" ca="1">IF(Y924&lt;DATE(2023,5,1),0,
IF(J924="زراعة",
K924*
(
INT((Y924-MAX(DATE(2023,5,1),D924))/365)
+
CEILING(MOD((Y924-MAX(DATE(2023,5,1),D924))/365,1),0.25)
)
*3,
IF(J924="ردم",
K924*20,
K924*
(
DATEDIF(MAX(DATE(2023,5,1),D924),Y924,"m")+1
)
*
_xlfn.SWITCH(J924,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24" s="1">
        <f t="shared" ca="1" si="95"/>
        <v>55</v>
      </c>
    </row>
    <row r="925" spans="1:30" ht="18.75" x14ac:dyDescent="0.25">
      <c r="A925" s="37">
        <v>860</v>
      </c>
      <c r="B925" s="63">
        <v>122</v>
      </c>
      <c r="C925" s="63">
        <v>2025</v>
      </c>
      <c r="D925" s="64" t="s">
        <v>974</v>
      </c>
      <c r="E925" s="11"/>
      <c r="F925" s="3"/>
      <c r="G925" s="63" t="s">
        <v>1077</v>
      </c>
      <c r="H925" s="3"/>
      <c r="I925" s="63" t="s">
        <v>50</v>
      </c>
      <c r="J925" s="3" t="s">
        <v>27</v>
      </c>
      <c r="K925" s="3"/>
      <c r="L925" s="3" t="s">
        <v>672</v>
      </c>
      <c r="M925" s="2"/>
      <c r="N925" s="3"/>
      <c r="O925" s="9">
        <f>0.47*Table2[[#This Row],[قيمة المحضر]]</f>
        <v>0</v>
      </c>
      <c r="P925" s="9">
        <f>0.17*Table2[[#This Row],[قيمة المحضر]]</f>
        <v>0</v>
      </c>
      <c r="Q925" s="9">
        <f t="shared" ca="1" si="96"/>
        <v>0</v>
      </c>
      <c r="R925" s="3"/>
      <c r="S925" s="3"/>
      <c r="T925" s="9" t="str">
        <f t="shared" si="97"/>
        <v>-</v>
      </c>
      <c r="U925" s="3"/>
      <c r="V925" s="9" t="str">
        <f t="shared" si="98"/>
        <v/>
      </c>
      <c r="W925" s="67"/>
      <c r="X925" s="88"/>
      <c r="Y925" s="1">
        <f t="shared" ca="1" si="94"/>
        <v>46162</v>
      </c>
      <c r="Z925" s="1" cm="1">
        <f t="array" ref="Z925">IF(D925&gt;DATE(2015,5,16),0,
K925*
(
INT((MIN(Y925,DATE(2015,5,16))-D925)/365)
+
CEILING(MOD((MIN(Y925,DATE(2015,5,16))-D925)/365,1),0.25)
)
*
_xlfn.SWITCH(J925,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25" s="1" cm="1">
        <f t="array" aca="1" ref="AA925" ca="1">IF(Y925&lt;DATE(2015,5,17),0,
K925*
(
INT((MIN(Y925,DATE(2018,9,23))-MAX(D925,DATE(2015,5,17)))/365)
+
CEILING(MOD((MIN(Y925,DATE(2018,9,23))-MAX(D925,DATE(2015,5,17)))/365,1),0.25)
)
*
_xlfn.SWITCH(J925,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25" s="1" cm="1">
        <f t="array" aca="1" ref="AB925" ca="1">IF(Y925&lt;DATE(2018,9,24),0,
IF(J925="زراعة",
K925*
(
INT((MIN(Y925,DATE(2023,4,30))-MAX(D925,DATE(2018,9,24)))/365)
+
CEILING(MOD((MIN(Y925,DATE(2023,4,30))-MAX(D925,DATE(2018,9,24)))/365,1),0.25)
)
*1,
K925*
(
DATEDIF(MAX(D925,DATE(2018,9,24)),MIN(Y925,DATE(2023,4,30)),"m")+1
)
*
_xlfn.SWITCH(J925,
"موقف/تندة",IF(D925&lt;DATE(2019,11,30),6,30),
"تشوينات",IF(D925&lt;DATE(2019,11,30),4,20),
"مشاتل",IF(D925&lt;DATE(2019,11,30),2,10),
"كافيتيريا",IF(D925&lt;DATE(2019,11,30),30,150),
"نوادي",IF(D925&lt;DATE(2019,11,30),6,30),
"رسو مراكب",IF(D925&lt;DATE(2019,11,30),2,10),
"مباني",IF(D925&lt;DATE(2018,9,24),2,10),
"عشش",IF(D925&lt;DATE(2019,11,30),2,10),
"كشك (تجاري/صناعي)",IF(D925&lt;DATE(2019,11,30),10,50),
"ردم",20,
0)))</f>
        <v>0</v>
      </c>
      <c r="AC925" s="1" cm="1">
        <f t="array" aca="1" ref="AC925" ca="1">IF(Y925&lt;DATE(2023,5,1),0,
IF(J925="زراعة",
K925*
(
INT((Y925-MAX(DATE(2023,5,1),D925))/365)
+
CEILING(MOD((Y925-MAX(DATE(2023,5,1),D925))/365,1),0.25)
)
*3,
IF(J925="ردم",
K925*20,
K925*
(
DATEDIF(MAX(DATE(2023,5,1),D925),Y925,"m")+1
)
*
_xlfn.SWITCH(J925,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25" s="1">
        <f t="shared" ca="1" si="95"/>
        <v>55</v>
      </c>
    </row>
    <row r="926" spans="1:30" ht="18.75" x14ac:dyDescent="0.25">
      <c r="A926" s="37">
        <v>861</v>
      </c>
      <c r="B926" s="63">
        <v>123</v>
      </c>
      <c r="C926" s="63">
        <v>2025</v>
      </c>
      <c r="D926" s="64" t="s">
        <v>974</v>
      </c>
      <c r="E926" s="11"/>
      <c r="F926" s="3"/>
      <c r="G926" s="63" t="s">
        <v>1034</v>
      </c>
      <c r="H926" s="3"/>
      <c r="I926" s="63" t="s">
        <v>50</v>
      </c>
      <c r="J926" s="3" t="s">
        <v>27</v>
      </c>
      <c r="K926" s="3"/>
      <c r="L926" s="3" t="s">
        <v>672</v>
      </c>
      <c r="M926" s="2"/>
      <c r="N926" s="3"/>
      <c r="O926" s="9">
        <f>0.47*Table2[[#This Row],[قيمة المحضر]]</f>
        <v>0</v>
      </c>
      <c r="P926" s="9">
        <f>0.17*Table2[[#This Row],[قيمة المحضر]]</f>
        <v>0</v>
      </c>
      <c r="Q926" s="9">
        <f t="shared" ca="1" si="96"/>
        <v>0</v>
      </c>
      <c r="R926" s="3"/>
      <c r="S926" s="3"/>
      <c r="T926" s="9" t="str">
        <f t="shared" si="97"/>
        <v>-</v>
      </c>
      <c r="U926" s="3"/>
      <c r="V926" s="9" t="str">
        <f t="shared" si="98"/>
        <v/>
      </c>
      <c r="W926" s="67"/>
      <c r="X926" s="88"/>
      <c r="Y926" s="1">
        <f t="shared" ca="1" si="94"/>
        <v>46162</v>
      </c>
      <c r="Z926" s="1" cm="1">
        <f t="array" ref="Z926">IF(D926&gt;DATE(2015,5,16),0,
K926*
(
INT((MIN(Y926,DATE(2015,5,16))-D926)/365)
+
CEILING(MOD((MIN(Y926,DATE(2015,5,16))-D926)/365,1),0.25)
)
*
_xlfn.SWITCH(J926,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26" s="1" cm="1">
        <f t="array" aca="1" ref="AA926" ca="1">IF(Y926&lt;DATE(2015,5,17),0,
K926*
(
INT((MIN(Y926,DATE(2018,9,23))-MAX(D926,DATE(2015,5,17)))/365)
+
CEILING(MOD((MIN(Y926,DATE(2018,9,23))-MAX(D926,DATE(2015,5,17)))/365,1),0.25)
)
*
_xlfn.SWITCH(J926,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26" s="1" cm="1">
        <f t="array" aca="1" ref="AB926" ca="1">IF(Y926&lt;DATE(2018,9,24),0,
IF(J926="زراعة",
K926*
(
INT((MIN(Y926,DATE(2023,4,30))-MAX(D926,DATE(2018,9,24)))/365)
+
CEILING(MOD((MIN(Y926,DATE(2023,4,30))-MAX(D926,DATE(2018,9,24)))/365,1),0.25)
)
*1,
K926*
(
DATEDIF(MAX(D926,DATE(2018,9,24)),MIN(Y926,DATE(2023,4,30)),"m")+1
)
*
_xlfn.SWITCH(J926,
"موقف/تندة",IF(D926&lt;DATE(2019,11,30),6,30),
"تشوينات",IF(D926&lt;DATE(2019,11,30),4,20),
"مشاتل",IF(D926&lt;DATE(2019,11,30),2,10),
"كافيتيريا",IF(D926&lt;DATE(2019,11,30),30,150),
"نوادي",IF(D926&lt;DATE(2019,11,30),6,30),
"رسو مراكب",IF(D926&lt;DATE(2019,11,30),2,10),
"مباني",IF(D926&lt;DATE(2018,9,24),2,10),
"عشش",IF(D926&lt;DATE(2019,11,30),2,10),
"كشك (تجاري/صناعي)",IF(D926&lt;DATE(2019,11,30),10,50),
"ردم",20,
0)))</f>
        <v>0</v>
      </c>
      <c r="AC926" s="1" cm="1">
        <f t="array" aca="1" ref="AC926" ca="1">IF(Y926&lt;DATE(2023,5,1),0,
IF(J926="زراعة",
K926*
(
INT((Y926-MAX(DATE(2023,5,1),D926))/365)
+
CEILING(MOD((Y926-MAX(DATE(2023,5,1),D926))/365,1),0.25)
)
*3,
IF(J926="ردم",
K926*20,
K926*
(
DATEDIF(MAX(DATE(2023,5,1),D926),Y926,"m")+1
)
*
_xlfn.SWITCH(J926,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26" s="1">
        <f t="shared" ca="1" si="95"/>
        <v>55</v>
      </c>
    </row>
    <row r="927" spans="1:30" ht="18.75" x14ac:dyDescent="0.25">
      <c r="A927" s="37">
        <v>862</v>
      </c>
      <c r="B927" s="63">
        <v>124</v>
      </c>
      <c r="C927" s="63">
        <v>2025</v>
      </c>
      <c r="D927" s="64" t="s">
        <v>974</v>
      </c>
      <c r="E927" s="11"/>
      <c r="F927" s="3"/>
      <c r="G927" s="63" t="s">
        <v>1078</v>
      </c>
      <c r="H927" s="3"/>
      <c r="I927" s="63" t="s">
        <v>50</v>
      </c>
      <c r="J927" s="3" t="s">
        <v>27</v>
      </c>
      <c r="K927" s="3"/>
      <c r="L927" s="3" t="s">
        <v>672</v>
      </c>
      <c r="M927" s="2"/>
      <c r="N927" s="3"/>
      <c r="O927" s="9">
        <f>0.47*Table2[[#This Row],[قيمة المحضر]]</f>
        <v>0</v>
      </c>
      <c r="P927" s="9">
        <f>0.17*Table2[[#This Row],[قيمة المحضر]]</f>
        <v>0</v>
      </c>
      <c r="Q927" s="9">
        <f t="shared" ca="1" si="96"/>
        <v>0</v>
      </c>
      <c r="R927" s="3"/>
      <c r="S927" s="3"/>
      <c r="T927" s="9" t="str">
        <f t="shared" si="97"/>
        <v>-</v>
      </c>
      <c r="U927" s="3"/>
      <c r="V927" s="9" t="str">
        <f t="shared" si="98"/>
        <v/>
      </c>
      <c r="W927" s="67"/>
      <c r="X927" s="88"/>
      <c r="Y927" s="1">
        <f t="shared" ca="1" si="94"/>
        <v>46162</v>
      </c>
      <c r="Z927" s="1" cm="1">
        <f t="array" ref="Z927">IF(D927&gt;DATE(2015,5,16),0,
K927*
(
INT((MIN(Y927,DATE(2015,5,16))-D927)/365)
+
CEILING(MOD((MIN(Y927,DATE(2015,5,16))-D927)/365,1),0.25)
)
*
_xlfn.SWITCH(J927,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27" s="1" cm="1">
        <f t="array" aca="1" ref="AA927" ca="1">IF(Y927&lt;DATE(2015,5,17),0,
K927*
(
INT((MIN(Y927,DATE(2018,9,23))-MAX(D927,DATE(2015,5,17)))/365)
+
CEILING(MOD((MIN(Y927,DATE(2018,9,23))-MAX(D927,DATE(2015,5,17)))/365,1),0.25)
)
*
_xlfn.SWITCH(J927,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27" s="1" cm="1">
        <f t="array" aca="1" ref="AB927" ca="1">IF(Y927&lt;DATE(2018,9,24),0,
IF(J927="زراعة",
K927*
(
INT((MIN(Y927,DATE(2023,4,30))-MAX(D927,DATE(2018,9,24)))/365)
+
CEILING(MOD((MIN(Y927,DATE(2023,4,30))-MAX(D927,DATE(2018,9,24)))/365,1),0.25)
)
*1,
K927*
(
DATEDIF(MAX(D927,DATE(2018,9,24)),MIN(Y927,DATE(2023,4,30)),"m")+1
)
*
_xlfn.SWITCH(J927,
"موقف/تندة",IF(D927&lt;DATE(2019,11,30),6,30),
"تشوينات",IF(D927&lt;DATE(2019,11,30),4,20),
"مشاتل",IF(D927&lt;DATE(2019,11,30),2,10),
"كافيتيريا",IF(D927&lt;DATE(2019,11,30),30,150),
"نوادي",IF(D927&lt;DATE(2019,11,30),6,30),
"رسو مراكب",IF(D927&lt;DATE(2019,11,30),2,10),
"مباني",IF(D927&lt;DATE(2018,9,24),2,10),
"عشش",IF(D927&lt;DATE(2019,11,30),2,10),
"كشك (تجاري/صناعي)",IF(D927&lt;DATE(2019,11,30),10,50),
"ردم",20,
0)))</f>
        <v>0</v>
      </c>
      <c r="AC927" s="1" cm="1">
        <f t="array" aca="1" ref="AC927" ca="1">IF(Y927&lt;DATE(2023,5,1),0,
IF(J927="زراعة",
K927*
(
INT((Y927-MAX(DATE(2023,5,1),D927))/365)
+
CEILING(MOD((Y927-MAX(DATE(2023,5,1),D927))/365,1),0.25)
)
*3,
IF(J927="ردم",
K927*20,
K927*
(
DATEDIF(MAX(DATE(2023,5,1),D927),Y927,"m")+1
)
*
_xlfn.SWITCH(J927,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27" s="1">
        <f t="shared" ca="1" si="95"/>
        <v>55</v>
      </c>
    </row>
    <row r="928" spans="1:30" ht="18.75" x14ac:dyDescent="0.25">
      <c r="A928" s="37">
        <v>863</v>
      </c>
      <c r="B928" s="63">
        <v>125</v>
      </c>
      <c r="C928" s="63">
        <v>2025</v>
      </c>
      <c r="D928" s="64" t="s">
        <v>974</v>
      </c>
      <c r="E928" s="11"/>
      <c r="F928" s="3"/>
      <c r="G928" s="63" t="s">
        <v>1079</v>
      </c>
      <c r="H928" s="3"/>
      <c r="I928" s="63" t="s">
        <v>50</v>
      </c>
      <c r="J928" s="3" t="s">
        <v>27</v>
      </c>
      <c r="K928" s="3"/>
      <c r="L928" s="3" t="s">
        <v>672</v>
      </c>
      <c r="M928" s="2"/>
      <c r="N928" s="3"/>
      <c r="O928" s="9">
        <f>0.47*Table2[[#This Row],[قيمة المحضر]]</f>
        <v>0</v>
      </c>
      <c r="P928" s="9">
        <f>0.17*Table2[[#This Row],[قيمة المحضر]]</f>
        <v>0</v>
      </c>
      <c r="Q928" s="9">
        <f t="shared" ca="1" si="96"/>
        <v>0</v>
      </c>
      <c r="R928" s="3"/>
      <c r="S928" s="3"/>
      <c r="T928" s="9" t="str">
        <f t="shared" si="97"/>
        <v>-</v>
      </c>
      <c r="U928" s="3"/>
      <c r="V928" s="9" t="str">
        <f t="shared" si="98"/>
        <v/>
      </c>
      <c r="W928" s="67"/>
      <c r="X928" s="88"/>
      <c r="Y928" s="1">
        <f t="shared" ca="1" si="94"/>
        <v>46162</v>
      </c>
      <c r="Z928" s="1" cm="1">
        <f t="array" ref="Z928">IF(D928&gt;DATE(2015,5,16),0,
K928*
(
INT((MIN(Y928,DATE(2015,5,16))-D928)/365)
+
CEILING(MOD((MIN(Y928,DATE(2015,5,16))-D928)/365,1),0.25)
)
*
_xlfn.SWITCH(J928,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28" s="1" cm="1">
        <f t="array" aca="1" ref="AA928" ca="1">IF(Y928&lt;DATE(2015,5,17),0,
K928*
(
INT((MIN(Y928,DATE(2018,9,23))-MAX(D928,DATE(2015,5,17)))/365)
+
CEILING(MOD((MIN(Y928,DATE(2018,9,23))-MAX(D928,DATE(2015,5,17)))/365,1),0.25)
)
*
_xlfn.SWITCH(J928,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28" s="1" cm="1">
        <f t="array" aca="1" ref="AB928" ca="1">IF(Y928&lt;DATE(2018,9,24),0,
IF(J928="زراعة",
K928*
(
INT((MIN(Y928,DATE(2023,4,30))-MAX(D928,DATE(2018,9,24)))/365)
+
CEILING(MOD((MIN(Y928,DATE(2023,4,30))-MAX(D928,DATE(2018,9,24)))/365,1),0.25)
)
*1,
K928*
(
DATEDIF(MAX(D928,DATE(2018,9,24)),MIN(Y928,DATE(2023,4,30)),"m")+1
)
*
_xlfn.SWITCH(J928,
"موقف/تندة",IF(D928&lt;DATE(2019,11,30),6,30),
"تشوينات",IF(D928&lt;DATE(2019,11,30),4,20),
"مشاتل",IF(D928&lt;DATE(2019,11,30),2,10),
"كافيتيريا",IF(D928&lt;DATE(2019,11,30),30,150),
"نوادي",IF(D928&lt;DATE(2019,11,30),6,30),
"رسو مراكب",IF(D928&lt;DATE(2019,11,30),2,10),
"مباني",IF(D928&lt;DATE(2018,9,24),2,10),
"عشش",IF(D928&lt;DATE(2019,11,30),2,10),
"كشك (تجاري/صناعي)",IF(D928&lt;DATE(2019,11,30),10,50),
"ردم",20,
0)))</f>
        <v>0</v>
      </c>
      <c r="AC928" s="1" cm="1">
        <f t="array" aca="1" ref="AC928" ca="1">IF(Y928&lt;DATE(2023,5,1),0,
IF(J928="زراعة",
K928*
(
INT((Y928-MAX(DATE(2023,5,1),D928))/365)
+
CEILING(MOD((Y928-MAX(DATE(2023,5,1),D928))/365,1),0.25)
)
*3,
IF(J928="ردم",
K928*20,
K928*
(
DATEDIF(MAX(DATE(2023,5,1),D928),Y928,"m")+1
)
*
_xlfn.SWITCH(J928,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28" s="1">
        <f t="shared" ca="1" si="95"/>
        <v>55</v>
      </c>
    </row>
    <row r="929" spans="1:30" ht="18.75" x14ac:dyDescent="0.25">
      <c r="A929" s="37">
        <v>864</v>
      </c>
      <c r="B929" s="63">
        <v>126</v>
      </c>
      <c r="C929" s="63">
        <v>2025</v>
      </c>
      <c r="D929" s="64" t="s">
        <v>974</v>
      </c>
      <c r="E929" s="11"/>
      <c r="F929" s="3"/>
      <c r="G929" s="63" t="s">
        <v>1080</v>
      </c>
      <c r="H929" s="3"/>
      <c r="I929" s="63" t="s">
        <v>50</v>
      </c>
      <c r="J929" s="3" t="s">
        <v>27</v>
      </c>
      <c r="K929" s="3"/>
      <c r="L929" s="3" t="s">
        <v>672</v>
      </c>
      <c r="M929" s="2"/>
      <c r="N929" s="3"/>
      <c r="O929" s="9">
        <f>0.47*Table2[[#This Row],[قيمة المحضر]]</f>
        <v>0</v>
      </c>
      <c r="P929" s="9">
        <f>0.17*Table2[[#This Row],[قيمة المحضر]]</f>
        <v>0</v>
      </c>
      <c r="Q929" s="9">
        <f t="shared" ca="1" si="96"/>
        <v>0</v>
      </c>
      <c r="R929" s="3"/>
      <c r="S929" s="3"/>
      <c r="T929" s="9" t="str">
        <f t="shared" si="97"/>
        <v>-</v>
      </c>
      <c r="U929" s="3"/>
      <c r="V929" s="9" t="str">
        <f t="shared" si="98"/>
        <v/>
      </c>
      <c r="W929" s="67"/>
      <c r="X929" s="88"/>
      <c r="Y929" s="1">
        <f t="shared" ca="1" si="94"/>
        <v>46162</v>
      </c>
      <c r="Z929" s="1" cm="1">
        <f t="array" ref="Z929">IF(D929&gt;DATE(2015,5,16),0,
K929*
(
INT((MIN(Y929,DATE(2015,5,16))-D929)/365)
+
CEILING(MOD((MIN(Y929,DATE(2015,5,16))-D929)/365,1),0.25)
)
*
_xlfn.SWITCH(J929,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29" s="1" cm="1">
        <f t="array" aca="1" ref="AA929" ca="1">IF(Y929&lt;DATE(2015,5,17),0,
K929*
(
INT((MIN(Y929,DATE(2018,9,23))-MAX(D929,DATE(2015,5,17)))/365)
+
CEILING(MOD((MIN(Y929,DATE(2018,9,23))-MAX(D929,DATE(2015,5,17)))/365,1),0.25)
)
*
_xlfn.SWITCH(J929,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29" s="1" cm="1">
        <f t="array" aca="1" ref="AB929" ca="1">IF(Y929&lt;DATE(2018,9,24),0,
IF(J929="زراعة",
K929*
(
INT((MIN(Y929,DATE(2023,4,30))-MAX(D929,DATE(2018,9,24)))/365)
+
CEILING(MOD((MIN(Y929,DATE(2023,4,30))-MAX(D929,DATE(2018,9,24)))/365,1),0.25)
)
*1,
K929*
(
DATEDIF(MAX(D929,DATE(2018,9,24)),MIN(Y929,DATE(2023,4,30)),"m")+1
)
*
_xlfn.SWITCH(J929,
"موقف/تندة",IF(D929&lt;DATE(2019,11,30),6,30),
"تشوينات",IF(D929&lt;DATE(2019,11,30),4,20),
"مشاتل",IF(D929&lt;DATE(2019,11,30),2,10),
"كافيتيريا",IF(D929&lt;DATE(2019,11,30),30,150),
"نوادي",IF(D929&lt;DATE(2019,11,30),6,30),
"رسو مراكب",IF(D929&lt;DATE(2019,11,30),2,10),
"مباني",IF(D929&lt;DATE(2018,9,24),2,10),
"عشش",IF(D929&lt;DATE(2019,11,30),2,10),
"كشك (تجاري/صناعي)",IF(D929&lt;DATE(2019,11,30),10,50),
"ردم",20,
0)))</f>
        <v>0</v>
      </c>
      <c r="AC929" s="1" cm="1">
        <f t="array" aca="1" ref="AC929" ca="1">IF(Y929&lt;DATE(2023,5,1),0,
IF(J929="زراعة",
K929*
(
INT((Y929-MAX(DATE(2023,5,1),D929))/365)
+
CEILING(MOD((Y929-MAX(DATE(2023,5,1),D929))/365,1),0.25)
)
*3,
IF(J929="ردم",
K929*20,
K929*
(
DATEDIF(MAX(DATE(2023,5,1),D929),Y929,"m")+1
)
*
_xlfn.SWITCH(J929,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29" s="1">
        <f t="shared" ca="1" si="95"/>
        <v>55</v>
      </c>
    </row>
    <row r="930" spans="1:30" ht="18.75" x14ac:dyDescent="0.25">
      <c r="A930" s="37">
        <v>865</v>
      </c>
      <c r="B930" s="63">
        <v>127</v>
      </c>
      <c r="C930" s="63">
        <v>2025</v>
      </c>
      <c r="D930" s="64" t="s">
        <v>974</v>
      </c>
      <c r="E930" s="11"/>
      <c r="F930" s="3"/>
      <c r="G930" s="63" t="s">
        <v>1081</v>
      </c>
      <c r="H930" s="3"/>
      <c r="I930" s="63" t="s">
        <v>50</v>
      </c>
      <c r="J930" s="3" t="s">
        <v>27</v>
      </c>
      <c r="K930" s="3"/>
      <c r="L930" s="3" t="s">
        <v>672</v>
      </c>
      <c r="M930" s="2"/>
      <c r="N930" s="3"/>
      <c r="O930" s="9">
        <f>0.47*Table2[[#This Row],[قيمة المحضر]]</f>
        <v>0</v>
      </c>
      <c r="P930" s="9">
        <f>0.17*Table2[[#This Row],[قيمة المحضر]]</f>
        <v>0</v>
      </c>
      <c r="Q930" s="9">
        <f t="shared" ca="1" si="96"/>
        <v>0</v>
      </c>
      <c r="R930" s="3"/>
      <c r="S930" s="3"/>
      <c r="T930" s="9" t="str">
        <f t="shared" si="97"/>
        <v>-</v>
      </c>
      <c r="U930" s="3"/>
      <c r="V930" s="9" t="str">
        <f t="shared" si="98"/>
        <v/>
      </c>
      <c r="W930" s="67"/>
      <c r="X930" s="88"/>
      <c r="Y930" s="1">
        <f t="shared" ca="1" si="94"/>
        <v>46162</v>
      </c>
      <c r="Z930" s="1" cm="1">
        <f t="array" ref="Z930">IF(D930&gt;DATE(2015,5,16),0,
K930*
(
INT((MIN(Y930,DATE(2015,5,16))-D930)/365)
+
CEILING(MOD((MIN(Y930,DATE(2015,5,16))-D930)/365,1),0.25)
)
*
_xlfn.SWITCH(J930,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30" s="1" cm="1">
        <f t="array" aca="1" ref="AA930" ca="1">IF(Y930&lt;DATE(2015,5,17),0,
K930*
(
INT((MIN(Y930,DATE(2018,9,23))-MAX(D930,DATE(2015,5,17)))/365)
+
CEILING(MOD((MIN(Y930,DATE(2018,9,23))-MAX(D930,DATE(2015,5,17)))/365,1),0.25)
)
*
_xlfn.SWITCH(J930,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30" s="1" cm="1">
        <f t="array" aca="1" ref="AB930" ca="1">IF(Y930&lt;DATE(2018,9,24),0,
IF(J930="زراعة",
K930*
(
INT((MIN(Y930,DATE(2023,4,30))-MAX(D930,DATE(2018,9,24)))/365)
+
CEILING(MOD((MIN(Y930,DATE(2023,4,30))-MAX(D930,DATE(2018,9,24)))/365,1),0.25)
)
*1,
K930*
(
DATEDIF(MAX(D930,DATE(2018,9,24)),MIN(Y930,DATE(2023,4,30)),"m")+1
)
*
_xlfn.SWITCH(J930,
"موقف/تندة",IF(D930&lt;DATE(2019,11,30),6,30),
"تشوينات",IF(D930&lt;DATE(2019,11,30),4,20),
"مشاتل",IF(D930&lt;DATE(2019,11,30),2,10),
"كافيتيريا",IF(D930&lt;DATE(2019,11,30),30,150),
"نوادي",IF(D930&lt;DATE(2019,11,30),6,30),
"رسو مراكب",IF(D930&lt;DATE(2019,11,30),2,10),
"مباني",IF(D930&lt;DATE(2018,9,24),2,10),
"عشش",IF(D930&lt;DATE(2019,11,30),2,10),
"كشك (تجاري/صناعي)",IF(D930&lt;DATE(2019,11,30),10,50),
"ردم",20,
0)))</f>
        <v>0</v>
      </c>
      <c r="AC930" s="1" cm="1">
        <f t="array" aca="1" ref="AC930" ca="1">IF(Y930&lt;DATE(2023,5,1),0,
IF(J930="زراعة",
K930*
(
INT((Y930-MAX(DATE(2023,5,1),D930))/365)
+
CEILING(MOD((Y930-MAX(DATE(2023,5,1),D930))/365,1),0.25)
)
*3,
IF(J930="ردم",
K930*20,
K930*
(
DATEDIF(MAX(DATE(2023,5,1),D930),Y930,"m")+1
)
*
_xlfn.SWITCH(J930,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30" s="1">
        <f t="shared" ca="1" si="95"/>
        <v>55</v>
      </c>
    </row>
    <row r="931" spans="1:30" ht="18.75" x14ac:dyDescent="0.25">
      <c r="A931" s="37">
        <v>866</v>
      </c>
      <c r="B931" s="63">
        <v>128</v>
      </c>
      <c r="C931" s="63">
        <v>2025</v>
      </c>
      <c r="D931" s="64" t="s">
        <v>975</v>
      </c>
      <c r="E931" s="11"/>
      <c r="F931" s="3"/>
      <c r="G931" s="63" t="s">
        <v>1082</v>
      </c>
      <c r="H931" s="3"/>
      <c r="I931" s="63" t="s">
        <v>377</v>
      </c>
      <c r="J931" s="3" t="s">
        <v>27</v>
      </c>
      <c r="K931" s="3"/>
      <c r="L931" s="3" t="s">
        <v>191</v>
      </c>
      <c r="M931" s="2"/>
      <c r="N931" s="3"/>
      <c r="O931" s="9">
        <f>0.47*Table2[[#This Row],[قيمة المحضر]]</f>
        <v>0</v>
      </c>
      <c r="P931" s="9">
        <f>0.17*Table2[[#This Row],[قيمة المحضر]]</f>
        <v>0</v>
      </c>
      <c r="Q931" s="9">
        <f t="shared" ca="1" si="96"/>
        <v>0</v>
      </c>
      <c r="R931" s="3"/>
      <c r="S931" s="3"/>
      <c r="T931" s="9" t="str">
        <f t="shared" si="97"/>
        <v>-</v>
      </c>
      <c r="U931" s="3"/>
      <c r="V931" s="9" t="str">
        <f t="shared" si="98"/>
        <v/>
      </c>
      <c r="W931" s="67"/>
      <c r="X931" s="88"/>
      <c r="Y931" s="1">
        <f t="shared" ca="1" si="94"/>
        <v>46162</v>
      </c>
      <c r="Z931" s="1" cm="1">
        <f t="array" ref="Z931">IF(D931&gt;DATE(2015,5,16),0,
K931*
(
INT((MIN(Y931,DATE(2015,5,16))-D931)/365)
+
CEILING(MOD((MIN(Y931,DATE(2015,5,16))-D931)/365,1),0.25)
)
*
_xlfn.SWITCH(J931,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31" s="1" cm="1">
        <f t="array" aca="1" ref="AA931" ca="1">IF(Y931&lt;DATE(2015,5,17),0,
K931*
(
INT((MIN(Y931,DATE(2018,9,23))-MAX(D931,DATE(2015,5,17)))/365)
+
CEILING(MOD((MIN(Y931,DATE(2018,9,23))-MAX(D931,DATE(2015,5,17)))/365,1),0.25)
)
*
_xlfn.SWITCH(J931,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31" s="1" cm="1">
        <f t="array" aca="1" ref="AB931" ca="1">IF(Y931&lt;DATE(2018,9,24),0,
IF(J931="زراعة",
K931*
(
INT((MIN(Y931,DATE(2023,4,30))-MAX(D931,DATE(2018,9,24)))/365)
+
CEILING(MOD((MIN(Y931,DATE(2023,4,30))-MAX(D931,DATE(2018,9,24)))/365,1),0.25)
)
*1,
K931*
(
DATEDIF(MAX(D931,DATE(2018,9,24)),MIN(Y931,DATE(2023,4,30)),"m")+1
)
*
_xlfn.SWITCH(J931,
"موقف/تندة",IF(D931&lt;DATE(2019,11,30),6,30),
"تشوينات",IF(D931&lt;DATE(2019,11,30),4,20),
"مشاتل",IF(D931&lt;DATE(2019,11,30),2,10),
"كافيتيريا",IF(D931&lt;DATE(2019,11,30),30,150),
"نوادي",IF(D931&lt;DATE(2019,11,30),6,30),
"رسو مراكب",IF(D931&lt;DATE(2019,11,30),2,10),
"مباني",IF(D931&lt;DATE(2018,9,24),2,10),
"عشش",IF(D931&lt;DATE(2019,11,30),2,10),
"كشك (تجاري/صناعي)",IF(D931&lt;DATE(2019,11,30),10,50),
"ردم",20,
0)))</f>
        <v>0</v>
      </c>
      <c r="AC931" s="1" cm="1">
        <f t="array" aca="1" ref="AC931" ca="1">IF(Y931&lt;DATE(2023,5,1),0,
IF(J931="زراعة",
K931*
(
INT((Y931-MAX(DATE(2023,5,1),D931))/365)
+
CEILING(MOD((Y931-MAX(DATE(2023,5,1),D931))/365,1),0.25)
)
*3,
IF(J931="ردم",
K931*20,
K931*
(
DATEDIF(MAX(DATE(2023,5,1),D931),Y931,"m")+1
)
*
_xlfn.SWITCH(J931,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31" s="1">
        <f t="shared" ca="1" si="95"/>
        <v>55</v>
      </c>
    </row>
    <row r="932" spans="1:30" ht="18.75" x14ac:dyDescent="0.25">
      <c r="A932" s="37">
        <v>867</v>
      </c>
      <c r="B932" s="63">
        <v>129</v>
      </c>
      <c r="C932" s="63">
        <v>2025</v>
      </c>
      <c r="D932" s="64" t="s">
        <v>975</v>
      </c>
      <c r="E932" s="11"/>
      <c r="F932" s="3"/>
      <c r="G932" s="63" t="s">
        <v>1083</v>
      </c>
      <c r="H932" s="3"/>
      <c r="I932" s="63" t="s">
        <v>377</v>
      </c>
      <c r="J932" s="3" t="s">
        <v>27</v>
      </c>
      <c r="K932" s="3"/>
      <c r="L932" s="3" t="s">
        <v>191</v>
      </c>
      <c r="M932" s="2"/>
      <c r="N932" s="3"/>
      <c r="O932" s="9">
        <f>0.47*Table2[[#This Row],[قيمة المحضر]]</f>
        <v>0</v>
      </c>
      <c r="P932" s="9">
        <f>0.17*Table2[[#This Row],[قيمة المحضر]]</f>
        <v>0</v>
      </c>
      <c r="Q932" s="9">
        <f t="shared" ca="1" si="96"/>
        <v>0</v>
      </c>
      <c r="R932" s="3"/>
      <c r="S932" s="3"/>
      <c r="T932" s="9" t="str">
        <f t="shared" si="97"/>
        <v>-</v>
      </c>
      <c r="U932" s="3"/>
      <c r="V932" s="9" t="str">
        <f t="shared" si="98"/>
        <v/>
      </c>
      <c r="W932" s="67"/>
      <c r="X932" s="88"/>
      <c r="Y932" s="1">
        <f t="shared" ca="1" si="94"/>
        <v>46162</v>
      </c>
      <c r="Z932" s="1" cm="1">
        <f t="array" ref="Z932">IF(D932&gt;DATE(2015,5,16),0,
K932*
(
INT((MIN(Y932,DATE(2015,5,16))-D932)/365)
+
CEILING(MOD((MIN(Y932,DATE(2015,5,16))-D932)/365,1),0.25)
)
*
_xlfn.SWITCH(J932,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32" s="1" cm="1">
        <f t="array" aca="1" ref="AA932" ca="1">IF(Y932&lt;DATE(2015,5,17),0,
K932*
(
INT((MIN(Y932,DATE(2018,9,23))-MAX(D932,DATE(2015,5,17)))/365)
+
CEILING(MOD((MIN(Y932,DATE(2018,9,23))-MAX(D932,DATE(2015,5,17)))/365,1),0.25)
)
*
_xlfn.SWITCH(J932,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32" s="1" cm="1">
        <f t="array" aca="1" ref="AB932" ca="1">IF(Y932&lt;DATE(2018,9,24),0,
IF(J932="زراعة",
K932*
(
INT((MIN(Y932,DATE(2023,4,30))-MAX(D932,DATE(2018,9,24)))/365)
+
CEILING(MOD((MIN(Y932,DATE(2023,4,30))-MAX(D932,DATE(2018,9,24)))/365,1),0.25)
)
*1,
K932*
(
DATEDIF(MAX(D932,DATE(2018,9,24)),MIN(Y932,DATE(2023,4,30)),"m")+1
)
*
_xlfn.SWITCH(J932,
"موقف/تندة",IF(D932&lt;DATE(2019,11,30),6,30),
"تشوينات",IF(D932&lt;DATE(2019,11,30),4,20),
"مشاتل",IF(D932&lt;DATE(2019,11,30),2,10),
"كافيتيريا",IF(D932&lt;DATE(2019,11,30),30,150),
"نوادي",IF(D932&lt;DATE(2019,11,30),6,30),
"رسو مراكب",IF(D932&lt;DATE(2019,11,30),2,10),
"مباني",IF(D932&lt;DATE(2018,9,24),2,10),
"عشش",IF(D932&lt;DATE(2019,11,30),2,10),
"كشك (تجاري/صناعي)",IF(D932&lt;DATE(2019,11,30),10,50),
"ردم",20,
0)))</f>
        <v>0</v>
      </c>
      <c r="AC932" s="1" cm="1">
        <f t="array" aca="1" ref="AC932" ca="1">IF(Y932&lt;DATE(2023,5,1),0,
IF(J932="زراعة",
K932*
(
INT((Y932-MAX(DATE(2023,5,1),D932))/365)
+
CEILING(MOD((Y932-MAX(DATE(2023,5,1),D932))/365,1),0.25)
)
*3,
IF(J932="ردم",
K932*20,
K932*
(
DATEDIF(MAX(DATE(2023,5,1),D932),Y932,"m")+1
)
*
_xlfn.SWITCH(J932,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32" s="1">
        <f t="shared" ca="1" si="95"/>
        <v>55</v>
      </c>
    </row>
    <row r="933" spans="1:30" ht="18.75" x14ac:dyDescent="0.25">
      <c r="A933" s="37">
        <v>868</v>
      </c>
      <c r="B933" s="63">
        <v>130</v>
      </c>
      <c r="C933" s="63">
        <v>2025</v>
      </c>
      <c r="D933" s="64" t="s">
        <v>976</v>
      </c>
      <c r="E933" s="11"/>
      <c r="F933" s="3"/>
      <c r="G933" s="63" t="s">
        <v>1084</v>
      </c>
      <c r="H933" s="3"/>
      <c r="I933" s="63" t="s">
        <v>377</v>
      </c>
      <c r="J933" s="3" t="s">
        <v>195</v>
      </c>
      <c r="K933" s="3"/>
      <c r="L933" s="3" t="s">
        <v>191</v>
      </c>
      <c r="M933" s="2"/>
      <c r="N933" s="3"/>
      <c r="O933" s="9">
        <f>0.47*Table2[[#This Row],[قيمة المحضر]]</f>
        <v>0</v>
      </c>
      <c r="P933" s="9">
        <f>0.17*Table2[[#This Row],[قيمة المحضر]]</f>
        <v>0</v>
      </c>
      <c r="Q933" s="9">
        <f t="shared" ca="1" si="96"/>
        <v>0</v>
      </c>
      <c r="R933" s="3"/>
      <c r="S933" s="3"/>
      <c r="T933" s="9" t="str">
        <f t="shared" si="97"/>
        <v>-</v>
      </c>
      <c r="U933" s="3"/>
      <c r="V933" s="9" t="str">
        <f t="shared" si="98"/>
        <v/>
      </c>
      <c r="W933" s="67"/>
      <c r="X933" s="88"/>
      <c r="Y933" s="1">
        <f t="shared" ca="1" si="94"/>
        <v>46162</v>
      </c>
      <c r="Z933" s="1" cm="1">
        <f t="array" ref="Z933">IF(D933&gt;DATE(2015,5,16),0,
K933*
(
INT((MIN(Y933,DATE(2015,5,16))-D933)/365)
+
CEILING(MOD((MIN(Y933,DATE(2015,5,16))-D933)/365,1),0.25)
)
*
_xlfn.SWITCH(J933,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33" s="1" cm="1">
        <f t="array" aca="1" ref="AA933" ca="1">IF(Y933&lt;DATE(2015,5,17),0,
K933*
(
INT((MIN(Y933,DATE(2018,9,23))-MAX(D933,DATE(2015,5,17)))/365)
+
CEILING(MOD((MIN(Y933,DATE(2018,9,23))-MAX(D933,DATE(2015,5,17)))/365,1),0.25)
)
*
_xlfn.SWITCH(J933,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33" s="1" cm="1">
        <f t="array" aca="1" ref="AB933" ca="1">IF(Y933&lt;DATE(2018,9,24),0,
IF(J933="زراعة",
K933*
(
INT((MIN(Y933,DATE(2023,4,30))-MAX(D933,DATE(2018,9,24)))/365)
+
CEILING(MOD((MIN(Y933,DATE(2023,4,30))-MAX(D933,DATE(2018,9,24)))/365,1),0.25)
)
*1,
K933*
(
DATEDIF(MAX(D933,DATE(2018,9,24)),MIN(Y933,DATE(2023,4,30)),"m")+1
)
*
_xlfn.SWITCH(J933,
"موقف/تندة",IF(D933&lt;DATE(2019,11,30),6,30),
"تشوينات",IF(D933&lt;DATE(2019,11,30),4,20),
"مشاتل",IF(D933&lt;DATE(2019,11,30),2,10),
"كافيتيريا",IF(D933&lt;DATE(2019,11,30),30,150),
"نوادي",IF(D933&lt;DATE(2019,11,30),6,30),
"رسو مراكب",IF(D933&lt;DATE(2019,11,30),2,10),
"مباني",IF(D933&lt;DATE(2018,9,24),2,10),
"عشش",IF(D933&lt;DATE(2019,11,30),2,10),
"كشك (تجاري/صناعي)",IF(D933&lt;DATE(2019,11,30),10,50),
"ردم",20,
0)))</f>
        <v>0</v>
      </c>
      <c r="AC933" s="1" cm="1">
        <f t="array" aca="1" ref="AC933" ca="1">IF(Y933&lt;DATE(2023,5,1),0,
IF(J933="زراعة",
K933*
(
INT((Y933-MAX(DATE(2023,5,1),D933))/365)
+
CEILING(MOD((Y933-MAX(DATE(2023,5,1),D933))/365,1),0.25)
)
*3,
IF(J933="ردم",
K933*20,
K933*
(
DATEDIF(MAX(DATE(2023,5,1),D933),Y933,"m")+1
)
*
_xlfn.SWITCH(J933,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33" s="1">
        <f t="shared" ca="1" si="95"/>
        <v>55</v>
      </c>
    </row>
    <row r="934" spans="1:30" ht="18.75" x14ac:dyDescent="0.25">
      <c r="A934" s="37">
        <v>869</v>
      </c>
      <c r="B934" s="63">
        <v>131</v>
      </c>
      <c r="C934" s="63">
        <v>2025</v>
      </c>
      <c r="D934" s="64" t="s">
        <v>977</v>
      </c>
      <c r="E934" s="11"/>
      <c r="F934" s="3"/>
      <c r="G934" s="63" t="s">
        <v>1085</v>
      </c>
      <c r="H934" s="3"/>
      <c r="I934" s="63" t="s">
        <v>50</v>
      </c>
      <c r="J934" s="3" t="s">
        <v>195</v>
      </c>
      <c r="K934" s="3"/>
      <c r="L934" s="3" t="s">
        <v>672</v>
      </c>
      <c r="M934" s="2"/>
      <c r="N934" s="3"/>
      <c r="O934" s="9">
        <f>0.47*Table2[[#This Row],[قيمة المحضر]]</f>
        <v>0</v>
      </c>
      <c r="P934" s="9">
        <f>0.17*Table2[[#This Row],[قيمة المحضر]]</f>
        <v>0</v>
      </c>
      <c r="Q934" s="9">
        <f t="shared" ca="1" si="96"/>
        <v>0</v>
      </c>
      <c r="R934" s="3"/>
      <c r="S934" s="3"/>
      <c r="T934" s="9" t="str">
        <f t="shared" si="97"/>
        <v>-</v>
      </c>
      <c r="U934" s="3"/>
      <c r="V934" s="9" t="str">
        <f t="shared" si="98"/>
        <v/>
      </c>
      <c r="W934" s="67"/>
      <c r="X934" s="88"/>
      <c r="Y934" s="1">
        <f t="shared" ca="1" si="94"/>
        <v>46162</v>
      </c>
      <c r="Z934" s="1" cm="1">
        <f t="array" ref="Z934">IF(D934&gt;DATE(2015,5,16),0,
K934*
(
INT((MIN(Y934,DATE(2015,5,16))-D934)/365)
+
CEILING(MOD((MIN(Y934,DATE(2015,5,16))-D934)/365,1),0.25)
)
*
_xlfn.SWITCH(J934,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34" s="1" cm="1">
        <f t="array" aca="1" ref="AA934" ca="1">IF(Y934&lt;DATE(2015,5,17),0,
K934*
(
INT((MIN(Y934,DATE(2018,9,23))-MAX(D934,DATE(2015,5,17)))/365)
+
CEILING(MOD((MIN(Y934,DATE(2018,9,23))-MAX(D934,DATE(2015,5,17)))/365,1),0.25)
)
*
_xlfn.SWITCH(J934,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34" s="1" cm="1">
        <f t="array" aca="1" ref="AB934" ca="1">IF(Y934&lt;DATE(2018,9,24),0,
IF(J934="زراعة",
K934*
(
INT((MIN(Y934,DATE(2023,4,30))-MAX(D934,DATE(2018,9,24)))/365)
+
CEILING(MOD((MIN(Y934,DATE(2023,4,30))-MAX(D934,DATE(2018,9,24)))/365,1),0.25)
)
*1,
K934*
(
DATEDIF(MAX(D934,DATE(2018,9,24)),MIN(Y934,DATE(2023,4,30)),"m")+1
)
*
_xlfn.SWITCH(J934,
"موقف/تندة",IF(D934&lt;DATE(2019,11,30),6,30),
"تشوينات",IF(D934&lt;DATE(2019,11,30),4,20),
"مشاتل",IF(D934&lt;DATE(2019,11,30),2,10),
"كافيتيريا",IF(D934&lt;DATE(2019,11,30),30,150),
"نوادي",IF(D934&lt;DATE(2019,11,30),6,30),
"رسو مراكب",IF(D934&lt;DATE(2019,11,30),2,10),
"مباني",IF(D934&lt;DATE(2018,9,24),2,10),
"عشش",IF(D934&lt;DATE(2019,11,30),2,10),
"كشك (تجاري/صناعي)",IF(D934&lt;DATE(2019,11,30),10,50),
"ردم",20,
0)))</f>
        <v>0</v>
      </c>
      <c r="AC934" s="1" cm="1">
        <f t="array" aca="1" ref="AC934" ca="1">IF(Y934&lt;DATE(2023,5,1),0,
IF(J934="زراعة",
K934*
(
INT((Y934-MAX(DATE(2023,5,1),D934))/365)
+
CEILING(MOD((Y934-MAX(DATE(2023,5,1),D934))/365,1),0.25)
)
*3,
IF(J934="ردم",
K934*20,
K934*
(
DATEDIF(MAX(DATE(2023,5,1),D934),Y934,"m")+1
)
*
_xlfn.SWITCH(J934,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34" s="1">
        <f t="shared" ca="1" si="95"/>
        <v>55</v>
      </c>
    </row>
    <row r="935" spans="1:30" ht="18.75" x14ac:dyDescent="0.25">
      <c r="A935" s="37">
        <v>870</v>
      </c>
      <c r="B935" s="63">
        <v>132</v>
      </c>
      <c r="C935" s="63">
        <v>2025</v>
      </c>
      <c r="D935" s="64" t="s">
        <v>978</v>
      </c>
      <c r="E935" s="11"/>
      <c r="F935" s="3"/>
      <c r="G935" s="63" t="s">
        <v>1086</v>
      </c>
      <c r="H935" s="3"/>
      <c r="I935" s="63" t="s">
        <v>298</v>
      </c>
      <c r="J935" s="3" t="s">
        <v>77</v>
      </c>
      <c r="K935" s="3"/>
      <c r="L935" s="3" t="s">
        <v>89</v>
      </c>
      <c r="M935" s="2"/>
      <c r="N935" s="3"/>
      <c r="O935" s="9">
        <f>0.47*Table2[[#This Row],[قيمة المحضر]]</f>
        <v>0</v>
      </c>
      <c r="P935" s="9">
        <f>0.17*Table2[[#This Row],[قيمة المحضر]]</f>
        <v>0</v>
      </c>
      <c r="Q935" s="9">
        <f t="shared" ref="Q935:Q939" ca="1" si="99">Z935+AA935+AB935+AC935</f>
        <v>0</v>
      </c>
      <c r="R935" s="3"/>
      <c r="S935" s="3"/>
      <c r="T935" s="9" t="str">
        <f t="shared" ref="T935:T939" si="100">IF(R935="تم الحجز",Q935+O935+N935,"-")</f>
        <v>-</v>
      </c>
      <c r="U935" s="3"/>
      <c r="V935" s="9" t="str">
        <f t="shared" ref="V935:V939" si="101">IF(OR(U935="قائم",U935="قائم و سدد مقابل انتفاع"),"-",
IF(U935="تم رد الشئ لأصله",P935+Q935,
IF(U935="ازالة جبرية",N935+O935+Q935,"")))</f>
        <v/>
      </c>
      <c r="W935" s="67"/>
      <c r="X935" s="88"/>
      <c r="Y935" s="1">
        <f t="shared" ca="1" si="94"/>
        <v>46162</v>
      </c>
      <c r="Z935" s="1" cm="1">
        <f t="array" ref="Z935">IF(D935&gt;DATE(2015,5,16),0,
K935*
(
INT((MIN(Y935,DATE(2015,5,16))-D935)/365)
+
CEILING(MOD((MIN(Y935,DATE(2015,5,16))-D935)/365,1),0.25)
)
*
_xlfn.SWITCH(J935,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35" s="1" cm="1">
        <f t="array" aca="1" ref="AA935" ca="1">IF(Y935&lt;DATE(2015,5,17),0,
K935*
(
INT((MIN(Y935,DATE(2018,9,23))-MAX(D935,DATE(2015,5,17)))/365)
+
CEILING(MOD((MIN(Y935,DATE(2018,9,23))-MAX(D935,DATE(2015,5,17)))/365,1),0.25)
)
*
_xlfn.SWITCH(J935,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35" s="1" cm="1">
        <f t="array" aca="1" ref="AB935" ca="1">IF(Y935&lt;DATE(2018,9,24),0,
IF(J935="زراعة",
K935*
(
INT((MIN(Y935,DATE(2023,4,30))-MAX(D935,DATE(2018,9,24)))/365)
+
CEILING(MOD((MIN(Y935,DATE(2023,4,30))-MAX(D935,DATE(2018,9,24)))/365,1),0.25)
)
*1,
K935*
(
DATEDIF(MAX(D935,DATE(2018,9,24)),MIN(Y935,DATE(2023,4,30)),"m")+1
)
*
_xlfn.SWITCH(J935,
"موقف/تندة",IF(D935&lt;DATE(2019,11,30),6,30),
"تشوينات",IF(D935&lt;DATE(2019,11,30),4,20),
"مشاتل",IF(D935&lt;DATE(2019,11,30),2,10),
"كافيتيريا",IF(D935&lt;DATE(2019,11,30),30,150),
"نوادي",IF(D935&lt;DATE(2019,11,30),6,30),
"رسو مراكب",IF(D935&lt;DATE(2019,11,30),2,10),
"مباني",IF(D935&lt;DATE(2018,9,24),2,10),
"عشش",IF(D935&lt;DATE(2019,11,30),2,10),
"كشك (تجاري/صناعي)",IF(D935&lt;DATE(2019,11,30),10,50),
"ردم",20,
0)))</f>
        <v>0</v>
      </c>
      <c r="AC935" s="1" cm="1">
        <f t="array" aca="1" ref="AC935" ca="1">IF(Y935&lt;DATE(2023,5,1),0,
IF(J935="زراعة",
K935*
(
INT((Y935-MAX(DATE(2023,5,1),D935))/365)
+
CEILING(MOD((Y935-MAX(DATE(2023,5,1),D935))/365,1),0.25)
)
*3,
IF(J935="ردم",
K935*20,
K935*
(
DATEDIF(MAX(DATE(2023,5,1),D935),Y935,"m")+1
)
*
_xlfn.SWITCH(J935,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35" s="1">
        <f t="shared" ca="1" si="95"/>
        <v>55</v>
      </c>
    </row>
    <row r="936" spans="1:30" ht="18.75" x14ac:dyDescent="0.25">
      <c r="A936" s="37">
        <v>871</v>
      </c>
      <c r="B936" s="63">
        <v>133</v>
      </c>
      <c r="C936" s="63">
        <v>2025</v>
      </c>
      <c r="D936" s="64" t="s">
        <v>979</v>
      </c>
      <c r="E936" s="11"/>
      <c r="F936" s="3"/>
      <c r="G936" s="63" t="s">
        <v>1087</v>
      </c>
      <c r="H936" s="3"/>
      <c r="I936" s="63" t="s">
        <v>192</v>
      </c>
      <c r="J936" s="3" t="s">
        <v>1094</v>
      </c>
      <c r="K936" s="3"/>
      <c r="L936" s="3" t="s">
        <v>89</v>
      </c>
      <c r="M936" s="2"/>
      <c r="N936" s="3"/>
      <c r="O936" s="9">
        <f>0.47*Table2[[#This Row],[قيمة المحضر]]</f>
        <v>0</v>
      </c>
      <c r="P936" s="9">
        <f>0.17*Table2[[#This Row],[قيمة المحضر]]</f>
        <v>0</v>
      </c>
      <c r="Q936" s="9">
        <f t="shared" ca="1" si="99"/>
        <v>0</v>
      </c>
      <c r="R936" s="3"/>
      <c r="S936" s="3"/>
      <c r="T936" s="9" t="str">
        <f t="shared" si="100"/>
        <v>-</v>
      </c>
      <c r="U936" s="3"/>
      <c r="V936" s="9" t="str">
        <f t="shared" si="101"/>
        <v/>
      </c>
      <c r="W936" s="67"/>
      <c r="X936" s="88"/>
      <c r="Y936" s="1">
        <f t="shared" ca="1" si="94"/>
        <v>46162</v>
      </c>
      <c r="Z936" s="1" cm="1">
        <f t="array" ref="Z936">IF(D936&gt;DATE(2015,5,16),0,
K936*
(
INT((MIN(Y936,DATE(2015,5,16))-D936)/365)
+
CEILING(MOD((MIN(Y936,DATE(2015,5,16))-D936)/365,1),0.25)
)
*
_xlfn.SWITCH(J936,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36" s="1" cm="1">
        <f t="array" aca="1" ref="AA936" ca="1">IF(Y936&lt;DATE(2015,5,17),0,
K936*
(
INT((MIN(Y936,DATE(2018,9,23))-MAX(D936,DATE(2015,5,17)))/365)
+
CEILING(MOD((MIN(Y936,DATE(2018,9,23))-MAX(D936,DATE(2015,5,17)))/365,1),0.25)
)
*
_xlfn.SWITCH(J936,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36" s="1" cm="1">
        <f t="array" aca="1" ref="AB936" ca="1">IF(Y936&lt;DATE(2018,9,24),0,
IF(J936="زراعة",
K936*
(
INT((MIN(Y936,DATE(2023,4,30))-MAX(D936,DATE(2018,9,24)))/365)
+
CEILING(MOD((MIN(Y936,DATE(2023,4,30))-MAX(D936,DATE(2018,9,24)))/365,1),0.25)
)
*1,
K936*
(
DATEDIF(MAX(D936,DATE(2018,9,24)),MIN(Y936,DATE(2023,4,30)),"m")+1
)
*
_xlfn.SWITCH(J936,
"موقف/تندة",IF(D936&lt;DATE(2019,11,30),6,30),
"تشوينات",IF(D936&lt;DATE(2019,11,30),4,20),
"مشاتل",IF(D936&lt;DATE(2019,11,30),2,10),
"كافيتيريا",IF(D936&lt;DATE(2019,11,30),30,150),
"نوادي",IF(D936&lt;DATE(2019,11,30),6,30),
"رسو مراكب",IF(D936&lt;DATE(2019,11,30),2,10),
"مباني",IF(D936&lt;DATE(2018,9,24),2,10),
"عشش",IF(D936&lt;DATE(2019,11,30),2,10),
"كشك (تجاري/صناعي)",IF(D936&lt;DATE(2019,11,30),10,50),
"ردم",20,
0)))</f>
        <v>0</v>
      </c>
      <c r="AC936" s="1" cm="1">
        <f t="array" aca="1" ref="AC936" ca="1">IF(Y936&lt;DATE(2023,5,1),0,
IF(J936="زراعة",
K936*
(
INT((Y936-MAX(DATE(2023,5,1),D936))/365)
+
CEILING(MOD((Y936-MAX(DATE(2023,5,1),D936))/365,1),0.25)
)
*3,
IF(J936="ردم",
K936*20,
K936*
(
DATEDIF(MAX(DATE(2023,5,1),D936),Y936,"m")+1
)
*
_xlfn.SWITCH(J936,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36" s="1">
        <f t="shared" ca="1" si="95"/>
        <v>55</v>
      </c>
    </row>
    <row r="937" spans="1:30" ht="18.75" x14ac:dyDescent="0.25">
      <c r="A937" s="37">
        <v>872</v>
      </c>
      <c r="B937" s="63">
        <v>134</v>
      </c>
      <c r="C937" s="63">
        <v>2025</v>
      </c>
      <c r="D937" s="64" t="s">
        <v>979</v>
      </c>
      <c r="E937" s="11"/>
      <c r="F937" s="3"/>
      <c r="G937" s="63" t="s">
        <v>900</v>
      </c>
      <c r="H937" s="3"/>
      <c r="I937" s="63" t="s">
        <v>1093</v>
      </c>
      <c r="J937" s="3" t="s">
        <v>29</v>
      </c>
      <c r="K937" s="3"/>
      <c r="L937" s="3" t="s">
        <v>89</v>
      </c>
      <c r="M937" s="2"/>
      <c r="N937" s="3"/>
      <c r="O937" s="9">
        <f>0.47*Table2[[#This Row],[قيمة المحضر]]</f>
        <v>0</v>
      </c>
      <c r="P937" s="9">
        <f>0.17*Table2[[#This Row],[قيمة المحضر]]</f>
        <v>0</v>
      </c>
      <c r="Q937" s="9">
        <f t="shared" ca="1" si="99"/>
        <v>0</v>
      </c>
      <c r="R937" s="3"/>
      <c r="S937" s="3"/>
      <c r="T937" s="9" t="str">
        <f t="shared" si="100"/>
        <v>-</v>
      </c>
      <c r="U937" s="3"/>
      <c r="V937" s="9" t="str">
        <f t="shared" si="101"/>
        <v/>
      </c>
      <c r="W937" s="67"/>
      <c r="X937" s="88"/>
      <c r="Y937" s="1">
        <f t="shared" ca="1" si="94"/>
        <v>46162</v>
      </c>
      <c r="Z937" s="1" cm="1">
        <f t="array" ref="Z937">IF(D937&gt;DATE(2015,5,16),0,
K937*
(
INT((MIN(Y937,DATE(2015,5,16))-D937)/365)
+
CEILING(MOD((MIN(Y937,DATE(2015,5,16))-D937)/365,1),0.25)
)
*
_xlfn.SWITCH(J937,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37" s="1" cm="1">
        <f t="array" aca="1" ref="AA937" ca="1">IF(Y937&lt;DATE(2015,5,17),0,
K937*
(
INT((MIN(Y937,DATE(2018,9,23))-MAX(D937,DATE(2015,5,17)))/365)
+
CEILING(MOD((MIN(Y937,DATE(2018,9,23))-MAX(D937,DATE(2015,5,17)))/365,1),0.25)
)
*
_xlfn.SWITCH(J937,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37" s="1" cm="1">
        <f t="array" aca="1" ref="AB937" ca="1">IF(Y937&lt;DATE(2018,9,24),0,
IF(J937="زراعة",
K937*
(
INT((MIN(Y937,DATE(2023,4,30))-MAX(D937,DATE(2018,9,24)))/365)
+
CEILING(MOD((MIN(Y937,DATE(2023,4,30))-MAX(D937,DATE(2018,9,24)))/365,1),0.25)
)
*1,
K937*
(
DATEDIF(MAX(D937,DATE(2018,9,24)),MIN(Y937,DATE(2023,4,30)),"m")+1
)
*
_xlfn.SWITCH(J937,
"موقف/تندة",IF(D937&lt;DATE(2019,11,30),6,30),
"تشوينات",IF(D937&lt;DATE(2019,11,30),4,20),
"مشاتل",IF(D937&lt;DATE(2019,11,30),2,10),
"كافيتيريا",IF(D937&lt;DATE(2019,11,30),30,150),
"نوادي",IF(D937&lt;DATE(2019,11,30),6,30),
"رسو مراكب",IF(D937&lt;DATE(2019,11,30),2,10),
"مباني",IF(D937&lt;DATE(2018,9,24),2,10),
"عشش",IF(D937&lt;DATE(2019,11,30),2,10),
"كشك (تجاري/صناعي)",IF(D937&lt;DATE(2019,11,30),10,50),
"ردم",20,
0)))</f>
        <v>0</v>
      </c>
      <c r="AC937" s="1" cm="1">
        <f t="array" aca="1" ref="AC937" ca="1">IF(Y937&lt;DATE(2023,5,1),0,
IF(J937="زراعة",
K937*
(
INT((Y937-MAX(DATE(2023,5,1),D937))/365)
+
CEILING(MOD((Y937-MAX(DATE(2023,5,1),D937))/365,1),0.25)
)
*3,
IF(J937="ردم",
K937*20,
K937*
(
DATEDIF(MAX(DATE(2023,5,1),D937),Y937,"m")+1
)
*
_xlfn.SWITCH(J937,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37" s="1">
        <f t="shared" ca="1" si="95"/>
        <v>55</v>
      </c>
    </row>
    <row r="938" spans="1:30" ht="18.75" x14ac:dyDescent="0.25">
      <c r="A938" s="37">
        <v>873</v>
      </c>
      <c r="B938" s="63">
        <v>135</v>
      </c>
      <c r="C938" s="63">
        <v>2025</v>
      </c>
      <c r="D938" s="64" t="s">
        <v>979</v>
      </c>
      <c r="E938" s="11"/>
      <c r="F938" s="3"/>
      <c r="G938" s="63" t="s">
        <v>1088</v>
      </c>
      <c r="H938" s="3"/>
      <c r="I938" s="63" t="s">
        <v>829</v>
      </c>
      <c r="J938" s="3" t="s">
        <v>29</v>
      </c>
      <c r="K938" s="3"/>
      <c r="L938" s="3" t="s">
        <v>89</v>
      </c>
      <c r="M938" s="2"/>
      <c r="N938" s="3"/>
      <c r="O938" s="9">
        <f>0.47*Table2[[#This Row],[قيمة المحضر]]</f>
        <v>0</v>
      </c>
      <c r="P938" s="9">
        <f>0.17*Table2[[#This Row],[قيمة المحضر]]</f>
        <v>0</v>
      </c>
      <c r="Q938" s="9">
        <f t="shared" ca="1" si="99"/>
        <v>0</v>
      </c>
      <c r="R938" s="3"/>
      <c r="S938" s="3"/>
      <c r="T938" s="9" t="str">
        <f t="shared" si="100"/>
        <v>-</v>
      </c>
      <c r="U938" s="3"/>
      <c r="V938" s="9" t="str">
        <f t="shared" si="101"/>
        <v/>
      </c>
      <c r="W938" s="67"/>
      <c r="X938" s="88"/>
      <c r="Y938" s="1">
        <f t="shared" ca="1" si="94"/>
        <v>46162</v>
      </c>
      <c r="Z938" s="1" cm="1">
        <f t="array" ref="Z938">IF(D938&gt;DATE(2015,5,16),0,
K938*
(
INT((MIN(Y938,DATE(2015,5,16))-D938)/365)
+
CEILING(MOD((MIN(Y938,DATE(2015,5,16))-D938)/365,1),0.25)
)
*
_xlfn.SWITCH(J938,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38" s="1" cm="1">
        <f t="array" aca="1" ref="AA938" ca="1">IF(Y938&lt;DATE(2015,5,17),0,
K938*
(
INT((MIN(Y938,DATE(2018,9,23))-MAX(D938,DATE(2015,5,17)))/365)
+
CEILING(MOD((MIN(Y938,DATE(2018,9,23))-MAX(D938,DATE(2015,5,17)))/365,1),0.25)
)
*
_xlfn.SWITCH(J938,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38" s="1" cm="1">
        <f t="array" aca="1" ref="AB938" ca="1">IF(Y938&lt;DATE(2018,9,24),0,
IF(J938="زراعة",
K938*
(
INT((MIN(Y938,DATE(2023,4,30))-MAX(D938,DATE(2018,9,24)))/365)
+
CEILING(MOD((MIN(Y938,DATE(2023,4,30))-MAX(D938,DATE(2018,9,24)))/365,1),0.25)
)
*1,
K938*
(
DATEDIF(MAX(D938,DATE(2018,9,24)),MIN(Y938,DATE(2023,4,30)),"m")+1
)
*
_xlfn.SWITCH(J938,
"موقف/تندة",IF(D938&lt;DATE(2019,11,30),6,30),
"تشوينات",IF(D938&lt;DATE(2019,11,30),4,20),
"مشاتل",IF(D938&lt;DATE(2019,11,30),2,10),
"كافيتيريا",IF(D938&lt;DATE(2019,11,30),30,150),
"نوادي",IF(D938&lt;DATE(2019,11,30),6,30),
"رسو مراكب",IF(D938&lt;DATE(2019,11,30),2,10),
"مباني",IF(D938&lt;DATE(2018,9,24),2,10),
"عشش",IF(D938&lt;DATE(2019,11,30),2,10),
"كشك (تجاري/صناعي)",IF(D938&lt;DATE(2019,11,30),10,50),
"ردم",20,
0)))</f>
        <v>0</v>
      </c>
      <c r="AC938" s="1" cm="1">
        <f t="array" aca="1" ref="AC938" ca="1">IF(Y938&lt;DATE(2023,5,1),0,
IF(J938="زراعة",
K938*
(
INT((Y938-MAX(DATE(2023,5,1),D938))/365)
+
CEILING(MOD((Y938-MAX(DATE(2023,5,1),D938))/365,1),0.25)
)
*3,
IF(J938="ردم",
K938*20,
K938*
(
DATEDIF(MAX(DATE(2023,5,1),D938),Y938,"m")+1
)
*
_xlfn.SWITCH(J938,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38" s="1">
        <f t="shared" ca="1" si="95"/>
        <v>55</v>
      </c>
    </row>
    <row r="939" spans="1:30" ht="18.75" x14ac:dyDescent="0.25">
      <c r="A939" s="37">
        <v>874</v>
      </c>
      <c r="B939" s="63">
        <v>136</v>
      </c>
      <c r="C939" s="63">
        <v>2025</v>
      </c>
      <c r="D939" s="64" t="s">
        <v>979</v>
      </c>
      <c r="E939" s="11"/>
      <c r="F939" s="3"/>
      <c r="G939" s="63" t="s">
        <v>1089</v>
      </c>
      <c r="H939" s="3"/>
      <c r="I939" s="63" t="s">
        <v>143</v>
      </c>
      <c r="J939" s="3" t="s">
        <v>195</v>
      </c>
      <c r="K939" s="3"/>
      <c r="L939" s="3" t="s">
        <v>88</v>
      </c>
      <c r="M939" s="2"/>
      <c r="N939" s="3"/>
      <c r="O939" s="9">
        <f>0.47*Table2[[#This Row],[قيمة المحضر]]</f>
        <v>0</v>
      </c>
      <c r="P939" s="9">
        <f>0.17*Table2[[#This Row],[قيمة المحضر]]</f>
        <v>0</v>
      </c>
      <c r="Q939" s="9">
        <f t="shared" ca="1" si="99"/>
        <v>0</v>
      </c>
      <c r="R939" s="3"/>
      <c r="S939" s="3"/>
      <c r="T939" s="9" t="str">
        <f t="shared" si="100"/>
        <v>-</v>
      </c>
      <c r="U939" s="3"/>
      <c r="V939" s="9" t="str">
        <f t="shared" si="101"/>
        <v/>
      </c>
      <c r="W939" s="67"/>
      <c r="X939" s="88"/>
      <c r="Y939" s="1">
        <f t="shared" ca="1" si="94"/>
        <v>46162</v>
      </c>
      <c r="Z939" s="1" cm="1">
        <f t="array" ref="Z939">IF(D939&gt;DATE(2015,5,16),0,
K939*
(
INT((MIN(Y939,DATE(2015,5,16))-D939)/365)
+
CEILING(MOD((MIN(Y939,DATE(2015,5,16))-D939)/365,1),0.25)
)
*
_xlfn.SWITCH(J939,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39" s="1" cm="1">
        <f t="array" aca="1" ref="AA939" ca="1">IF(Y939&lt;DATE(2015,5,17),0,
K939*
(
INT((MIN(Y939,DATE(2018,9,23))-MAX(D939,DATE(2015,5,17)))/365)
+
CEILING(MOD((MIN(Y939,DATE(2018,9,23))-MAX(D939,DATE(2015,5,17)))/365,1),0.25)
)
*
_xlfn.SWITCH(J939,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39" s="1" cm="1">
        <f t="array" aca="1" ref="AB939" ca="1">IF(Y939&lt;DATE(2018,9,24),0,
IF(J939="زراعة",
K939*
(
INT((MIN(Y939,DATE(2023,4,30))-MAX(D939,DATE(2018,9,24)))/365)
+
CEILING(MOD((MIN(Y939,DATE(2023,4,30))-MAX(D939,DATE(2018,9,24)))/365,1),0.25)
)
*1,
K939*
(
DATEDIF(MAX(D939,DATE(2018,9,24)),MIN(Y939,DATE(2023,4,30)),"m")+1
)
*
_xlfn.SWITCH(J939,
"موقف/تندة",IF(D939&lt;DATE(2019,11,30),6,30),
"تشوينات",IF(D939&lt;DATE(2019,11,30),4,20),
"مشاتل",IF(D939&lt;DATE(2019,11,30),2,10),
"كافيتيريا",IF(D939&lt;DATE(2019,11,30),30,150),
"نوادي",IF(D939&lt;DATE(2019,11,30),6,30),
"رسو مراكب",IF(D939&lt;DATE(2019,11,30),2,10),
"مباني",IF(D939&lt;DATE(2018,9,24),2,10),
"عشش",IF(D939&lt;DATE(2019,11,30),2,10),
"كشك (تجاري/صناعي)",IF(D939&lt;DATE(2019,11,30),10,50),
"ردم",20,
0)))</f>
        <v>0</v>
      </c>
      <c r="AC939" s="1" cm="1">
        <f t="array" aca="1" ref="AC939" ca="1">IF(Y939&lt;DATE(2023,5,1),0,
IF(J939="زراعة",
K939*
(
INT((Y939-MAX(DATE(2023,5,1),D939))/365)
+
CEILING(MOD((Y939-MAX(DATE(2023,5,1),D939))/365,1),0.25)
)
*3,
IF(J939="ردم",
K939*20,
K939*
(
DATEDIF(MAX(DATE(2023,5,1),D939),Y939,"m")+1
)
*
_xlfn.SWITCH(J939,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39" s="1">
        <f t="shared" ca="1" si="95"/>
        <v>55</v>
      </c>
    </row>
    <row r="940" spans="1:30" ht="18.75" x14ac:dyDescent="0.25">
      <c r="A940" s="94">
        <v>874</v>
      </c>
      <c r="B940" s="63">
        <v>136</v>
      </c>
      <c r="C940" s="63">
        <v>2025</v>
      </c>
      <c r="D940" s="64" t="s">
        <v>979</v>
      </c>
      <c r="E940" s="11"/>
      <c r="F940" s="3"/>
      <c r="G940" s="63" t="s">
        <v>1089</v>
      </c>
      <c r="H940" s="3"/>
      <c r="I940" s="63" t="s">
        <v>143</v>
      </c>
      <c r="J940" s="3" t="s">
        <v>579</v>
      </c>
      <c r="K940" s="3"/>
      <c r="L940" s="3" t="s">
        <v>88</v>
      </c>
      <c r="M940" s="2"/>
      <c r="N940" s="3"/>
      <c r="O940" s="9">
        <f>0.47*Table2[[#This Row],[قيمة المحضر]]</f>
        <v>0</v>
      </c>
      <c r="P940" s="9">
        <f>0.17*Table2[[#This Row],[قيمة المحضر]]</f>
        <v>0</v>
      </c>
      <c r="Q940" s="9">
        <f t="shared" ref="Q940:Q944" ca="1" si="102">Z940+AA940+AB940+AC940</f>
        <v>0</v>
      </c>
      <c r="R940" s="3"/>
      <c r="S940" s="3"/>
      <c r="T940" s="9" t="str">
        <f t="shared" ref="T940:T944" si="103">IF(R940="تم الحجز",Q940+O940+N940,"-")</f>
        <v>-</v>
      </c>
      <c r="U940" s="3"/>
      <c r="V940" s="9" t="str">
        <f t="shared" ref="V940:V944" si="104">IF(OR(U940="قائم",U940="قائم و سدد مقابل انتفاع"),"-",
IF(U940="تم رد الشئ لأصله",P940+Q940,
IF(U940="ازالة جبرية",N940+O940+Q940,"")))</f>
        <v/>
      </c>
      <c r="W940" s="67"/>
      <c r="X940" s="88"/>
      <c r="Y940" s="1">
        <f t="shared" ca="1" si="94"/>
        <v>46162</v>
      </c>
      <c r="Z940" s="1" cm="1">
        <f t="array" ref="Z940">IF(D940&gt;DATE(2015,5,16),0,
K940*
(
INT((MIN(Y940,DATE(2015,5,16))-D940)/365)
+
CEILING(MOD((MIN(Y940,DATE(2015,5,16))-D940)/365,1),0.25)
)
*
_xlfn.SWITCH(J940,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40" s="1" cm="1">
        <f t="array" aca="1" ref="AA940" ca="1">IF(Y940&lt;DATE(2015,5,17),0,
K940*
(
INT((MIN(Y940,DATE(2018,9,23))-MAX(D940,DATE(2015,5,17)))/365)
+
CEILING(MOD((MIN(Y940,DATE(2018,9,23))-MAX(D940,DATE(2015,5,17)))/365,1),0.25)
)
*
_xlfn.SWITCH(J940,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40" s="1" cm="1">
        <f t="array" aca="1" ref="AB940" ca="1">IF(Y940&lt;DATE(2018,9,24),0,
IF(J940="زراعة",
K940*
(
INT((MIN(Y940,DATE(2023,4,30))-MAX(D940,DATE(2018,9,24)))/365)
+
CEILING(MOD((MIN(Y940,DATE(2023,4,30))-MAX(D940,DATE(2018,9,24)))/365,1),0.25)
)
*1,
K940*
(
DATEDIF(MAX(D940,DATE(2018,9,24)),MIN(Y940,DATE(2023,4,30)),"m")+1
)
*
_xlfn.SWITCH(J940,
"موقف/تندة",IF(D940&lt;DATE(2019,11,30),6,30),
"تشوينات",IF(D940&lt;DATE(2019,11,30),4,20),
"مشاتل",IF(D940&lt;DATE(2019,11,30),2,10),
"كافيتيريا",IF(D940&lt;DATE(2019,11,30),30,150),
"نوادي",IF(D940&lt;DATE(2019,11,30),6,30),
"رسو مراكب",IF(D940&lt;DATE(2019,11,30),2,10),
"مباني",IF(D940&lt;DATE(2018,9,24),2,10),
"عشش",IF(D940&lt;DATE(2019,11,30),2,10),
"كشك (تجاري/صناعي)",IF(D940&lt;DATE(2019,11,30),10,50),
"ردم",20,
0)))</f>
        <v>0</v>
      </c>
      <c r="AC940" s="1" cm="1">
        <f t="array" aca="1" ref="AC940" ca="1">IF(Y940&lt;DATE(2023,5,1),0,
IF(J940="زراعة",
K940*
(
INT((Y940-MAX(DATE(2023,5,1),D940))/365)
+
CEILING(MOD((Y940-MAX(DATE(2023,5,1),D940))/365,1),0.25)
)
*3,
IF(J940="ردم",
K940*20,
K940*
(
DATEDIF(MAX(DATE(2023,5,1),D940),Y940,"m")+1
)
*
_xlfn.SWITCH(J940,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40" s="1">
        <f t="shared" ca="1" si="95"/>
        <v>55</v>
      </c>
    </row>
    <row r="941" spans="1:30" ht="18.75" x14ac:dyDescent="0.25">
      <c r="A941" s="94">
        <v>875</v>
      </c>
      <c r="B941" s="63">
        <v>137</v>
      </c>
      <c r="C941" s="70">
        <v>2025</v>
      </c>
      <c r="D941" s="71" t="s">
        <v>979</v>
      </c>
      <c r="E941" s="11"/>
      <c r="F941" s="3"/>
      <c r="G941" s="70" t="s">
        <v>1090</v>
      </c>
      <c r="H941" s="3"/>
      <c r="I941" s="70" t="s">
        <v>1092</v>
      </c>
      <c r="J941" s="3" t="s">
        <v>438</v>
      </c>
      <c r="K941" s="3"/>
      <c r="L941" s="3" t="s">
        <v>191</v>
      </c>
      <c r="M941" s="2"/>
      <c r="N941" s="3"/>
      <c r="O941" s="9">
        <f>0.47*Table2[[#This Row],[قيمة المحضر]]</f>
        <v>0</v>
      </c>
      <c r="P941" s="9">
        <f>0.17*Table2[[#This Row],[قيمة المحضر]]</f>
        <v>0</v>
      </c>
      <c r="Q941" s="9">
        <f t="shared" ca="1" si="102"/>
        <v>0</v>
      </c>
      <c r="R941" s="3"/>
      <c r="S941" s="3"/>
      <c r="T941" s="9" t="str">
        <f t="shared" si="103"/>
        <v>-</v>
      </c>
      <c r="U941" s="3"/>
      <c r="V941" s="9" t="str">
        <f t="shared" si="104"/>
        <v/>
      </c>
      <c r="W941" s="67"/>
      <c r="X941" s="88"/>
      <c r="Y941" s="1">
        <f t="shared" ca="1" si="94"/>
        <v>46162</v>
      </c>
      <c r="Z941" s="1" cm="1">
        <f t="array" ref="Z941">IF(D941&gt;DATE(2015,5,16),0,
K941*
(
INT((MIN(Y941,DATE(2015,5,16))-D941)/365)
+
CEILING(MOD((MIN(Y941,DATE(2015,5,16))-D941)/365,1),0.25)
)
*
_xlfn.SWITCH(J941,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41" s="1" cm="1">
        <f t="array" aca="1" ref="AA941" ca="1">IF(Y941&lt;DATE(2015,5,17),0,
K941*
(
INT((MIN(Y941,DATE(2018,9,23))-MAX(D941,DATE(2015,5,17)))/365)
+
CEILING(MOD((MIN(Y941,DATE(2018,9,23))-MAX(D941,DATE(2015,5,17)))/365,1),0.25)
)
*
_xlfn.SWITCH(J941,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41" s="1" cm="1">
        <f t="array" aca="1" ref="AB941" ca="1">IF(Y941&lt;DATE(2018,9,24),0,
IF(J941="زراعة",
K941*
(
INT((MIN(Y941,DATE(2023,4,30))-MAX(D941,DATE(2018,9,24)))/365)
+
CEILING(MOD((MIN(Y941,DATE(2023,4,30))-MAX(D941,DATE(2018,9,24)))/365,1),0.25)
)
*1,
K941*
(
DATEDIF(MAX(D941,DATE(2018,9,24)),MIN(Y941,DATE(2023,4,30)),"m")+1
)
*
_xlfn.SWITCH(J941,
"موقف/تندة",IF(D941&lt;DATE(2019,11,30),6,30),
"تشوينات",IF(D941&lt;DATE(2019,11,30),4,20),
"مشاتل",IF(D941&lt;DATE(2019,11,30),2,10),
"كافيتيريا",IF(D941&lt;DATE(2019,11,30),30,150),
"نوادي",IF(D941&lt;DATE(2019,11,30),6,30),
"رسو مراكب",IF(D941&lt;DATE(2019,11,30),2,10),
"مباني",IF(D941&lt;DATE(2018,9,24),2,10),
"عشش",IF(D941&lt;DATE(2019,11,30),2,10),
"كشك (تجاري/صناعي)",IF(D941&lt;DATE(2019,11,30),10,50),
"ردم",20,
0)))</f>
        <v>0</v>
      </c>
      <c r="AC941" s="1" cm="1">
        <f t="array" aca="1" ref="AC941" ca="1">IF(Y941&lt;DATE(2023,5,1),0,
IF(J941="زراعة",
K941*
(
INT((Y941-MAX(DATE(2023,5,1),D941))/365)
+
CEILING(MOD((Y941-MAX(DATE(2023,5,1),D941))/365,1),0.25)
)
*3,
IF(J941="ردم",
K941*20,
K941*
(
DATEDIF(MAX(DATE(2023,5,1),D941),Y941,"m")+1
)
*
_xlfn.SWITCH(J941,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41" s="1">
        <f t="shared" ca="1" si="95"/>
        <v>55</v>
      </c>
    </row>
    <row r="942" spans="1:30" ht="18.75" x14ac:dyDescent="0.25">
      <c r="A942" s="94">
        <v>876</v>
      </c>
      <c r="B942" s="63">
        <v>138</v>
      </c>
      <c r="C942" s="63">
        <v>2025</v>
      </c>
      <c r="D942" s="71" t="s">
        <v>980</v>
      </c>
      <c r="E942" s="11"/>
      <c r="F942" s="3"/>
      <c r="G942" s="70" t="s">
        <v>1091</v>
      </c>
      <c r="H942" s="3"/>
      <c r="I942" s="70" t="s">
        <v>103</v>
      </c>
      <c r="J942" s="3" t="s">
        <v>77</v>
      </c>
      <c r="K942" s="3"/>
      <c r="L942" s="3" t="s">
        <v>830</v>
      </c>
      <c r="M942" s="2"/>
      <c r="N942" s="3"/>
      <c r="O942" s="9">
        <f>0.47*Table2[[#This Row],[قيمة المحضر]]</f>
        <v>0</v>
      </c>
      <c r="P942" s="9">
        <f>0.17*Table2[[#This Row],[قيمة المحضر]]</f>
        <v>0</v>
      </c>
      <c r="Q942" s="9">
        <f t="shared" ca="1" si="102"/>
        <v>0</v>
      </c>
      <c r="R942" s="3"/>
      <c r="S942" s="3"/>
      <c r="T942" s="9" t="str">
        <f t="shared" si="103"/>
        <v>-</v>
      </c>
      <c r="U942" s="3"/>
      <c r="V942" s="9" t="str">
        <f t="shared" si="104"/>
        <v/>
      </c>
      <c r="W942" s="67"/>
      <c r="X942" s="88"/>
      <c r="Y942" s="1">
        <f t="shared" ca="1" si="94"/>
        <v>46162</v>
      </c>
      <c r="Z942" s="1" cm="1">
        <f t="array" ref="Z942">IF(D942&gt;DATE(2015,5,16),0,
K942*
(
INT((MIN(Y942,DATE(2015,5,16))-D942)/365)
+
CEILING(MOD((MIN(Y942,DATE(2015,5,16))-D942)/365,1),0.25)
)
*
_xlfn.SWITCH(J942,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42" s="1" cm="1">
        <f t="array" aca="1" ref="AA942" ca="1">IF(Y942&lt;DATE(2015,5,17),0,
K942*
(
INT((MIN(Y942,DATE(2018,9,23))-MAX(D942,DATE(2015,5,17)))/365)
+
CEILING(MOD((MIN(Y942,DATE(2018,9,23))-MAX(D942,DATE(2015,5,17)))/365,1),0.25)
)
*
_xlfn.SWITCH(J942,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42" s="1" cm="1">
        <f t="array" aca="1" ref="AB942" ca="1">IF(Y942&lt;DATE(2018,9,24),0,
IF(J942="زراعة",
K942*
(
INT((MIN(Y942,DATE(2023,4,30))-MAX(D942,DATE(2018,9,24)))/365)
+
CEILING(MOD((MIN(Y942,DATE(2023,4,30))-MAX(D942,DATE(2018,9,24)))/365,1),0.25)
)
*1,
K942*
(
DATEDIF(MAX(D942,DATE(2018,9,24)),MIN(Y942,DATE(2023,4,30)),"m")+1
)
*
_xlfn.SWITCH(J942,
"موقف/تندة",IF(D942&lt;DATE(2019,11,30),6,30),
"تشوينات",IF(D942&lt;DATE(2019,11,30),4,20),
"مشاتل",IF(D942&lt;DATE(2019,11,30),2,10),
"كافيتيريا",IF(D942&lt;DATE(2019,11,30),30,150),
"نوادي",IF(D942&lt;DATE(2019,11,30),6,30),
"رسو مراكب",IF(D942&lt;DATE(2019,11,30),2,10),
"مباني",IF(D942&lt;DATE(2018,9,24),2,10),
"عشش",IF(D942&lt;DATE(2019,11,30),2,10),
"كشك (تجاري/صناعي)",IF(D942&lt;DATE(2019,11,30),10,50),
"ردم",20,
0)))</f>
        <v>0</v>
      </c>
      <c r="AC942" s="1" cm="1">
        <f t="array" aca="1" ref="AC942" ca="1">IF(Y942&lt;DATE(2023,5,1),0,
IF(J942="زراعة",
K942*
(
INT((Y942-MAX(DATE(2023,5,1),D942))/365)
+
CEILING(MOD((Y942-MAX(DATE(2023,5,1),D942))/365,1),0.25)
)
*3,
IF(J942="ردم",
K942*20,
K942*
(
DATEDIF(MAX(DATE(2023,5,1),D942),Y942,"m")+1
)
*
_xlfn.SWITCH(J942,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42" s="1">
        <f t="shared" ca="1" si="95"/>
        <v>55</v>
      </c>
    </row>
    <row r="943" spans="1:30" ht="19.5" thickBot="1" x14ac:dyDescent="0.3">
      <c r="A943" s="94">
        <v>876</v>
      </c>
      <c r="B943" s="65">
        <v>138</v>
      </c>
      <c r="C943" s="65">
        <v>2025</v>
      </c>
      <c r="D943" s="66" t="s">
        <v>980</v>
      </c>
      <c r="E943" s="11"/>
      <c r="F943" s="3"/>
      <c r="G943" s="65" t="s">
        <v>1091</v>
      </c>
      <c r="H943" s="3"/>
      <c r="I943" s="65" t="s">
        <v>103</v>
      </c>
      <c r="J943" s="3" t="s">
        <v>438</v>
      </c>
      <c r="K943" s="3"/>
      <c r="L943" s="3" t="s">
        <v>830</v>
      </c>
      <c r="M943" s="2"/>
      <c r="N943" s="3"/>
      <c r="O943" s="9">
        <f>0.47*Table2[[#This Row],[قيمة المحضر]]</f>
        <v>0</v>
      </c>
      <c r="P943" s="9">
        <f>0.17*Table2[[#This Row],[قيمة المحضر]]</f>
        <v>0</v>
      </c>
      <c r="Q943" s="9">
        <f t="shared" ca="1" si="102"/>
        <v>0</v>
      </c>
      <c r="R943" s="3"/>
      <c r="S943" s="3"/>
      <c r="T943" s="9" t="str">
        <f t="shared" si="103"/>
        <v>-</v>
      </c>
      <c r="U943" s="3"/>
      <c r="V943" s="9" t="str">
        <f t="shared" si="104"/>
        <v/>
      </c>
      <c r="W943" s="67"/>
      <c r="X943" s="88"/>
      <c r="Y943" s="1">
        <f t="shared" ca="1" si="94"/>
        <v>46162</v>
      </c>
      <c r="Z943" s="1" cm="1">
        <f t="array" ref="Z943">IF(D943&gt;DATE(2015,5,16),0,
K943*
(
INT((MIN(Y943,DATE(2015,5,16))-D943)/365)
+
CEILING(MOD((MIN(Y943,DATE(2015,5,16))-D943)/365,1),0.25)
)
*
_xlfn.SWITCH(J943,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43" s="1" cm="1">
        <f t="array" aca="1" ref="AA943" ca="1">IF(Y943&lt;DATE(2015,5,17),0,
K943*
(
INT((MIN(Y943,DATE(2018,9,23))-MAX(D943,DATE(2015,5,17)))/365)
+
CEILING(MOD((MIN(Y943,DATE(2018,9,23))-MAX(D943,DATE(2015,5,17)))/365,1),0.25)
)
*
_xlfn.SWITCH(J943,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43" s="1" cm="1">
        <f t="array" aca="1" ref="AB943" ca="1">IF(Y943&lt;DATE(2018,9,24),0,
IF(J943="زراعة",
K943*
(
INT((MIN(Y943,DATE(2023,4,30))-MAX(D943,DATE(2018,9,24)))/365)
+
CEILING(MOD((MIN(Y943,DATE(2023,4,30))-MAX(D943,DATE(2018,9,24)))/365,1),0.25)
)
*1,
K943*
(
DATEDIF(MAX(D943,DATE(2018,9,24)),MIN(Y943,DATE(2023,4,30)),"m")+1
)
*
_xlfn.SWITCH(J943,
"موقف/تندة",IF(D943&lt;DATE(2019,11,30),6,30),
"تشوينات",IF(D943&lt;DATE(2019,11,30),4,20),
"مشاتل",IF(D943&lt;DATE(2019,11,30),2,10),
"كافيتيريا",IF(D943&lt;DATE(2019,11,30),30,150),
"نوادي",IF(D943&lt;DATE(2019,11,30),6,30),
"رسو مراكب",IF(D943&lt;DATE(2019,11,30),2,10),
"مباني",IF(D943&lt;DATE(2018,9,24),2,10),
"عشش",IF(D943&lt;DATE(2019,11,30),2,10),
"كشك (تجاري/صناعي)",IF(D943&lt;DATE(2019,11,30),10,50),
"ردم",20,
0)))</f>
        <v>0</v>
      </c>
      <c r="AC943" s="1" cm="1">
        <f t="array" aca="1" ref="AC943" ca="1">IF(Y943&lt;DATE(2023,5,1),0,
IF(J943="زراعة",
K943*
(
INT((Y943-MAX(DATE(2023,5,1),D943))/365)
+
CEILING(MOD((Y943-MAX(DATE(2023,5,1),D943))/365,1),0.25)
)
*3,
IF(J943="ردم",
K943*20,
K943*
(
DATEDIF(MAX(DATE(2023,5,1),D943),Y943,"m")+1
)
*
_xlfn.SWITCH(J943,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43" s="1">
        <f t="shared" ca="1" si="95"/>
        <v>55</v>
      </c>
    </row>
    <row r="944" spans="1:30" ht="19.5" thickBot="1" x14ac:dyDescent="0.3">
      <c r="A944" s="95">
        <v>877</v>
      </c>
      <c r="B944" s="42">
        <v>139</v>
      </c>
      <c r="C944" s="42">
        <v>2025</v>
      </c>
      <c r="D944" s="93" t="s">
        <v>980</v>
      </c>
      <c r="E944" s="42"/>
      <c r="F944" s="40"/>
      <c r="G944" s="42" t="s">
        <v>1091</v>
      </c>
      <c r="H944" s="40"/>
      <c r="I944" s="42" t="s">
        <v>103</v>
      </c>
      <c r="J944" s="40" t="s">
        <v>28</v>
      </c>
      <c r="K944" s="40"/>
      <c r="L944" s="40" t="s">
        <v>830</v>
      </c>
      <c r="M944" s="41"/>
      <c r="N944" s="40"/>
      <c r="O944" s="43">
        <f>0.47*Table2[[#This Row],[قيمة المحضر]]</f>
        <v>0</v>
      </c>
      <c r="P944" s="43">
        <f>0.17*Table2[[#This Row],[قيمة المحضر]]</f>
        <v>0</v>
      </c>
      <c r="Q944" s="43">
        <f t="shared" ca="1" si="102"/>
        <v>0</v>
      </c>
      <c r="R944" s="40"/>
      <c r="S944" s="40"/>
      <c r="T944" s="43" t="str">
        <f t="shared" si="103"/>
        <v>-</v>
      </c>
      <c r="U944" s="40"/>
      <c r="V944" s="43" t="str">
        <f t="shared" si="104"/>
        <v/>
      </c>
      <c r="W944" s="96"/>
      <c r="X944" s="89"/>
      <c r="Y944" s="1">
        <f t="shared" ca="1" si="94"/>
        <v>46162</v>
      </c>
      <c r="Z944" s="1" cm="1">
        <f t="array" ref="Z944">IF(D944&gt;DATE(2015,5,16),0,
K944*
(
INT((MIN(Y944,DATE(2015,5,16))-D944)/365)
+
CEILING(MOD((MIN(Y944,DATE(2015,5,16))-D944)/365,1),0.25)
)
*
_xlfn.SWITCH(J944,
"موقف/تندة",1.5,
"تشوينات",1.5,
"مشاتل",1.5,
"كافيتيريا",4,
"نوادي",4,
"رسو مراكب",4,
"مواسير صرف صحي (&lt;1م)",2.5,
"مواسير صرف صحي (&gt;1م)",2,
"كابلات (&lt;1م)",1,
"كابلات (&gt;1م)",3,
"مباني",4,
"زراعة",0.3,
"عشش",1,
"كشك (تجاري/صناعي)",30,
"ردم",20,
0))</f>
        <v>0</v>
      </c>
      <c r="AA944" s="1" cm="1">
        <f t="array" aca="1" ref="AA944" ca="1">IF(Y944&lt;DATE(2015,5,17),0,
K944*
(
INT((MIN(Y944,DATE(2018,9,23))-MAX(D944,DATE(2015,5,17)))/365)
+
CEILING(MOD((MIN(Y944,DATE(2018,9,23))-MAX(D944,DATE(2015,5,17)))/365,1),0.25)
)
*
_xlfn.SWITCH(J944,
"موقف/تندة",8,
"تشوينات",8,
"مشاتل",8,
"كافيتيريا",32,
"نوادي",20,
"رسو مراكب",40,
"مواسير صرف صحي (&lt;1م)",16,
"مواسير صرف صحي (&gt;1م)",24,
"كابلات (&lt;1م)",20,
"كابلات (&gt;1م)",20,
"مباني",8,
"زراعة",0.3,
"عشش",4,
"كشك (تجاري/صناعي)",120,
"ردم",20,
0))</f>
        <v>0</v>
      </c>
      <c r="AB944" s="1" cm="1">
        <f t="array" aca="1" ref="AB944" ca="1">IF(Y944&lt;DATE(2018,9,24),0,
IF(J944="زراعة",
K944*
(
INT((MIN(Y944,DATE(2023,4,30))-MAX(D944,DATE(2018,9,24)))/365)
+
CEILING(MOD((MIN(Y944,DATE(2023,4,30))-MAX(D944,DATE(2018,9,24)))/365,1),0.25)
)
*1,
K944*
(
DATEDIF(MAX(D944,DATE(2018,9,24)),MIN(Y944,DATE(2023,4,30)),"m")+1
)
*
_xlfn.SWITCH(J944,
"موقف/تندة",IF(D944&lt;DATE(2019,11,30),6,30),
"تشوينات",IF(D944&lt;DATE(2019,11,30),4,20),
"مشاتل",IF(D944&lt;DATE(2019,11,30),2,10),
"كافيتيريا",IF(D944&lt;DATE(2019,11,30),30,150),
"نوادي",IF(D944&lt;DATE(2019,11,30),6,30),
"رسو مراكب",IF(D944&lt;DATE(2019,11,30),2,10),
"مباني",IF(D944&lt;DATE(2018,9,24),2,10),
"عشش",IF(D944&lt;DATE(2019,11,30),2,10),
"كشك (تجاري/صناعي)",IF(D944&lt;DATE(2019,11,30),10,50),
"ردم",20,
0)))</f>
        <v>0</v>
      </c>
      <c r="AC944" s="1" cm="1">
        <f t="array" aca="1" ref="AC944" ca="1">IF(Y944&lt;DATE(2023,5,1),0,
IF(J944="زراعة",
K944*
(
INT((Y944-MAX(DATE(2023,5,1),D944))/365)
+
CEILING(MOD((Y944-MAX(DATE(2023,5,1),D944))/365,1),0.25)
)
*3,
IF(J944="ردم",
K944*20,
K944*
(
DATEDIF(MAX(DATE(2023,5,1),D944),Y944,"m")+1
)
*
_xlfn.SWITCH(J944,
"موقف/تندة",6,
"تشوينات",4,
"مشاتل",2,
"رسو مراكب",6,
"مباني",3,
"عشش",1,
"كشك (تجاري/صناعي)",20,
"مواسير صرف صحي (&lt;1م)",16,
"مواسير صرف صحي (&gt;1م)",18,
0))))</f>
        <v>0</v>
      </c>
      <c r="AD944" s="1">
        <f t="shared" ca="1" si="95"/>
        <v>55</v>
      </c>
    </row>
  </sheetData>
  <phoneticPr fontId="5" type="noConversion"/>
  <dataValidations count="10">
    <dataValidation type="list" allowBlank="1" showInputMessage="1" showErrorMessage="1" sqref="J1" xr:uid="{458DC6A8-4675-483A-A066-46C5D1285653}">
      <formula1>"بناء منزل,بناء جزء من منزل,بناء عشة,عمل كشك,ردم,كافية,زراعة منافع,تجريف"</formula1>
    </dataValidation>
    <dataValidation type="list" allowBlank="1" showInputMessage="1" showErrorMessage="1" sqref="L1 L742:L1048576" xr:uid="{689CDBFC-7A90-40AB-A917-F4BDF8F0BD66}">
      <formula1>"سعيد سيد,رجب محمد ذكي,معتصم مصطفي,خطيب محمد,حسن محمد ابوالعلا,مدكور محمد مجاهد,غانم هيبه"</formula1>
    </dataValidation>
    <dataValidation type="date" allowBlank="1" showInputMessage="1" showErrorMessage="1" sqref="D234:D287 M206:M455 M457:M486 M489:M1048576 D289:D1048576 D1:D232 M1:M203" xr:uid="{E82E73E8-D12A-49BE-BE7F-3F4B281FE80A}">
      <formula1>DATE(2000,1,1)</formula1>
      <formula2>DATE(2100,12,31)</formula2>
    </dataValidation>
    <dataValidation type="list" allowBlank="1" showInputMessage="1" showErrorMessage="1" sqref="L457:L741 L2:L455" xr:uid="{4B892147-FA15-4A04-B32F-27881CCE0441}">
      <formula1>"سعيد سيد,رجب محمد ذكي,معتصم مصطفي,خطيب محمد,حسن محمد ابوالعلا,مدكور محمد مجاهد,غانم هيبه,جمعه سيد عبدالفتاح,ايمن احمد ماهر,محمد شمردل"</formula1>
    </dataValidation>
    <dataValidation type="list" allowBlank="1" showInputMessage="1" showErrorMessage="1" sqref="J937:J944 J2:J935" xr:uid="{7A93B275-932C-4E6A-845C-4C0BBF84A546}">
      <formula1>"موقف/تندة,تشوينات,مشاتل,كافيتيريا,نوادي,رسو مراكب,مواسير صرف صحي (&lt;1م),مواسير صرف صحي (&gt;1م),مياه شرب,كابلات (&lt;1م),كابلات (&gt;1م),مباني,زراعة,عشش,كشك (تجاري/صناعي),ردم,القاء مخلفات,التعدي علي اعمال صناعية,تشجير,قنطره,قطع جسر"</formula1>
    </dataValidation>
    <dataValidation type="list" allowBlank="1" showInputMessage="1" showErrorMessage="1" sqref="J936" xr:uid="{CD99BCF6-F99E-4578-8753-F126E911787F}">
      <formula1>"موقف/تندة,تشوينات,مشاتل,كافيتيريا,نوادي,رسو مراكب,مواسير صرف صحي (&lt;1م),مواسير صرف صحي (&gt;1م),مياه شرب,كابلات (&lt;1م),كابلات (&gt;1م),مباني,زراعة,عشش,كشك (تجاري/صناعي),ردم,القاء مخلفات,التعدي علي اعمال صناعية,تشجير,قنطره,قطع جسر,كوبري"</formula1>
    </dataValidation>
    <dataValidation type="list" allowBlank="1" showInputMessage="1" showErrorMessage="1" sqref="R2:R944" xr:uid="{5CD841AB-CD0B-4567-BBCD-5402EC72743F}">
      <formula1>"تم الحجز,لم يتم الحجز"</formula1>
    </dataValidation>
    <dataValidation type="list" allowBlank="1" showInputMessage="1" showErrorMessage="1" sqref="S2:S944" xr:uid="{A27DD836-79AD-4709-97D9-8D3E1E94007E}">
      <formula1>"تم التبديد,لم يتم التبديد"</formula1>
    </dataValidation>
    <dataValidation type="list" allowBlank="1" showInputMessage="1" showErrorMessage="1" sqref="U2:U944" xr:uid="{4A2EB5D1-BBF1-44F4-8F9A-2A60CBF75FBE}">
      <formula1>" ,قائم,ازالة جبرية,تم رد الشئ لأصله,قائم و سدد مقابل انتفاع"</formula1>
    </dataValidation>
    <dataValidation type="list" allowBlank="1" showInputMessage="1" showErrorMessage="1" sqref="W2:W944" xr:uid="{B2E123EC-4935-4725-8078-3A4569B5FEBE}">
      <formula1>"تم السداد,لم يتم السداد"</formula1>
    </dataValidation>
  </dataValidations>
  <pageMargins left="0.25" right="0.25" top="0.75" bottom="0.75" header="0.3" footer="0.3"/>
  <pageSetup paperSize="9" scale="35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Samy</dc:creator>
  <cp:lastModifiedBy>Mohamed Samy</cp:lastModifiedBy>
  <cp:lastPrinted>2026-04-25T21:24:47Z</cp:lastPrinted>
  <dcterms:created xsi:type="dcterms:W3CDTF">2026-04-25T10:01:38Z</dcterms:created>
  <dcterms:modified xsi:type="dcterms:W3CDTF">2026-05-20T15:41:01Z</dcterms:modified>
</cp:coreProperties>
</file>